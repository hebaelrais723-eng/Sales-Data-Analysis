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\freelance work\"/>
    </mc:Choice>
  </mc:AlternateContent>
  <xr:revisionPtr revIDLastSave="0" documentId="8_{FBEBDB7D-3ED8-4125-BDDE-519183F71C4C}" xr6:coauthVersionLast="47" xr6:coauthVersionMax="47" xr10:uidLastSave="{00000000-0000-0000-0000-000000000000}"/>
  <bookViews>
    <workbookView xWindow="-108" yWindow="-108" windowWidth="23256" windowHeight="12576" firstSheet="2" activeTab="2" xr2:uid="{F795A04F-01AF-4AC2-89A3-104D0AC88F32}"/>
  </bookViews>
  <sheets>
    <sheet name="متوسط المنتج لكل سنة (Product &amp;" sheetId="3" state="hidden" r:id="rId1"/>
    <sheet name="المتوسط التفصيلي" sheetId="2" state="hidden" r:id="rId2"/>
    <sheet name="Dashboard" sheetId="17" r:id="rId3"/>
    <sheet name="Charts" sheetId="22" state="hidden" r:id="rId4"/>
    <sheet name="Summary" sheetId="6" r:id="rId5"/>
    <sheet name="Cleaned_Data" sheetId="11" r:id="rId6"/>
    <sheet name="Original_Data" sheetId="13" r:id="rId7"/>
    <sheet name="sales" sheetId="1" state="hidden" r:id="rId8"/>
    <sheet name="Outlier" sheetId="9" state="hidden" r:id="rId9"/>
  </sheets>
  <calcPr calcId="191029"/>
  <pivotCaches>
    <pivotCache cacheId="28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7" l="1"/>
  <c r="C18" i="17"/>
  <c r="C19" i="17"/>
  <c r="C20" i="17"/>
  <c r="B5" i="17"/>
  <c r="B6" i="17"/>
  <c r="B4" i="17"/>
  <c r="B36" i="17" l="1"/>
  <c r="B29" i="17" s="1"/>
  <c r="C36" i="17"/>
  <c r="C29" i="17"/>
</calcChain>
</file>

<file path=xl/sharedStrings.xml><?xml version="1.0" encoding="utf-8"?>
<sst xmlns="http://schemas.openxmlformats.org/spreadsheetml/2006/main" count="27490" uniqueCount="3482">
  <si>
    <t>Transaction_ID</t>
  </si>
  <si>
    <t>Customer_ID</t>
  </si>
  <si>
    <t>Transaction_Date</t>
  </si>
  <si>
    <t>Product</t>
  </si>
  <si>
    <t>Channel</t>
  </si>
  <si>
    <t>Amount</t>
  </si>
  <si>
    <t>Quantity</t>
  </si>
  <si>
    <t>Country</t>
  </si>
  <si>
    <t>T453486</t>
  </si>
  <si>
    <t>C5576</t>
  </si>
  <si>
    <t>Addon</t>
  </si>
  <si>
    <t>In-Store</t>
  </si>
  <si>
    <t>T282581</t>
  </si>
  <si>
    <t>C9536</t>
  </si>
  <si>
    <t>Renewal</t>
  </si>
  <si>
    <t>Canada</t>
  </si>
  <si>
    <t>T934880</t>
  </si>
  <si>
    <t>C9214</t>
  </si>
  <si>
    <t>India</t>
  </si>
  <si>
    <t>T554224</t>
  </si>
  <si>
    <t>C7417</t>
  </si>
  <si>
    <t>Subscription</t>
  </si>
  <si>
    <t>Online</t>
  </si>
  <si>
    <t>T926865</t>
  </si>
  <si>
    <t>C2638</t>
  </si>
  <si>
    <t>Partner</t>
  </si>
  <si>
    <t>T444802</t>
  </si>
  <si>
    <t>C1255</t>
  </si>
  <si>
    <t>T198194</t>
  </si>
  <si>
    <t>C8176</t>
  </si>
  <si>
    <t>T455896</t>
  </si>
  <si>
    <t>C4315</t>
  </si>
  <si>
    <t>T937295</t>
  </si>
  <si>
    <t>C9812</t>
  </si>
  <si>
    <t>Phone</t>
  </si>
  <si>
    <t>Germany</t>
  </si>
  <si>
    <t>T142186</t>
  </si>
  <si>
    <t>C1878</t>
  </si>
  <si>
    <t>T849138</t>
  </si>
  <si>
    <t>C7753</t>
  </si>
  <si>
    <t>T503060</t>
  </si>
  <si>
    <t>C6616</t>
  </si>
  <si>
    <t>T925711</t>
  </si>
  <si>
    <t>C6466</t>
  </si>
  <si>
    <t>T840043</t>
  </si>
  <si>
    <t>C6715</t>
  </si>
  <si>
    <t>T282924</t>
  </si>
  <si>
    <t>C2753</t>
  </si>
  <si>
    <t>T722518</t>
  </si>
  <si>
    <t>C1487</t>
  </si>
  <si>
    <t>T292511</t>
  </si>
  <si>
    <t>C8508</t>
  </si>
  <si>
    <t>T265968</t>
  </si>
  <si>
    <t>C4809</t>
  </si>
  <si>
    <t>T126479</t>
  </si>
  <si>
    <t>C5927</t>
  </si>
  <si>
    <t>T703308</t>
  </si>
  <si>
    <t>C7905</t>
  </si>
  <si>
    <t>T544147</t>
  </si>
  <si>
    <t>C2510</t>
  </si>
  <si>
    <t>T179410</t>
  </si>
  <si>
    <t>C5318</t>
  </si>
  <si>
    <t>T578736</t>
  </si>
  <si>
    <t>C1997</t>
  </si>
  <si>
    <t>T606352</t>
  </si>
  <si>
    <t>C7176</t>
  </si>
  <si>
    <t>T595193</t>
  </si>
  <si>
    <t>C9234</t>
  </si>
  <si>
    <t>T344489</t>
  </si>
  <si>
    <t>C5491</t>
  </si>
  <si>
    <t>T136050</t>
  </si>
  <si>
    <t>C3600</t>
  </si>
  <si>
    <t>T957472</t>
  </si>
  <si>
    <t>C1022</t>
  </si>
  <si>
    <t>T704592</t>
  </si>
  <si>
    <t>C2586</t>
  </si>
  <si>
    <t>T439505</t>
  </si>
  <si>
    <t>C4012</t>
  </si>
  <si>
    <t>T516273</t>
  </si>
  <si>
    <t>C4266</t>
  </si>
  <si>
    <t>T320742</t>
  </si>
  <si>
    <t>C8903</t>
  </si>
  <si>
    <t>T567121</t>
  </si>
  <si>
    <t>C6624</t>
  </si>
  <si>
    <t>T262137</t>
  </si>
  <si>
    <t>C4769</t>
  </si>
  <si>
    <t>T536809</t>
  </si>
  <si>
    <t>C1665</t>
  </si>
  <si>
    <t>T345885</t>
  </si>
  <si>
    <t>C7576</t>
  </si>
  <si>
    <t>T215230</t>
  </si>
  <si>
    <t>C3278</t>
  </si>
  <si>
    <t>T128782</t>
  </si>
  <si>
    <t>C4235</t>
  </si>
  <si>
    <t>T933937</t>
  </si>
  <si>
    <t>C7251</t>
  </si>
  <si>
    <t>T421912</t>
  </si>
  <si>
    <t>C3692</t>
  </si>
  <si>
    <t>T515973</t>
  </si>
  <si>
    <t>C3879</t>
  </si>
  <si>
    <t>T389285</t>
  </si>
  <si>
    <t>C6407</t>
  </si>
  <si>
    <t>T123226</t>
  </si>
  <si>
    <t>C9677</t>
  </si>
  <si>
    <t>T261968</t>
  </si>
  <si>
    <t>C7421</t>
  </si>
  <si>
    <t>T938015</t>
  </si>
  <si>
    <t>C6061</t>
  </si>
  <si>
    <t>T626064</t>
  </si>
  <si>
    <t>C3650</t>
  </si>
  <si>
    <t>T335381</t>
  </si>
  <si>
    <t>C7680</t>
  </si>
  <si>
    <t>T373773</t>
  </si>
  <si>
    <t>C9582</t>
  </si>
  <si>
    <t>T287062</t>
  </si>
  <si>
    <t>C4133</t>
  </si>
  <si>
    <t>T771780</t>
  </si>
  <si>
    <t>C3456</t>
  </si>
  <si>
    <t>T386679</t>
  </si>
  <si>
    <t>C1673</t>
  </si>
  <si>
    <t>T484281</t>
  </si>
  <si>
    <t>C6925</t>
  </si>
  <si>
    <t>T535883</t>
  </si>
  <si>
    <t>C7288</t>
  </si>
  <si>
    <t>T528808</t>
  </si>
  <si>
    <t>C7759</t>
  </si>
  <si>
    <t>T188124</t>
  </si>
  <si>
    <t>C9242</t>
  </si>
  <si>
    <t>T467782</t>
  </si>
  <si>
    <t>C7629</t>
  </si>
  <si>
    <t>T241857</t>
  </si>
  <si>
    <t>C1422</t>
  </si>
  <si>
    <t>T814820</t>
  </si>
  <si>
    <t>C1226</t>
  </si>
  <si>
    <t>T387300</t>
  </si>
  <si>
    <t>C2799</t>
  </si>
  <si>
    <t>T657172</t>
  </si>
  <si>
    <t>C8240</t>
  </si>
  <si>
    <t>T221788</t>
  </si>
  <si>
    <t>C2036</t>
  </si>
  <si>
    <t>T368866</t>
  </si>
  <si>
    <t>C3348</t>
  </si>
  <si>
    <t>T599264</t>
  </si>
  <si>
    <t>C7259</t>
  </si>
  <si>
    <t>T694278</t>
  </si>
  <si>
    <t>C4290</t>
  </si>
  <si>
    <t>T420320</t>
  </si>
  <si>
    <t>C7734</t>
  </si>
  <si>
    <t>T446469</t>
  </si>
  <si>
    <t>C1501</t>
  </si>
  <si>
    <t>T732681</t>
  </si>
  <si>
    <t>C2723</t>
  </si>
  <si>
    <t>T845011</t>
  </si>
  <si>
    <t>C1306</t>
  </si>
  <si>
    <t>T319153</t>
  </si>
  <si>
    <t>C3449</t>
  </si>
  <si>
    <t>T605790</t>
  </si>
  <si>
    <t>C8013</t>
  </si>
  <si>
    <t>T328339</t>
  </si>
  <si>
    <t>C8607</t>
  </si>
  <si>
    <t>T122856</t>
  </si>
  <si>
    <t>C1103</t>
  </si>
  <si>
    <t>T545526</t>
  </si>
  <si>
    <t>C3981</t>
  </si>
  <si>
    <t>T494162</t>
  </si>
  <si>
    <t>C3330</t>
  </si>
  <si>
    <t>T853930</t>
  </si>
  <si>
    <t>C8919</t>
  </si>
  <si>
    <t>T766461</t>
  </si>
  <si>
    <t>C2495</t>
  </si>
  <si>
    <t>T867522</t>
  </si>
  <si>
    <t>C4528</t>
  </si>
  <si>
    <t>T113825</t>
  </si>
  <si>
    <t>C5874</t>
  </si>
  <si>
    <t>T301872</t>
  </si>
  <si>
    <t>C3619</t>
  </si>
  <si>
    <t>T578368</t>
  </si>
  <si>
    <t>C6588</t>
  </si>
  <si>
    <t>T560360</t>
  </si>
  <si>
    <t>C5403</t>
  </si>
  <si>
    <t>T610915</t>
  </si>
  <si>
    <t>C9817</t>
  </si>
  <si>
    <t>T489542</t>
  </si>
  <si>
    <t>C7111</t>
  </si>
  <si>
    <t>T710531</t>
  </si>
  <si>
    <t>C6839</t>
  </si>
  <si>
    <t>T257266</t>
  </si>
  <si>
    <t>C5879</t>
  </si>
  <si>
    <t>T373214</t>
  </si>
  <si>
    <t>C4367</t>
  </si>
  <si>
    <t>T679295</t>
  </si>
  <si>
    <t>C1528</t>
  </si>
  <si>
    <t>T589863</t>
  </si>
  <si>
    <t>C4701</t>
  </si>
  <si>
    <t>T877123</t>
  </si>
  <si>
    <t>C9353</t>
  </si>
  <si>
    <t>T578206</t>
  </si>
  <si>
    <t>C6792</t>
  </si>
  <si>
    <t>T229726</t>
  </si>
  <si>
    <t>C9416</t>
  </si>
  <si>
    <t>T913463</t>
  </si>
  <si>
    <t>C6631</t>
  </si>
  <si>
    <t>T361136</t>
  </si>
  <si>
    <t>C5765</t>
  </si>
  <si>
    <t>T934909</t>
  </si>
  <si>
    <t>C2217</t>
  </si>
  <si>
    <t>T665082</t>
  </si>
  <si>
    <t>C6537</t>
  </si>
  <si>
    <t>T116867</t>
  </si>
  <si>
    <t>C8388</t>
  </si>
  <si>
    <t>T290643</t>
  </si>
  <si>
    <t>C6961</t>
  </si>
  <si>
    <t>T768619</t>
  </si>
  <si>
    <t>C8958</t>
  </si>
  <si>
    <t>T591228</t>
  </si>
  <si>
    <t>C8418</t>
  </si>
  <si>
    <t>T475520</t>
  </si>
  <si>
    <t>C8088</t>
  </si>
  <si>
    <t>T500322</t>
  </si>
  <si>
    <t>C7906</t>
  </si>
  <si>
    <t>T511147</t>
  </si>
  <si>
    <t>C2171</t>
  </si>
  <si>
    <t>T161709</t>
  </si>
  <si>
    <t>C6336</t>
  </si>
  <si>
    <t>T241059</t>
  </si>
  <si>
    <t>C1011</t>
  </si>
  <si>
    <t>T105613</t>
  </si>
  <si>
    <t>C8322</t>
  </si>
  <si>
    <t>T412032</t>
  </si>
  <si>
    <t>C2792</t>
  </si>
  <si>
    <t>T326696</t>
  </si>
  <si>
    <t>C9414</t>
  </si>
  <si>
    <t>T480811</t>
  </si>
  <si>
    <t>C7085</t>
  </si>
  <si>
    <t>T814831</t>
  </si>
  <si>
    <t>C8695</t>
  </si>
  <si>
    <t>T785962</t>
  </si>
  <si>
    <t>C8544</t>
  </si>
  <si>
    <t>T346802</t>
  </si>
  <si>
    <t>C7735</t>
  </si>
  <si>
    <t>T378745</t>
  </si>
  <si>
    <t>C8703</t>
  </si>
  <si>
    <t>T758719</t>
  </si>
  <si>
    <t>C1591</t>
  </si>
  <si>
    <t>T702516</t>
  </si>
  <si>
    <t>C6571</t>
  </si>
  <si>
    <t>T675165</t>
  </si>
  <si>
    <t>C4084</t>
  </si>
  <si>
    <t>T939719</t>
  </si>
  <si>
    <t>C1909</t>
  </si>
  <si>
    <t>T791600</t>
  </si>
  <si>
    <t>C2114</t>
  </si>
  <si>
    <t>T929629</t>
  </si>
  <si>
    <t>C6659</t>
  </si>
  <si>
    <t>T849544</t>
  </si>
  <si>
    <t>C5188</t>
  </si>
  <si>
    <t>T198087</t>
  </si>
  <si>
    <t>C9568</t>
  </si>
  <si>
    <t>T456887</t>
  </si>
  <si>
    <t>C2124</t>
  </si>
  <si>
    <t>T746402</t>
  </si>
  <si>
    <t>C9891</t>
  </si>
  <si>
    <t>T511912</t>
  </si>
  <si>
    <t>C5029</t>
  </si>
  <si>
    <t>T477683</t>
  </si>
  <si>
    <t>C7118</t>
  </si>
  <si>
    <t>T983135</t>
  </si>
  <si>
    <t>C3214</t>
  </si>
  <si>
    <t>T843932</t>
  </si>
  <si>
    <t>C4265</t>
  </si>
  <si>
    <t>T214893</t>
  </si>
  <si>
    <t>C8242</t>
  </si>
  <si>
    <t>T773235</t>
  </si>
  <si>
    <t>C6337</t>
  </si>
  <si>
    <t>T695956</t>
  </si>
  <si>
    <t>C8061</t>
  </si>
  <si>
    <t>T424647</t>
  </si>
  <si>
    <t>C9032</t>
  </si>
  <si>
    <t>T147032</t>
  </si>
  <si>
    <t>C2945</t>
  </si>
  <si>
    <t>T197656</t>
  </si>
  <si>
    <t>C6178</t>
  </si>
  <si>
    <t>T317770</t>
  </si>
  <si>
    <t>C1362</t>
  </si>
  <si>
    <t>T281654</t>
  </si>
  <si>
    <t>C8678</t>
  </si>
  <si>
    <t>T674574</t>
  </si>
  <si>
    <t>C3149</t>
  </si>
  <si>
    <t>T626834</t>
  </si>
  <si>
    <t>C1131</t>
  </si>
  <si>
    <t>T241075</t>
  </si>
  <si>
    <t>C3142</t>
  </si>
  <si>
    <t>T756310</t>
  </si>
  <si>
    <t>C8027</t>
  </si>
  <si>
    <t>T609289</t>
  </si>
  <si>
    <t>C3438</t>
  </si>
  <si>
    <t>T434991</t>
  </si>
  <si>
    <t>C1353</t>
  </si>
  <si>
    <t>T868345</t>
  </si>
  <si>
    <t>C4029</t>
  </si>
  <si>
    <t>T113782</t>
  </si>
  <si>
    <t>C7980</t>
  </si>
  <si>
    <t>T121052</t>
  </si>
  <si>
    <t>C8587</t>
  </si>
  <si>
    <t>T931837</t>
  </si>
  <si>
    <t>C5489</t>
  </si>
  <si>
    <t>T157242</t>
  </si>
  <si>
    <t>C2076</t>
  </si>
  <si>
    <t>T951816</t>
  </si>
  <si>
    <t>C6211</t>
  </si>
  <si>
    <t>T955980</t>
  </si>
  <si>
    <t>C6265</t>
  </si>
  <si>
    <t>T617803</t>
  </si>
  <si>
    <t>C9053</t>
  </si>
  <si>
    <t>T702229</t>
  </si>
  <si>
    <t>C8408</t>
  </si>
  <si>
    <t>T143368</t>
  </si>
  <si>
    <t>C9139</t>
  </si>
  <si>
    <t>T689761</t>
  </si>
  <si>
    <t>C2583</t>
  </si>
  <si>
    <t>T117362</t>
  </si>
  <si>
    <t>C4189</t>
  </si>
  <si>
    <t>T873824</t>
  </si>
  <si>
    <t>C8989</t>
  </si>
  <si>
    <t>T123789</t>
  </si>
  <si>
    <t>C6837</t>
  </si>
  <si>
    <t>T200108</t>
  </si>
  <si>
    <t>C1727</t>
  </si>
  <si>
    <t>T652533</t>
  </si>
  <si>
    <t>C7028</t>
  </si>
  <si>
    <t>T138081</t>
  </si>
  <si>
    <t>C1730</t>
  </si>
  <si>
    <t>T778514</t>
  </si>
  <si>
    <t>T878044</t>
  </si>
  <si>
    <t>C4223</t>
  </si>
  <si>
    <t>T723226</t>
  </si>
  <si>
    <t>C1330</t>
  </si>
  <si>
    <t>T405029</t>
  </si>
  <si>
    <t>C3573</t>
  </si>
  <si>
    <t>T921648</t>
  </si>
  <si>
    <t>C1751</t>
  </si>
  <si>
    <t>T965313</t>
  </si>
  <si>
    <t>C5969</t>
  </si>
  <si>
    <t>T612348</t>
  </si>
  <si>
    <t>C4511</t>
  </si>
  <si>
    <t>T984665</t>
  </si>
  <si>
    <t>C3694</t>
  </si>
  <si>
    <t>T388014</t>
  </si>
  <si>
    <t>C8181</t>
  </si>
  <si>
    <t>T768013</t>
  </si>
  <si>
    <t>C8540</t>
  </si>
  <si>
    <t>T583582</t>
  </si>
  <si>
    <t>C4766</t>
  </si>
  <si>
    <t>T213123</t>
  </si>
  <si>
    <t>C3597</t>
  </si>
  <si>
    <t>T506023</t>
  </si>
  <si>
    <t>C6562</t>
  </si>
  <si>
    <t>T343680</t>
  </si>
  <si>
    <t>C6001</t>
  </si>
  <si>
    <t>T777559</t>
  </si>
  <si>
    <t>C2189</t>
  </si>
  <si>
    <t>T749542</t>
  </si>
  <si>
    <t>C1951</t>
  </si>
  <si>
    <t>T603635</t>
  </si>
  <si>
    <t>C7092</t>
  </si>
  <si>
    <t>T973024</t>
  </si>
  <si>
    <t>C8745</t>
  </si>
  <si>
    <t>T504452</t>
  </si>
  <si>
    <t>C6301</t>
  </si>
  <si>
    <t>T326953</t>
  </si>
  <si>
    <t>C7408</t>
  </si>
  <si>
    <t>T292929</t>
  </si>
  <si>
    <t>C1499</t>
  </si>
  <si>
    <t>T343821</t>
  </si>
  <si>
    <t>C3649</t>
  </si>
  <si>
    <t>T147151</t>
  </si>
  <si>
    <t>C4308</t>
  </si>
  <si>
    <t>T433478</t>
  </si>
  <si>
    <t>C1175</t>
  </si>
  <si>
    <t>T322831</t>
  </si>
  <si>
    <t>C2636</t>
  </si>
  <si>
    <t>T418043</t>
  </si>
  <si>
    <t>C4429</t>
  </si>
  <si>
    <t>T133341</t>
  </si>
  <si>
    <t>C4346</t>
  </si>
  <si>
    <t>T916967</t>
  </si>
  <si>
    <t>C9121</t>
  </si>
  <si>
    <t>T403891</t>
  </si>
  <si>
    <t>C3298</t>
  </si>
  <si>
    <t>T545181</t>
  </si>
  <si>
    <t>C2708</t>
  </si>
  <si>
    <t>C9685</t>
  </si>
  <si>
    <t>T447017</t>
  </si>
  <si>
    <t>C1883</t>
  </si>
  <si>
    <t>T733503</t>
  </si>
  <si>
    <t>C8635</t>
  </si>
  <si>
    <t>T584973</t>
  </si>
  <si>
    <t>C6708</t>
  </si>
  <si>
    <t>T872993</t>
  </si>
  <si>
    <t>C9332</t>
  </si>
  <si>
    <t>T484876</t>
  </si>
  <si>
    <t>C6690</t>
  </si>
  <si>
    <t>T162139</t>
  </si>
  <si>
    <t>C5365</t>
  </si>
  <si>
    <t>T876150</t>
  </si>
  <si>
    <t>C3381</t>
  </si>
  <si>
    <t>T475426</t>
  </si>
  <si>
    <t>C9125</t>
  </si>
  <si>
    <t>T108587</t>
  </si>
  <si>
    <t>C3352</t>
  </si>
  <si>
    <t>T811390</t>
  </si>
  <si>
    <t>C1008</t>
  </si>
  <si>
    <t>T170837</t>
  </si>
  <si>
    <t>C5679</t>
  </si>
  <si>
    <t>T401986</t>
  </si>
  <si>
    <t>C3813</t>
  </si>
  <si>
    <t>T269517</t>
  </si>
  <si>
    <t>C1657</t>
  </si>
  <si>
    <t>T820578</t>
  </si>
  <si>
    <t>C3886</t>
  </si>
  <si>
    <t>T213610</t>
  </si>
  <si>
    <t>C8830</t>
  </si>
  <si>
    <t>T925570</t>
  </si>
  <si>
    <t>C9201</t>
  </si>
  <si>
    <t>T411071</t>
  </si>
  <si>
    <t>C8145</t>
  </si>
  <si>
    <t>T920612</t>
  </si>
  <si>
    <t>C7837</t>
  </si>
  <si>
    <t>T660122</t>
  </si>
  <si>
    <t>C2417</t>
  </si>
  <si>
    <t>T623594</t>
  </si>
  <si>
    <t>C4608</t>
  </si>
  <si>
    <t>T457484</t>
  </si>
  <si>
    <t>C1651</t>
  </si>
  <si>
    <t>T682404</t>
  </si>
  <si>
    <t>C2954</t>
  </si>
  <si>
    <t>T326508</t>
  </si>
  <si>
    <t>C3299</t>
  </si>
  <si>
    <t>T974561</t>
  </si>
  <si>
    <t>C2991</t>
  </si>
  <si>
    <t>T504690</t>
  </si>
  <si>
    <t>C5182</t>
  </si>
  <si>
    <t>T103465</t>
  </si>
  <si>
    <t>C6696</t>
  </si>
  <si>
    <t>T855191</t>
  </si>
  <si>
    <t>C8321</t>
  </si>
  <si>
    <t>T218024</t>
  </si>
  <si>
    <t>C4797</t>
  </si>
  <si>
    <t>T424202</t>
  </si>
  <si>
    <t>C7263</t>
  </si>
  <si>
    <t>T553293</t>
  </si>
  <si>
    <t>C1729</t>
  </si>
  <si>
    <t>T644369</t>
  </si>
  <si>
    <t>C4217</t>
  </si>
  <si>
    <t>T726507</t>
  </si>
  <si>
    <t>C9282</t>
  </si>
  <si>
    <t>T220550</t>
  </si>
  <si>
    <t>C3164</t>
  </si>
  <si>
    <t>T318413</t>
  </si>
  <si>
    <t>C7876</t>
  </si>
  <si>
    <t>T987978</t>
  </si>
  <si>
    <t>C3468</t>
  </si>
  <si>
    <t>T958220</t>
  </si>
  <si>
    <t>C8523</t>
  </si>
  <si>
    <t>T176054</t>
  </si>
  <si>
    <t>C9476</t>
  </si>
  <si>
    <t>T453662</t>
  </si>
  <si>
    <t>C7628</t>
  </si>
  <si>
    <t>T279366</t>
  </si>
  <si>
    <t>C3632</t>
  </si>
  <si>
    <t>T578496</t>
  </si>
  <si>
    <t>C5963</t>
  </si>
  <si>
    <t>T417398</t>
  </si>
  <si>
    <t>C6665</t>
  </si>
  <si>
    <t>T123975</t>
  </si>
  <si>
    <t>C4328</t>
  </si>
  <si>
    <t>T561432</t>
  </si>
  <si>
    <t>C9371</t>
  </si>
  <si>
    <t>T826737</t>
  </si>
  <si>
    <t>C6883</t>
  </si>
  <si>
    <t>T121775</t>
  </si>
  <si>
    <t>C8746</t>
  </si>
  <si>
    <t>T654422</t>
  </si>
  <si>
    <t>C3774</t>
  </si>
  <si>
    <t>T209885</t>
  </si>
  <si>
    <t>C4733</t>
  </si>
  <si>
    <t>T303094</t>
  </si>
  <si>
    <t>C6038</t>
  </si>
  <si>
    <t>T640593</t>
  </si>
  <si>
    <t>C4577</t>
  </si>
  <si>
    <t>T168675</t>
  </si>
  <si>
    <t>C1846</t>
  </si>
  <si>
    <t>T977760</t>
  </si>
  <si>
    <t>C7745</t>
  </si>
  <si>
    <t>T218175</t>
  </si>
  <si>
    <t>C8317</t>
  </si>
  <si>
    <t>T537533</t>
  </si>
  <si>
    <t>C8793</t>
  </si>
  <si>
    <t>C1405</t>
  </si>
  <si>
    <t>T679024</t>
  </si>
  <si>
    <t>C4493</t>
  </si>
  <si>
    <t>T425873</t>
  </si>
  <si>
    <t>C5330</t>
  </si>
  <si>
    <t>T386849</t>
  </si>
  <si>
    <t>C8625</t>
  </si>
  <si>
    <t>T824695</t>
  </si>
  <si>
    <t>C5628</t>
  </si>
  <si>
    <t>T695531</t>
  </si>
  <si>
    <t>C3624</t>
  </si>
  <si>
    <t>T938911</t>
  </si>
  <si>
    <t>C3379</t>
  </si>
  <si>
    <t>T399699</t>
  </si>
  <si>
    <t>C6829</t>
  </si>
  <si>
    <t>T602694</t>
  </si>
  <si>
    <t>C9975</t>
  </si>
  <si>
    <t>T361875</t>
  </si>
  <si>
    <t>C3831</t>
  </si>
  <si>
    <t>T688806</t>
  </si>
  <si>
    <t>C4964</t>
  </si>
  <si>
    <t>T211407</t>
  </si>
  <si>
    <t>C9822</t>
  </si>
  <si>
    <t>T265242</t>
  </si>
  <si>
    <t>C3718</t>
  </si>
  <si>
    <t>T454491</t>
  </si>
  <si>
    <t>C2266</t>
  </si>
  <si>
    <t>T275647</t>
  </si>
  <si>
    <t>C6162</t>
  </si>
  <si>
    <t>T552067</t>
  </si>
  <si>
    <t>C4159</t>
  </si>
  <si>
    <t>T486728</t>
  </si>
  <si>
    <t>C2169</t>
  </si>
  <si>
    <t>T135564</t>
  </si>
  <si>
    <t>C4884</t>
  </si>
  <si>
    <t>T439771</t>
  </si>
  <si>
    <t>C3398</t>
  </si>
  <si>
    <t>T448551</t>
  </si>
  <si>
    <t>C9631</t>
  </si>
  <si>
    <t>T892340</t>
  </si>
  <si>
    <t>C3570</t>
  </si>
  <si>
    <t>T128450</t>
  </si>
  <si>
    <t>C8832</t>
  </si>
  <si>
    <t>T189991</t>
  </si>
  <si>
    <t>C2090</t>
  </si>
  <si>
    <t>T428870</t>
  </si>
  <si>
    <t>C1905</t>
  </si>
  <si>
    <t>T756066</t>
  </si>
  <si>
    <t>C8002</t>
  </si>
  <si>
    <t>T903398</t>
  </si>
  <si>
    <t>C2243</t>
  </si>
  <si>
    <t>T123668</t>
  </si>
  <si>
    <t>C6995</t>
  </si>
  <si>
    <t>T762884</t>
  </si>
  <si>
    <t>C3435</t>
  </si>
  <si>
    <t>T644704</t>
  </si>
  <si>
    <t>C5548</t>
  </si>
  <si>
    <t>T316219</t>
  </si>
  <si>
    <t>C6820</t>
  </si>
  <si>
    <t>T828211</t>
  </si>
  <si>
    <t>C9589</t>
  </si>
  <si>
    <t>T928784</t>
  </si>
  <si>
    <t>C9075</t>
  </si>
  <si>
    <t>T103579</t>
  </si>
  <si>
    <t>C1646</t>
  </si>
  <si>
    <t>T629225</t>
  </si>
  <si>
    <t>C1461</t>
  </si>
  <si>
    <t>T395242</t>
  </si>
  <si>
    <t>C1516</t>
  </si>
  <si>
    <t>T592790</t>
  </si>
  <si>
    <t>C5601</t>
  </si>
  <si>
    <t>T994228</t>
  </si>
  <si>
    <t>C3604</t>
  </si>
  <si>
    <t>C8482</t>
  </si>
  <si>
    <t>T610161</t>
  </si>
  <si>
    <t>C7368</t>
  </si>
  <si>
    <t>T299822</t>
  </si>
  <si>
    <t>C7732</t>
  </si>
  <si>
    <t>T538841</t>
  </si>
  <si>
    <t>C4996</t>
  </si>
  <si>
    <t>T131197</t>
  </si>
  <si>
    <t>C3925</t>
  </si>
  <si>
    <t>T151420</t>
  </si>
  <si>
    <t>C7336</t>
  </si>
  <si>
    <t>T528602</t>
  </si>
  <si>
    <t>T600425</t>
  </si>
  <si>
    <t>C2222</t>
  </si>
  <si>
    <t>T602975</t>
  </si>
  <si>
    <t>C9738</t>
  </si>
  <si>
    <t>T686044</t>
  </si>
  <si>
    <t>C8222</t>
  </si>
  <si>
    <t>T241739</t>
  </si>
  <si>
    <t>C3399</t>
  </si>
  <si>
    <t>T755113</t>
  </si>
  <si>
    <t>C3690</t>
  </si>
  <si>
    <t>T340998</t>
  </si>
  <si>
    <t>C3565</t>
  </si>
  <si>
    <t>T102757</t>
  </si>
  <si>
    <t>C1998</t>
  </si>
  <si>
    <t>T838632</t>
  </si>
  <si>
    <t>C6711</t>
  </si>
  <si>
    <t>T373090</t>
  </si>
  <si>
    <t>C9005</t>
  </si>
  <si>
    <t>T181813</t>
  </si>
  <si>
    <t>C4758</t>
  </si>
  <si>
    <t>T817692</t>
  </si>
  <si>
    <t>C1794</t>
  </si>
  <si>
    <t>T990971</t>
  </si>
  <si>
    <t>C4793</t>
  </si>
  <si>
    <t>T806591</t>
  </si>
  <si>
    <t>C7016</t>
  </si>
  <si>
    <t>T337468</t>
  </si>
  <si>
    <t>C7496</t>
  </si>
  <si>
    <t>T985405</t>
  </si>
  <si>
    <t>C6215</t>
  </si>
  <si>
    <t>T941393</t>
  </si>
  <si>
    <t>C9383</t>
  </si>
  <si>
    <t>T680941</t>
  </si>
  <si>
    <t>C6044</t>
  </si>
  <si>
    <t>T456254</t>
  </si>
  <si>
    <t>C7338</t>
  </si>
  <si>
    <t>T785805</t>
  </si>
  <si>
    <t>C3809</t>
  </si>
  <si>
    <t>T402214</t>
  </si>
  <si>
    <t>C5938</t>
  </si>
  <si>
    <t>T877796</t>
  </si>
  <si>
    <t>C9507</t>
  </si>
  <si>
    <t>T886578</t>
  </si>
  <si>
    <t>C1598</t>
  </si>
  <si>
    <t>T318536</t>
  </si>
  <si>
    <t>C5172</t>
  </si>
  <si>
    <t>T990116</t>
  </si>
  <si>
    <t>C9944</t>
  </si>
  <si>
    <t>T486913</t>
  </si>
  <si>
    <t>C8990</t>
  </si>
  <si>
    <t>T134974</t>
  </si>
  <si>
    <t>C8506</t>
  </si>
  <si>
    <t>T796483</t>
  </si>
  <si>
    <t>C9459</t>
  </si>
  <si>
    <t>T876387</t>
  </si>
  <si>
    <t>C9727</t>
  </si>
  <si>
    <t>T361834</t>
  </si>
  <si>
    <t>C7740</t>
  </si>
  <si>
    <t>T847592</t>
  </si>
  <si>
    <t>C8102</t>
  </si>
  <si>
    <t>T348777</t>
  </si>
  <si>
    <t>C8365</t>
  </si>
  <si>
    <t>T442683</t>
  </si>
  <si>
    <t>C7668</t>
  </si>
  <si>
    <t>T883356</t>
  </si>
  <si>
    <t>C7793</t>
  </si>
  <si>
    <t>T433746</t>
  </si>
  <si>
    <t>C6926</t>
  </si>
  <si>
    <t>T117025</t>
  </si>
  <si>
    <t>T836968</t>
  </si>
  <si>
    <t>C6076</t>
  </si>
  <si>
    <t>T564727</t>
  </si>
  <si>
    <t>C2309</t>
  </si>
  <si>
    <t>T294224</t>
  </si>
  <si>
    <t>C2340</t>
  </si>
  <si>
    <t>T941344</t>
  </si>
  <si>
    <t>C9573</t>
  </si>
  <si>
    <t>T504734</t>
  </si>
  <si>
    <t>C9887</t>
  </si>
  <si>
    <t>T833507</t>
  </si>
  <si>
    <t>C2021</t>
  </si>
  <si>
    <t>T162263</t>
  </si>
  <si>
    <t>T316410</t>
  </si>
  <si>
    <t>C5482</t>
  </si>
  <si>
    <t>T351332</t>
  </si>
  <si>
    <t>C5086</t>
  </si>
  <si>
    <t>T246751</t>
  </si>
  <si>
    <t>C1952</t>
  </si>
  <si>
    <t>T413715</t>
  </si>
  <si>
    <t>C2995</t>
  </si>
  <si>
    <t>T436468</t>
  </si>
  <si>
    <t>C1367</t>
  </si>
  <si>
    <t>T300211</t>
  </si>
  <si>
    <t>C2805</t>
  </si>
  <si>
    <t>T295893</t>
  </si>
  <si>
    <t>C6173</t>
  </si>
  <si>
    <t>T556578</t>
  </si>
  <si>
    <t>C2808</t>
  </si>
  <si>
    <t>T734922</t>
  </si>
  <si>
    <t>C6208</t>
  </si>
  <si>
    <t>T331917</t>
  </si>
  <si>
    <t>C4199</t>
  </si>
  <si>
    <t>T366383</t>
  </si>
  <si>
    <t>C5452</t>
  </si>
  <si>
    <t>T103141</t>
  </si>
  <si>
    <t>C8906</t>
  </si>
  <si>
    <t>T612881</t>
  </si>
  <si>
    <t>C2703</t>
  </si>
  <si>
    <t>T512078</t>
  </si>
  <si>
    <t>C4678</t>
  </si>
  <si>
    <t>T707151</t>
  </si>
  <si>
    <t>C6528</t>
  </si>
  <si>
    <t>T241133</t>
  </si>
  <si>
    <t>C7230</t>
  </si>
  <si>
    <t>T374870</t>
  </si>
  <si>
    <t>C9490</t>
  </si>
  <si>
    <t>T562169</t>
  </si>
  <si>
    <t>C3967</t>
  </si>
  <si>
    <t>T221003</t>
  </si>
  <si>
    <t>C2317</t>
  </si>
  <si>
    <t>T706150</t>
  </si>
  <si>
    <t>C7665</t>
  </si>
  <si>
    <t>T191945</t>
  </si>
  <si>
    <t>C3362</t>
  </si>
  <si>
    <t>T661683</t>
  </si>
  <si>
    <t>C3719</t>
  </si>
  <si>
    <t>T127690</t>
  </si>
  <si>
    <t>C4625</t>
  </si>
  <si>
    <t>T176802</t>
  </si>
  <si>
    <t>C5268</t>
  </si>
  <si>
    <t>T255435</t>
  </si>
  <si>
    <t>C6411</t>
  </si>
  <si>
    <t>T137514</t>
  </si>
  <si>
    <t>C7270</t>
  </si>
  <si>
    <t>T920662</t>
  </si>
  <si>
    <t>C1250</t>
  </si>
  <si>
    <t>T516078</t>
  </si>
  <si>
    <t>C8871</t>
  </si>
  <si>
    <t>T154927</t>
  </si>
  <si>
    <t>C1399</t>
  </si>
  <si>
    <t>T320707</t>
  </si>
  <si>
    <t>C2170</t>
  </si>
  <si>
    <t>T989054</t>
  </si>
  <si>
    <t>C7445</t>
  </si>
  <si>
    <t>T889347</t>
  </si>
  <si>
    <t>C3699</t>
  </si>
  <si>
    <t>T806389</t>
  </si>
  <si>
    <t>C9488</t>
  </si>
  <si>
    <t>T770220</t>
  </si>
  <si>
    <t>C3248</t>
  </si>
  <si>
    <t>T516514</t>
  </si>
  <si>
    <t>C5513</t>
  </si>
  <si>
    <t>T337171</t>
  </si>
  <si>
    <t>C3537</t>
  </si>
  <si>
    <t>T126456</t>
  </si>
  <si>
    <t>C1191</t>
  </si>
  <si>
    <t>T369752</t>
  </si>
  <si>
    <t>C8471</t>
  </si>
  <si>
    <t>T774262</t>
  </si>
  <si>
    <t>C1991</t>
  </si>
  <si>
    <t>T534781</t>
  </si>
  <si>
    <t>T924045</t>
  </si>
  <si>
    <t>C6115</t>
  </si>
  <si>
    <t>T251636</t>
  </si>
  <si>
    <t>C1334</t>
  </si>
  <si>
    <t>T267759</t>
  </si>
  <si>
    <t>C2548</t>
  </si>
  <si>
    <t>T141335</t>
  </si>
  <si>
    <t>T655637</t>
  </si>
  <si>
    <t>C8250</t>
  </si>
  <si>
    <t>T285318</t>
  </si>
  <si>
    <t>T397604</t>
  </si>
  <si>
    <t>C2649</t>
  </si>
  <si>
    <t>T598773</t>
  </si>
  <si>
    <t>C9694</t>
  </si>
  <si>
    <t>T612605</t>
  </si>
  <si>
    <t>T682140</t>
  </si>
  <si>
    <t>C6262</t>
  </si>
  <si>
    <t>T355504</t>
  </si>
  <si>
    <t>C9073</t>
  </si>
  <si>
    <t>T169029</t>
  </si>
  <si>
    <t>C6698</t>
  </si>
  <si>
    <t>T251854</t>
  </si>
  <si>
    <t>T923904</t>
  </si>
  <si>
    <t>C5157</t>
  </si>
  <si>
    <t>T114431</t>
  </si>
  <si>
    <t>C1074</t>
  </si>
  <si>
    <t>T937948</t>
  </si>
  <si>
    <t>C9224</t>
  </si>
  <si>
    <t>T385328</t>
  </si>
  <si>
    <t>C6112</t>
  </si>
  <si>
    <t>T450421</t>
  </si>
  <si>
    <t>C4552</t>
  </si>
  <si>
    <t>T713149</t>
  </si>
  <si>
    <t>C9349</t>
  </si>
  <si>
    <t>T992143</t>
  </si>
  <si>
    <t>C4631</t>
  </si>
  <si>
    <t>T972049</t>
  </si>
  <si>
    <t>C3927</t>
  </si>
  <si>
    <t>T647897</t>
  </si>
  <si>
    <t>C8132</t>
  </si>
  <si>
    <t>T894444</t>
  </si>
  <si>
    <t>C5398</t>
  </si>
  <si>
    <t>T294227</t>
  </si>
  <si>
    <t>C7349</t>
  </si>
  <si>
    <t>T848464</t>
  </si>
  <si>
    <t>C3380</t>
  </si>
  <si>
    <t>T199059</t>
  </si>
  <si>
    <t>C2299</t>
  </si>
  <si>
    <t>T251192</t>
  </si>
  <si>
    <t>C7838</t>
  </si>
  <si>
    <t>T636885</t>
  </si>
  <si>
    <t>C3507</t>
  </si>
  <si>
    <t>T220160</t>
  </si>
  <si>
    <t>C8426</t>
  </si>
  <si>
    <t>T348244</t>
  </si>
  <si>
    <t>C5699</t>
  </si>
  <si>
    <t>T220869</t>
  </si>
  <si>
    <t>C9622</t>
  </si>
  <si>
    <t>T597794</t>
  </si>
  <si>
    <t>T653777</t>
  </si>
  <si>
    <t>C9686</t>
  </si>
  <si>
    <t>T804117</t>
  </si>
  <si>
    <t>C2642</t>
  </si>
  <si>
    <t>T363056</t>
  </si>
  <si>
    <t>C7795</t>
  </si>
  <si>
    <t>T114306</t>
  </si>
  <si>
    <t>C3160</t>
  </si>
  <si>
    <t>T406264</t>
  </si>
  <si>
    <t>C2497</t>
  </si>
  <si>
    <t>T150825</t>
  </si>
  <si>
    <t>C1563</t>
  </si>
  <si>
    <t>T804220</t>
  </si>
  <si>
    <t>C4751</t>
  </si>
  <si>
    <t>T830162</t>
  </si>
  <si>
    <t>C6726</t>
  </si>
  <si>
    <t>T901910</t>
  </si>
  <si>
    <t>C8957</t>
  </si>
  <si>
    <t>T496058</t>
  </si>
  <si>
    <t>C4604</t>
  </si>
  <si>
    <t>T959533</t>
  </si>
  <si>
    <t>C6358</t>
  </si>
  <si>
    <t>T340357</t>
  </si>
  <si>
    <t>C7766</t>
  </si>
  <si>
    <t>T825973</t>
  </si>
  <si>
    <t>C7938</t>
  </si>
  <si>
    <t>T624081</t>
  </si>
  <si>
    <t>C7774</t>
  </si>
  <si>
    <t>T684172</t>
  </si>
  <si>
    <t>C2936</t>
  </si>
  <si>
    <t>T523004</t>
  </si>
  <si>
    <t>C3954</t>
  </si>
  <si>
    <t>T821767</t>
  </si>
  <si>
    <t>C7098</t>
  </si>
  <si>
    <t>T727975</t>
  </si>
  <si>
    <t>C6702</t>
  </si>
  <si>
    <t>T687071</t>
  </si>
  <si>
    <t>C7660</t>
  </si>
  <si>
    <t>T292232</t>
  </si>
  <si>
    <t>T136626</t>
  </si>
  <si>
    <t>C5394</t>
  </si>
  <si>
    <t>T652283</t>
  </si>
  <si>
    <t>C6486</t>
  </si>
  <si>
    <t>T840857</t>
  </si>
  <si>
    <t>C7228</t>
  </si>
  <si>
    <t>T487776</t>
  </si>
  <si>
    <t>C7510</t>
  </si>
  <si>
    <t>T230691</t>
  </si>
  <si>
    <t>C3102</t>
  </si>
  <si>
    <t>T869518</t>
  </si>
  <si>
    <t>C5036</t>
  </si>
  <si>
    <t>T842032</t>
  </si>
  <si>
    <t>C3511</t>
  </si>
  <si>
    <t>T762331</t>
  </si>
  <si>
    <t>C4088</t>
  </si>
  <si>
    <t>T686596</t>
  </si>
  <si>
    <t>C7863</t>
  </si>
  <si>
    <t>T554483</t>
  </si>
  <si>
    <t>C8345</t>
  </si>
  <si>
    <t>T625772</t>
  </si>
  <si>
    <t>C6840</t>
  </si>
  <si>
    <t>T105497</t>
  </si>
  <si>
    <t>C5033</t>
  </si>
  <si>
    <t>T182692</t>
  </si>
  <si>
    <t>C9140</t>
  </si>
  <si>
    <t>T492275</t>
  </si>
  <si>
    <t>C3750</t>
  </si>
  <si>
    <t>T245946</t>
  </si>
  <si>
    <t>C9970</t>
  </si>
  <si>
    <t>T347388</t>
  </si>
  <si>
    <t>C7146</t>
  </si>
  <si>
    <t>T111085</t>
  </si>
  <si>
    <t>C3787</t>
  </si>
  <si>
    <t>T299989</t>
  </si>
  <si>
    <t>C4056</t>
  </si>
  <si>
    <t>T739400</t>
  </si>
  <si>
    <t>C3016</t>
  </si>
  <si>
    <t>T379600</t>
  </si>
  <si>
    <t>C6009</t>
  </si>
  <si>
    <t>T216358</t>
  </si>
  <si>
    <t>C6017</t>
  </si>
  <si>
    <t>T610873</t>
  </si>
  <si>
    <t>C2639</t>
  </si>
  <si>
    <t>T683250</t>
  </si>
  <si>
    <t>C5609</t>
  </si>
  <si>
    <t>T105126</t>
  </si>
  <si>
    <t>C4074</t>
  </si>
  <si>
    <t>T186859</t>
  </si>
  <si>
    <t>C8765</t>
  </si>
  <si>
    <t>T255769</t>
  </si>
  <si>
    <t>C1272</t>
  </si>
  <si>
    <t>T846933</t>
  </si>
  <si>
    <t>C6256</t>
  </si>
  <si>
    <t>T399364</t>
  </si>
  <si>
    <t>C5727</t>
  </si>
  <si>
    <t>T171262</t>
  </si>
  <si>
    <t>C6972</t>
  </si>
  <si>
    <t>T999544</t>
  </si>
  <si>
    <t>C8332</t>
  </si>
  <si>
    <t>T619914</t>
  </si>
  <si>
    <t>C3824</t>
  </si>
  <si>
    <t>T587822</t>
  </si>
  <si>
    <t>C1996</t>
  </si>
  <si>
    <t>T792677</t>
  </si>
  <si>
    <t>C4504</t>
  </si>
  <si>
    <t>T227373</t>
  </si>
  <si>
    <t>C2564</t>
  </si>
  <si>
    <t>T966338</t>
  </si>
  <si>
    <t>C3341</t>
  </si>
  <si>
    <t>T101130</t>
  </si>
  <si>
    <t>C4360</t>
  </si>
  <si>
    <t>T280220</t>
  </si>
  <si>
    <t>C4247</t>
  </si>
  <si>
    <t>T309267</t>
  </si>
  <si>
    <t>C9692</t>
  </si>
  <si>
    <t>T897285</t>
  </si>
  <si>
    <t>C6531</t>
  </si>
  <si>
    <t>T375563</t>
  </si>
  <si>
    <t>C1404</t>
  </si>
  <si>
    <t>T564809</t>
  </si>
  <si>
    <t>C7033</t>
  </si>
  <si>
    <t>T101860</t>
  </si>
  <si>
    <t>C6465</t>
  </si>
  <si>
    <t>T796137</t>
  </si>
  <si>
    <t>C1029</t>
  </si>
  <si>
    <t>T159555</t>
  </si>
  <si>
    <t>C4011</t>
  </si>
  <si>
    <t>T488424</t>
  </si>
  <si>
    <t>C5205</t>
  </si>
  <si>
    <t>T589628</t>
  </si>
  <si>
    <t>C6998</t>
  </si>
  <si>
    <t>T752628</t>
  </si>
  <si>
    <t>C9845</t>
  </si>
  <si>
    <t>T897674</t>
  </si>
  <si>
    <t>C5618</t>
  </si>
  <si>
    <t>T972458</t>
  </si>
  <si>
    <t>C5785</t>
  </si>
  <si>
    <t>T328834</t>
  </si>
  <si>
    <t>C8588</t>
  </si>
  <si>
    <t>T937713</t>
  </si>
  <si>
    <t>C5856</t>
  </si>
  <si>
    <t>T612502</t>
  </si>
  <si>
    <t>T271671</t>
  </si>
  <si>
    <t>C5608</t>
  </si>
  <si>
    <t>T552126</t>
  </si>
  <si>
    <t>C3038</t>
  </si>
  <si>
    <t>T892379</t>
  </si>
  <si>
    <t>C5231</t>
  </si>
  <si>
    <t>T977087</t>
  </si>
  <si>
    <t>C2253</t>
  </si>
  <si>
    <t>T624685</t>
  </si>
  <si>
    <t>C5010</t>
  </si>
  <si>
    <t>T937044</t>
  </si>
  <si>
    <t>C8683</t>
  </si>
  <si>
    <t>T612388</t>
  </si>
  <si>
    <t>C7485</t>
  </si>
  <si>
    <t>T492654</t>
  </si>
  <si>
    <t>T825803</t>
  </si>
  <si>
    <t>C6051</t>
  </si>
  <si>
    <t>T520741</t>
  </si>
  <si>
    <t>T451287</t>
  </si>
  <si>
    <t>C6104</t>
  </si>
  <si>
    <t>T303071</t>
  </si>
  <si>
    <t>C1574</t>
  </si>
  <si>
    <t>T299427</t>
  </si>
  <si>
    <t>C9417</t>
  </si>
  <si>
    <t>T124481</t>
  </si>
  <si>
    <t>C3140</t>
  </si>
  <si>
    <t>T841520</t>
  </si>
  <si>
    <t>C5040</t>
  </si>
  <si>
    <t>T910558</t>
  </si>
  <si>
    <t>C2570</t>
  </si>
  <si>
    <t>T865832</t>
  </si>
  <si>
    <t>C5934</t>
  </si>
  <si>
    <t>T177546</t>
  </si>
  <si>
    <t>C5731</t>
  </si>
  <si>
    <t>T737445</t>
  </si>
  <si>
    <t>C5600</t>
  </si>
  <si>
    <t>T745802</t>
  </si>
  <si>
    <t>C8288</t>
  </si>
  <si>
    <t>T871864</t>
  </si>
  <si>
    <t>C6642</t>
  </si>
  <si>
    <t>T506217</t>
  </si>
  <si>
    <t>C6796</t>
  </si>
  <si>
    <t>T168047</t>
  </si>
  <si>
    <t>C8182</t>
  </si>
  <si>
    <t>T114988</t>
  </si>
  <si>
    <t>C4841</t>
  </si>
  <si>
    <t>T532804</t>
  </si>
  <si>
    <t>C8827</t>
  </si>
  <si>
    <t>T688229</t>
  </si>
  <si>
    <t>C5343</t>
  </si>
  <si>
    <t>T936300</t>
  </si>
  <si>
    <t>C3126</t>
  </si>
  <si>
    <t>T876716</t>
  </si>
  <si>
    <t>T168162</t>
  </si>
  <si>
    <t>C7023</t>
  </si>
  <si>
    <t>T457610</t>
  </si>
  <si>
    <t>C4497</t>
  </si>
  <si>
    <t>T813529</t>
  </si>
  <si>
    <t>C2382</t>
  </si>
  <si>
    <t>T707510</t>
  </si>
  <si>
    <t>C6285</t>
  </si>
  <si>
    <t>T754761</t>
  </si>
  <si>
    <t>C8134</t>
  </si>
  <si>
    <t>T400108</t>
  </si>
  <si>
    <t>C8533</t>
  </si>
  <si>
    <t>T819047</t>
  </si>
  <si>
    <t>C7347</t>
  </si>
  <si>
    <t>T141162</t>
  </si>
  <si>
    <t>C6448</t>
  </si>
  <si>
    <t>T360823</t>
  </si>
  <si>
    <t>C8225</t>
  </si>
  <si>
    <t>T223587</t>
  </si>
  <si>
    <t>C8621</t>
  </si>
  <si>
    <t>T976000</t>
  </si>
  <si>
    <t>C3647</t>
  </si>
  <si>
    <t>T432936</t>
  </si>
  <si>
    <t>C1495</t>
  </si>
  <si>
    <t>T169580</t>
  </si>
  <si>
    <t>C7520</t>
  </si>
  <si>
    <t>T785296</t>
  </si>
  <si>
    <t>C6062</t>
  </si>
  <si>
    <t>T315146</t>
  </si>
  <si>
    <t>C9875</t>
  </si>
  <si>
    <t>T141698</t>
  </si>
  <si>
    <t>C5213</t>
  </si>
  <si>
    <t>T490715</t>
  </si>
  <si>
    <t>C5009</t>
  </si>
  <si>
    <t>T122946</t>
  </si>
  <si>
    <t>C9911</t>
  </si>
  <si>
    <t>T134322</t>
  </si>
  <si>
    <t>C6573</t>
  </si>
  <si>
    <t>T304536</t>
  </si>
  <si>
    <t>C8671</t>
  </si>
  <si>
    <t>T794129</t>
  </si>
  <si>
    <t>C4202</t>
  </si>
  <si>
    <t>T970010</t>
  </si>
  <si>
    <t>C7119</t>
  </si>
  <si>
    <t>T603312</t>
  </si>
  <si>
    <t>C2877</t>
  </si>
  <si>
    <t>T243482</t>
  </si>
  <si>
    <t>C7560</t>
  </si>
  <si>
    <t>T456105</t>
  </si>
  <si>
    <t>C4972</t>
  </si>
  <si>
    <t>T539474</t>
  </si>
  <si>
    <t>C5835</t>
  </si>
  <si>
    <t>T736105</t>
  </si>
  <si>
    <t>C1374</t>
  </si>
  <si>
    <t>T138831</t>
  </si>
  <si>
    <t>C9198</t>
  </si>
  <si>
    <t>T971136</t>
  </si>
  <si>
    <t>C5760</t>
  </si>
  <si>
    <t>T158059</t>
  </si>
  <si>
    <t>C5286</t>
  </si>
  <si>
    <t>T708954</t>
  </si>
  <si>
    <t>C3662</t>
  </si>
  <si>
    <t>T946268</t>
  </si>
  <si>
    <t>C6821</t>
  </si>
  <si>
    <t>T446153</t>
  </si>
  <si>
    <t>C2127</t>
  </si>
  <si>
    <t>T452587</t>
  </si>
  <si>
    <t>C8744</t>
  </si>
  <si>
    <t>T862377</t>
  </si>
  <si>
    <t>C8077</t>
  </si>
  <si>
    <t>T124350</t>
  </si>
  <si>
    <t>T687837</t>
  </si>
  <si>
    <t>C4032</t>
  </si>
  <si>
    <t>T714869</t>
  </si>
  <si>
    <t>C7351</t>
  </si>
  <si>
    <t>T720994</t>
  </si>
  <si>
    <t>C8693</t>
  </si>
  <si>
    <t>T140834</t>
  </si>
  <si>
    <t>C7389</t>
  </si>
  <si>
    <t>T627868</t>
  </si>
  <si>
    <t>C2803</t>
  </si>
  <si>
    <t>T121188</t>
  </si>
  <si>
    <t>C5216</t>
  </si>
  <si>
    <t>T654177</t>
  </si>
  <si>
    <t>C1622</t>
  </si>
  <si>
    <t>T709896</t>
  </si>
  <si>
    <t>C4941</t>
  </si>
  <si>
    <t>T504570</t>
  </si>
  <si>
    <t>C8032</t>
  </si>
  <si>
    <t>T473403</t>
  </si>
  <si>
    <t>C3627</t>
  </si>
  <si>
    <t>T732225</t>
  </si>
  <si>
    <t>C9684</t>
  </si>
  <si>
    <t>T195016</t>
  </si>
  <si>
    <t>C6046</t>
  </si>
  <si>
    <t>T504635</t>
  </si>
  <si>
    <t>C8511</t>
  </si>
  <si>
    <t>T522100</t>
  </si>
  <si>
    <t>C9610</t>
  </si>
  <si>
    <t>T355742</t>
  </si>
  <si>
    <t>C4525</t>
  </si>
  <si>
    <t>T223392</t>
  </si>
  <si>
    <t>C7500</t>
  </si>
  <si>
    <t>T870113</t>
  </si>
  <si>
    <t>C4294</t>
  </si>
  <si>
    <t>T704000</t>
  </si>
  <si>
    <t>C3474</t>
  </si>
  <si>
    <t>T232904</t>
  </si>
  <si>
    <t>C4291</t>
  </si>
  <si>
    <t>T689716</t>
  </si>
  <si>
    <t>C5437</t>
  </si>
  <si>
    <t>T614345</t>
  </si>
  <si>
    <t>C8057</t>
  </si>
  <si>
    <t>T116568</t>
  </si>
  <si>
    <t>C4388</t>
  </si>
  <si>
    <t>T740279</t>
  </si>
  <si>
    <t>C7982</t>
  </si>
  <si>
    <t>T584019</t>
  </si>
  <si>
    <t>C2632</t>
  </si>
  <si>
    <t>T823457</t>
  </si>
  <si>
    <t>C2559</t>
  </si>
  <si>
    <t>T673656</t>
  </si>
  <si>
    <t>C8059</t>
  </si>
  <si>
    <t>T462250</t>
  </si>
  <si>
    <t>C2353</t>
  </si>
  <si>
    <t>T743593</t>
  </si>
  <si>
    <t>T115005</t>
  </si>
  <si>
    <t>C4754</t>
  </si>
  <si>
    <t>T859255</t>
  </si>
  <si>
    <t>C7664</t>
  </si>
  <si>
    <t>T661180</t>
  </si>
  <si>
    <t>C1752</t>
  </si>
  <si>
    <t>T917889</t>
  </si>
  <si>
    <t>C1159</t>
  </si>
  <si>
    <t>T565802</t>
  </si>
  <si>
    <t>C9775</t>
  </si>
  <si>
    <t>T771321</t>
  </si>
  <si>
    <t>C8743</t>
  </si>
  <si>
    <t>T839380</t>
  </si>
  <si>
    <t>T413605</t>
  </si>
  <si>
    <t>T808139</t>
  </si>
  <si>
    <t>C9358</t>
  </si>
  <si>
    <t>T242522</t>
  </si>
  <si>
    <t>C4173</t>
  </si>
  <si>
    <t>T114127</t>
  </si>
  <si>
    <t>C8930</t>
  </si>
  <si>
    <t>T516811</t>
  </si>
  <si>
    <t>T895920</t>
  </si>
  <si>
    <t>C8853</t>
  </si>
  <si>
    <t>T234390</t>
  </si>
  <si>
    <t>C7709</t>
  </si>
  <si>
    <t>T371909</t>
  </si>
  <si>
    <t>C5160</t>
  </si>
  <si>
    <t>T367535</t>
  </si>
  <si>
    <t>C4325</t>
  </si>
  <si>
    <t>T186296</t>
  </si>
  <si>
    <t>C1541</t>
  </si>
  <si>
    <t>T311957</t>
  </si>
  <si>
    <t>C1677</t>
  </si>
  <si>
    <t>T490380</t>
  </si>
  <si>
    <t>C2999</t>
  </si>
  <si>
    <t>T114268</t>
  </si>
  <si>
    <t>C8591</t>
  </si>
  <si>
    <t>T420353</t>
  </si>
  <si>
    <t>C5561</t>
  </si>
  <si>
    <t>T601569</t>
  </si>
  <si>
    <t>C4785</t>
  </si>
  <si>
    <t>T263829</t>
  </si>
  <si>
    <t>C8160</t>
  </si>
  <si>
    <t>T468862</t>
  </si>
  <si>
    <t>C7839</t>
  </si>
  <si>
    <t>T501890</t>
  </si>
  <si>
    <t>C5625</t>
  </si>
  <si>
    <t>T337538</t>
  </si>
  <si>
    <t>C6911</t>
  </si>
  <si>
    <t>T923209</t>
  </si>
  <si>
    <t>C9781</t>
  </si>
  <si>
    <t>T828922</t>
  </si>
  <si>
    <t>C6005</t>
  </si>
  <si>
    <t>T795880</t>
  </si>
  <si>
    <t>C3122</t>
  </si>
  <si>
    <t>T609618</t>
  </si>
  <si>
    <t>C8608</t>
  </si>
  <si>
    <t>T680489</t>
  </si>
  <si>
    <t>C1820</t>
  </si>
  <si>
    <t>T945611</t>
  </si>
  <si>
    <t>C5411</t>
  </si>
  <si>
    <t>T211807</t>
  </si>
  <si>
    <t>C9334</t>
  </si>
  <si>
    <t>T613974</t>
  </si>
  <si>
    <t>C1239</t>
  </si>
  <si>
    <t>T707129</t>
  </si>
  <si>
    <t>C9604</t>
  </si>
  <si>
    <t>T672017</t>
  </si>
  <si>
    <t>C6539</t>
  </si>
  <si>
    <t>T946458</t>
  </si>
  <si>
    <t>C2137</t>
  </si>
  <si>
    <t>T857231</t>
  </si>
  <si>
    <t>C1625</t>
  </si>
  <si>
    <t>T381830</t>
  </si>
  <si>
    <t>C8006</t>
  </si>
  <si>
    <t>T519425</t>
  </si>
  <si>
    <t>C4361</t>
  </si>
  <si>
    <t>T355830</t>
  </si>
  <si>
    <t>C4170</t>
  </si>
  <si>
    <t>T620036</t>
  </si>
  <si>
    <t>C2369</t>
  </si>
  <si>
    <t>T578824</t>
  </si>
  <si>
    <t>C3376</t>
  </si>
  <si>
    <t>T998743</t>
  </si>
  <si>
    <t>T513376</t>
  </si>
  <si>
    <t>C7329</t>
  </si>
  <si>
    <t>T372067</t>
  </si>
  <si>
    <t>C5976</t>
  </si>
  <si>
    <t>T100217</t>
  </si>
  <si>
    <t>C8740</t>
  </si>
  <si>
    <t>T555843</t>
  </si>
  <si>
    <t>C9321</t>
  </si>
  <si>
    <t>T814832</t>
  </si>
  <si>
    <t>C7588</t>
  </si>
  <si>
    <t>T289390</t>
  </si>
  <si>
    <t>C2037</t>
  </si>
  <si>
    <t>T315651</t>
  </si>
  <si>
    <t>C5787</t>
  </si>
  <si>
    <t>T157190</t>
  </si>
  <si>
    <t>C2830</t>
  </si>
  <si>
    <t>T510504</t>
  </si>
  <si>
    <t>C9051</t>
  </si>
  <si>
    <t>T530302</t>
  </si>
  <si>
    <t>C8119</t>
  </si>
  <si>
    <t>T982789</t>
  </si>
  <si>
    <t>C6042</t>
  </si>
  <si>
    <t>T459416</t>
  </si>
  <si>
    <t>C8893</t>
  </si>
  <si>
    <t>T947418</t>
  </si>
  <si>
    <t>C7448</t>
  </si>
  <si>
    <t>T539316</t>
  </si>
  <si>
    <t>T447544</t>
  </si>
  <si>
    <t>C3349</t>
  </si>
  <si>
    <t>T878392</t>
  </si>
  <si>
    <t>C9563</t>
  </si>
  <si>
    <t>T595979</t>
  </si>
  <si>
    <t>C5521</t>
  </si>
  <si>
    <t>T897334</t>
  </si>
  <si>
    <t>C5632</t>
  </si>
  <si>
    <t>T735020</t>
  </si>
  <si>
    <t>C1060</t>
  </si>
  <si>
    <t>T773337</t>
  </si>
  <si>
    <t>C9385</t>
  </si>
  <si>
    <t>T251574</t>
  </si>
  <si>
    <t>T848667</t>
  </si>
  <si>
    <t>C8884</t>
  </si>
  <si>
    <t>T313989</t>
  </si>
  <si>
    <t>C5975</t>
  </si>
  <si>
    <t>T505700</t>
  </si>
  <si>
    <t>T911995</t>
  </si>
  <si>
    <t>C2694</t>
  </si>
  <si>
    <t>T537833</t>
  </si>
  <si>
    <t>C3171</t>
  </si>
  <si>
    <t>T374247</t>
  </si>
  <si>
    <t>T362641</t>
  </si>
  <si>
    <t>C3930</t>
  </si>
  <si>
    <t>T850995</t>
  </si>
  <si>
    <t>C8509</t>
  </si>
  <si>
    <t>T800337</t>
  </si>
  <si>
    <t>C5063</t>
  </si>
  <si>
    <t>T258470</t>
  </si>
  <si>
    <t>C2374</t>
  </si>
  <si>
    <t>T167551</t>
  </si>
  <si>
    <t>C6824</t>
  </si>
  <si>
    <t>T632691</t>
  </si>
  <si>
    <t>C3956</t>
  </si>
  <si>
    <t>T435422</t>
  </si>
  <si>
    <t>C8660</t>
  </si>
  <si>
    <t>T971151</t>
  </si>
  <si>
    <t>C4940</t>
  </si>
  <si>
    <t>T904624</t>
  </si>
  <si>
    <t>T399530</t>
  </si>
  <si>
    <t>C8479</t>
  </si>
  <si>
    <t>T951578</t>
  </si>
  <si>
    <t>C9753</t>
  </si>
  <si>
    <t>T576006</t>
  </si>
  <si>
    <t>C1228</t>
  </si>
  <si>
    <t>T729309</t>
  </si>
  <si>
    <t>C9978</t>
  </si>
  <si>
    <t>T173001</t>
  </si>
  <si>
    <t>C9249</t>
  </si>
  <si>
    <t>T209661</t>
  </si>
  <si>
    <t>C4059</t>
  </si>
  <si>
    <t>T158708</t>
  </si>
  <si>
    <t>C9448</t>
  </si>
  <si>
    <t>T941568</t>
  </si>
  <si>
    <t>C8112</t>
  </si>
  <si>
    <t>T790096</t>
  </si>
  <si>
    <t>C1744</t>
  </si>
  <si>
    <t>T950016</t>
  </si>
  <si>
    <t>C2849</t>
  </si>
  <si>
    <t>T415763</t>
  </si>
  <si>
    <t>C9917</t>
  </si>
  <si>
    <t>T371863</t>
  </si>
  <si>
    <t>C4280</t>
  </si>
  <si>
    <t>T309460</t>
  </si>
  <si>
    <t>C7115</t>
  </si>
  <si>
    <t>T360786</t>
  </si>
  <si>
    <t>C8085</t>
  </si>
  <si>
    <t>T105100</t>
  </si>
  <si>
    <t>C1720</t>
  </si>
  <si>
    <t>T832943</t>
  </si>
  <si>
    <t>C8922</t>
  </si>
  <si>
    <t>T607703</t>
  </si>
  <si>
    <t>C1978</t>
  </si>
  <si>
    <t>T718740</t>
  </si>
  <si>
    <t>C9537</t>
  </si>
  <si>
    <t>T397335</t>
  </si>
  <si>
    <t>C8993</t>
  </si>
  <si>
    <t>T492577</t>
  </si>
  <si>
    <t>C2014</t>
  </si>
  <si>
    <t>T421173</t>
  </si>
  <si>
    <t>T969903</t>
  </si>
  <si>
    <t>C6917</t>
  </si>
  <si>
    <t>T551276</t>
  </si>
  <si>
    <t>C1234</t>
  </si>
  <si>
    <t>T861988</t>
  </si>
  <si>
    <t>T256578</t>
  </si>
  <si>
    <t>C9829</t>
  </si>
  <si>
    <t>T568610</t>
  </si>
  <si>
    <t>C6376</t>
  </si>
  <si>
    <t>T772260</t>
  </si>
  <si>
    <t>C3955</t>
  </si>
  <si>
    <t>T244099</t>
  </si>
  <si>
    <t>C4179</t>
  </si>
  <si>
    <t>T370119</t>
  </si>
  <si>
    <t>C4873</t>
  </si>
  <si>
    <t>T950729</t>
  </si>
  <si>
    <t>C3605</t>
  </si>
  <si>
    <t>T595921</t>
  </si>
  <si>
    <t>C9799</t>
  </si>
  <si>
    <t>T904216</t>
  </si>
  <si>
    <t>C8191</t>
  </si>
  <si>
    <t>T570376</t>
  </si>
  <si>
    <t>C3181</t>
  </si>
  <si>
    <t>T248626</t>
  </si>
  <si>
    <t>C3903</t>
  </si>
  <si>
    <t>T322650</t>
  </si>
  <si>
    <t>C6085</t>
  </si>
  <si>
    <t>T266341</t>
  </si>
  <si>
    <t>C2220</t>
  </si>
  <si>
    <t>T606041</t>
  </si>
  <si>
    <t>C5693</t>
  </si>
  <si>
    <t>T497494</t>
  </si>
  <si>
    <t>C9324</t>
  </si>
  <si>
    <t>T225811</t>
  </si>
  <si>
    <t>C3582</t>
  </si>
  <si>
    <t>T516529</t>
  </si>
  <si>
    <t>C5371</t>
  </si>
  <si>
    <t>T798120</t>
  </si>
  <si>
    <t>C2017</t>
  </si>
  <si>
    <t>T994667</t>
  </si>
  <si>
    <t>C8895</t>
  </si>
  <si>
    <t>T270202</t>
  </si>
  <si>
    <t>C4476</t>
  </si>
  <si>
    <t>T806530</t>
  </si>
  <si>
    <t>C6039</t>
  </si>
  <si>
    <t>T528972</t>
  </si>
  <si>
    <t>C5000</t>
  </si>
  <si>
    <t>T201770</t>
  </si>
  <si>
    <t>C1206</t>
  </si>
  <si>
    <t>T224990</t>
  </si>
  <si>
    <t>C5872</t>
  </si>
  <si>
    <t>T344276</t>
  </si>
  <si>
    <t>C6687</t>
  </si>
  <si>
    <t>T558118</t>
  </si>
  <si>
    <t>C4215</t>
  </si>
  <si>
    <t>T915100</t>
  </si>
  <si>
    <t>C9802</t>
  </si>
  <si>
    <t>T895018</t>
  </si>
  <si>
    <t>C6922</t>
  </si>
  <si>
    <t>T728043</t>
  </si>
  <si>
    <t>C9702</t>
  </si>
  <si>
    <t>T474377</t>
  </si>
  <si>
    <t>C2527</t>
  </si>
  <si>
    <t>T703752</t>
  </si>
  <si>
    <t>C8771</t>
  </si>
  <si>
    <t>T538168</t>
  </si>
  <si>
    <t>C2831</t>
  </si>
  <si>
    <t>T911055</t>
  </si>
  <si>
    <t>C2765</t>
  </si>
  <si>
    <t>T870281</t>
  </si>
  <si>
    <t>C2005</t>
  </si>
  <si>
    <t>T274266</t>
  </si>
  <si>
    <t>C2407</t>
  </si>
  <si>
    <t>T882054</t>
  </si>
  <si>
    <t>C3367</t>
  </si>
  <si>
    <t>T838357</t>
  </si>
  <si>
    <t>C6268</t>
  </si>
  <si>
    <t>T688676</t>
  </si>
  <si>
    <t>C7831</t>
  </si>
  <si>
    <t>T939498</t>
  </si>
  <si>
    <t>C9916</t>
  </si>
  <si>
    <t>T481956</t>
  </si>
  <si>
    <t>C5623</t>
  </si>
  <si>
    <t>T985911</t>
  </si>
  <si>
    <t>C7687</t>
  </si>
  <si>
    <t>T993136</t>
  </si>
  <si>
    <t>T107801</t>
  </si>
  <si>
    <t>C7197</t>
  </si>
  <si>
    <t>T267909</t>
  </si>
  <si>
    <t>C8622</t>
  </si>
  <si>
    <t>T325944</t>
  </si>
  <si>
    <t>C2574</t>
  </si>
  <si>
    <t>T242735</t>
  </si>
  <si>
    <t>C8097</t>
  </si>
  <si>
    <t>T748859</t>
  </si>
  <si>
    <t>C2441</t>
  </si>
  <si>
    <t>T611995</t>
  </si>
  <si>
    <t>C1049</t>
  </si>
  <si>
    <t>T994136</t>
  </si>
  <si>
    <t>C5210</t>
  </si>
  <si>
    <t>T176179</t>
  </si>
  <si>
    <t>T936655</t>
  </si>
  <si>
    <t>C7192</t>
  </si>
  <si>
    <t>T395161</t>
  </si>
  <si>
    <t>C3350</t>
  </si>
  <si>
    <t>T511944</t>
  </si>
  <si>
    <t>C5771</t>
  </si>
  <si>
    <t>T145235</t>
  </si>
  <si>
    <t>C8574</t>
  </si>
  <si>
    <t>T215121</t>
  </si>
  <si>
    <t>C6161</t>
  </si>
  <si>
    <t>T268957</t>
  </si>
  <si>
    <t>C5501</t>
  </si>
  <si>
    <t>T968065</t>
  </si>
  <si>
    <t>C9031</t>
  </si>
  <si>
    <t>T694405</t>
  </si>
  <si>
    <t>C2085</t>
  </si>
  <si>
    <t>T755708</t>
  </si>
  <si>
    <t>C2418</t>
  </si>
  <si>
    <t>T446874</t>
  </si>
  <si>
    <t>C1136</t>
  </si>
  <si>
    <t>T392880</t>
  </si>
  <si>
    <t>C7225</t>
  </si>
  <si>
    <t>T392014</t>
  </si>
  <si>
    <t>C3466</t>
  </si>
  <si>
    <t>T907576</t>
  </si>
  <si>
    <t>C5753</t>
  </si>
  <si>
    <t>T449388</t>
  </si>
  <si>
    <t>T910265</t>
  </si>
  <si>
    <t>C8761</t>
  </si>
  <si>
    <t>T371053</t>
  </si>
  <si>
    <t>C1652</t>
  </si>
  <si>
    <t>T811437</t>
  </si>
  <si>
    <t>C7378</t>
  </si>
  <si>
    <t>T578000</t>
  </si>
  <si>
    <t>C9862</t>
  </si>
  <si>
    <t>T298737</t>
  </si>
  <si>
    <t>T780595</t>
  </si>
  <si>
    <t>C7093</t>
  </si>
  <si>
    <t>T646332</t>
  </si>
  <si>
    <t>C4602</t>
  </si>
  <si>
    <t>T669123</t>
  </si>
  <si>
    <t>C4267</t>
  </si>
  <si>
    <t>T706711</t>
  </si>
  <si>
    <t>C4593</t>
  </si>
  <si>
    <t>T681515</t>
  </si>
  <si>
    <t>C7438</t>
  </si>
  <si>
    <t>T917597</t>
  </si>
  <si>
    <t>C3309</t>
  </si>
  <si>
    <t>T794630</t>
  </si>
  <si>
    <t>C2479</t>
  </si>
  <si>
    <t>T246764</t>
  </si>
  <si>
    <t>C9389</t>
  </si>
  <si>
    <t>T769474</t>
  </si>
  <si>
    <t>C1304</t>
  </si>
  <si>
    <t>T989530</t>
  </si>
  <si>
    <t>C2645</t>
  </si>
  <si>
    <t>T827978</t>
  </si>
  <si>
    <t>C4404</t>
  </si>
  <si>
    <t>T431513</t>
  </si>
  <si>
    <t>C5078</t>
  </si>
  <si>
    <t>T744921</t>
  </si>
  <si>
    <t>C2508</t>
  </si>
  <si>
    <t>T370066</t>
  </si>
  <si>
    <t>C9312</t>
  </si>
  <si>
    <t>T242267</t>
  </si>
  <si>
    <t>C6847</t>
  </si>
  <si>
    <t>T500492</t>
  </si>
  <si>
    <t>C5630</t>
  </si>
  <si>
    <t>T382995</t>
  </si>
  <si>
    <t>C6712</t>
  </si>
  <si>
    <t>T122060</t>
  </si>
  <si>
    <t>C9407</t>
  </si>
  <si>
    <t>T997586</t>
  </si>
  <si>
    <t>C5295</t>
  </si>
  <si>
    <t>T410855</t>
  </si>
  <si>
    <t>C2423</t>
  </si>
  <si>
    <t>T697441</t>
  </si>
  <si>
    <t>C6757</t>
  </si>
  <si>
    <t>T576247</t>
  </si>
  <si>
    <t>C8201</t>
  </si>
  <si>
    <t>T486705</t>
  </si>
  <si>
    <t>C9895</t>
  </si>
  <si>
    <t>T137728</t>
  </si>
  <si>
    <t>C1580</t>
  </si>
  <si>
    <t>T876272</t>
  </si>
  <si>
    <t>C5707</t>
  </si>
  <si>
    <t>T496784</t>
  </si>
  <si>
    <t>C7311</t>
  </si>
  <si>
    <t>T470341</t>
  </si>
  <si>
    <t>C7308</t>
  </si>
  <si>
    <t>T623025</t>
  </si>
  <si>
    <t>C3689</t>
  </si>
  <si>
    <t>T141944</t>
  </si>
  <si>
    <t>C7547</t>
  </si>
  <si>
    <t>T808128</t>
  </si>
  <si>
    <t>C3534</t>
  </si>
  <si>
    <t>T505467</t>
  </si>
  <si>
    <t>C2857</t>
  </si>
  <si>
    <t>T339947</t>
  </si>
  <si>
    <t>C4043</t>
  </si>
  <si>
    <t>T307226</t>
  </si>
  <si>
    <t>C2204</t>
  </si>
  <si>
    <t>T151735</t>
  </si>
  <si>
    <t>C1425</t>
  </si>
  <si>
    <t>T141792</t>
  </si>
  <si>
    <t>C5688</t>
  </si>
  <si>
    <t>T440034</t>
  </si>
  <si>
    <t>C2196</t>
  </si>
  <si>
    <t>T683631</t>
  </si>
  <si>
    <t>C7802</t>
  </si>
  <si>
    <t>T597483</t>
  </si>
  <si>
    <t>C1768</t>
  </si>
  <si>
    <t>T933516</t>
  </si>
  <si>
    <t>C4473</t>
  </si>
  <si>
    <t>T508016</t>
  </si>
  <si>
    <t>C8909</t>
  </si>
  <si>
    <t>T370932</t>
  </si>
  <si>
    <t>T341163</t>
  </si>
  <si>
    <t>C1091</t>
  </si>
  <si>
    <t>T740024</t>
  </si>
  <si>
    <t>C8315</t>
  </si>
  <si>
    <t>T737036</t>
  </si>
  <si>
    <t>C7455</t>
  </si>
  <si>
    <t>T387105</t>
  </si>
  <si>
    <t>C3838</t>
  </si>
  <si>
    <t>T596864</t>
  </si>
  <si>
    <t>C5209</t>
  </si>
  <si>
    <t>T924902</t>
  </si>
  <si>
    <t>C1459</t>
  </si>
  <si>
    <t>T374220</t>
  </si>
  <si>
    <t>C7549</t>
  </si>
  <si>
    <t>T137015</t>
  </si>
  <si>
    <t>C1706</t>
  </si>
  <si>
    <t>T433801</t>
  </si>
  <si>
    <t>C3220</t>
  </si>
  <si>
    <t>T532995</t>
  </si>
  <si>
    <t>C4643</t>
  </si>
  <si>
    <t>T938398</t>
  </si>
  <si>
    <t>T966404</t>
  </si>
  <si>
    <t>C7200</t>
  </si>
  <si>
    <t>T178505</t>
  </si>
  <si>
    <t>C4369</t>
  </si>
  <si>
    <t>T380053</t>
  </si>
  <si>
    <t>C8252</t>
  </si>
  <si>
    <t>T362627</t>
  </si>
  <si>
    <t>C5008</t>
  </si>
  <si>
    <t>T266673</t>
  </si>
  <si>
    <t>C2228</t>
  </si>
  <si>
    <t>T210368</t>
  </si>
  <si>
    <t>C3236</t>
  </si>
  <si>
    <t>T846295</t>
  </si>
  <si>
    <t>T343431</t>
  </si>
  <si>
    <t>C7113</t>
  </si>
  <si>
    <t>T899958</t>
  </si>
  <si>
    <t>C3882</t>
  </si>
  <si>
    <t>T722735</t>
  </si>
  <si>
    <t>C4149</t>
  </si>
  <si>
    <t>T523962</t>
  </si>
  <si>
    <t>C9832</t>
  </si>
  <si>
    <t>T407862</t>
  </si>
  <si>
    <t>C5149</t>
  </si>
  <si>
    <t>T538425</t>
  </si>
  <si>
    <t>T632134</t>
  </si>
  <si>
    <t>C7433</t>
  </si>
  <si>
    <t>T526876</t>
  </si>
  <si>
    <t>C2047</t>
  </si>
  <si>
    <t>T921208</t>
  </si>
  <si>
    <t>C7156</t>
  </si>
  <si>
    <t>T107777</t>
  </si>
  <si>
    <t>C2716</t>
  </si>
  <si>
    <t>T278123</t>
  </si>
  <si>
    <t>C4692</t>
  </si>
  <si>
    <t>T628211</t>
  </si>
  <si>
    <t>C2225</t>
  </si>
  <si>
    <t>T363132</t>
  </si>
  <si>
    <t>C9466</t>
  </si>
  <si>
    <t>T812351</t>
  </si>
  <si>
    <t>C4869</t>
  </si>
  <si>
    <t>T470937</t>
  </si>
  <si>
    <t>C6424</t>
  </si>
  <si>
    <t>T238160</t>
  </si>
  <si>
    <t>C6435</t>
  </si>
  <si>
    <t>T424145</t>
  </si>
  <si>
    <t>C4357</t>
  </si>
  <si>
    <t>T668646</t>
  </si>
  <si>
    <t>C6351</t>
  </si>
  <si>
    <t>T971393</t>
  </si>
  <si>
    <t>C4104</t>
  </si>
  <si>
    <t>T665618</t>
  </si>
  <si>
    <t>C5158</t>
  </si>
  <si>
    <t>T755741</t>
  </si>
  <si>
    <t>C3773</t>
  </si>
  <si>
    <t>T947710</t>
  </si>
  <si>
    <t>T167122</t>
  </si>
  <si>
    <t>C3720</t>
  </si>
  <si>
    <t>T480608</t>
  </si>
  <si>
    <t>C7413</t>
  </si>
  <si>
    <t>T253427</t>
  </si>
  <si>
    <t>C2088</t>
  </si>
  <si>
    <t>T717253</t>
  </si>
  <si>
    <t>C5047</t>
  </si>
  <si>
    <t>T990077</t>
  </si>
  <si>
    <t>C4938</t>
  </si>
  <si>
    <t>T699291</t>
  </si>
  <si>
    <t>C9065</t>
  </si>
  <si>
    <t>T204765</t>
  </si>
  <si>
    <t>C5136</t>
  </si>
  <si>
    <t>T491775</t>
  </si>
  <si>
    <t>C5952</t>
  </si>
  <si>
    <t>T376185</t>
  </si>
  <si>
    <t>C3493</t>
  </si>
  <si>
    <t>T397967</t>
  </si>
  <si>
    <t>C8538</t>
  </si>
  <si>
    <t>T485878</t>
  </si>
  <si>
    <t>C8262</t>
  </si>
  <si>
    <t>T962754</t>
  </si>
  <si>
    <t>C7499</t>
  </si>
  <si>
    <t>T462698</t>
  </si>
  <si>
    <t>C3410</t>
  </si>
  <si>
    <t>T863395</t>
  </si>
  <si>
    <t>C6254</t>
  </si>
  <si>
    <t>T771537</t>
  </si>
  <si>
    <t>C2733</t>
  </si>
  <si>
    <t>T941153</t>
  </si>
  <si>
    <t>C4381</t>
  </si>
  <si>
    <t>T124197</t>
  </si>
  <si>
    <t>T729411</t>
  </si>
  <si>
    <t>C3819</t>
  </si>
  <si>
    <t>T167754</t>
  </si>
  <si>
    <t>C7788</t>
  </si>
  <si>
    <t>T571408</t>
  </si>
  <si>
    <t>C6276</t>
  </si>
  <si>
    <t>T611018</t>
  </si>
  <si>
    <t>C6395</t>
  </si>
  <si>
    <t>T584298</t>
  </si>
  <si>
    <t>C5289</t>
  </si>
  <si>
    <t>T436045</t>
  </si>
  <si>
    <t>C7222</t>
  </si>
  <si>
    <t>T906971</t>
  </si>
  <si>
    <t>T211399</t>
  </si>
  <si>
    <t>C5695</t>
  </si>
  <si>
    <t>T440255</t>
  </si>
  <si>
    <t>C9745</t>
  </si>
  <si>
    <t>T811628</t>
  </si>
  <si>
    <t>C7874</t>
  </si>
  <si>
    <t>T759832</t>
  </si>
  <si>
    <t>C4510</t>
  </si>
  <si>
    <t>T261962</t>
  </si>
  <si>
    <t>C6639</t>
  </si>
  <si>
    <t>T572261</t>
  </si>
  <si>
    <t>C7548</t>
  </si>
  <si>
    <t>T616630</t>
  </si>
  <si>
    <t>C7148</t>
  </si>
  <si>
    <t>T373383</t>
  </si>
  <si>
    <t>C5334</t>
  </si>
  <si>
    <t>T125800</t>
  </si>
  <si>
    <t>C7975</t>
  </si>
  <si>
    <t>T307579</t>
  </si>
  <si>
    <t>C7140</t>
  </si>
  <si>
    <t>T816536</t>
  </si>
  <si>
    <t>C6346</t>
  </si>
  <si>
    <t>T121906</t>
  </si>
  <si>
    <t>C1318</t>
  </si>
  <si>
    <t>T368696</t>
  </si>
  <si>
    <t>T450528</t>
  </si>
  <si>
    <t>C1767</t>
  </si>
  <si>
    <t>T504229</t>
  </si>
  <si>
    <t>C4435</t>
  </si>
  <si>
    <t>T931406</t>
  </si>
  <si>
    <t>C1816</t>
  </si>
  <si>
    <t>T455152</t>
  </si>
  <si>
    <t>C3558</t>
  </si>
  <si>
    <t>T827304</t>
  </si>
  <si>
    <t>C6343</t>
  </si>
  <si>
    <t>T444665</t>
  </si>
  <si>
    <t>C6795</t>
  </si>
  <si>
    <t>T219998</t>
  </si>
  <si>
    <t>C7824</t>
  </si>
  <si>
    <t>T798729</t>
  </si>
  <si>
    <t>T882094</t>
  </si>
  <si>
    <t>C2208</t>
  </si>
  <si>
    <t>T505822</t>
  </si>
  <si>
    <t>C6275</t>
  </si>
  <si>
    <t>T612086</t>
  </si>
  <si>
    <t>C5697</t>
  </si>
  <si>
    <t>T911151</t>
  </si>
  <si>
    <t>C8898</t>
  </si>
  <si>
    <t>T299766</t>
  </si>
  <si>
    <t>C9860</t>
  </si>
  <si>
    <t>T828196</t>
  </si>
  <si>
    <t>C1838</t>
  </si>
  <si>
    <t>T382560</t>
  </si>
  <si>
    <t>C7840</t>
  </si>
  <si>
    <t>T522452</t>
  </si>
  <si>
    <t>C1387</t>
  </si>
  <si>
    <t>T786306</t>
  </si>
  <si>
    <t>C5577</t>
  </si>
  <si>
    <t>T655264</t>
  </si>
  <si>
    <t>C9021</t>
  </si>
  <si>
    <t>T876775</t>
  </si>
  <si>
    <t>C1329</t>
  </si>
  <si>
    <t>T773460</t>
  </si>
  <si>
    <t>C6946</t>
  </si>
  <si>
    <t>T795750</t>
  </si>
  <si>
    <t>C1818</t>
  </si>
  <si>
    <t>T286437</t>
  </si>
  <si>
    <t>C8445</t>
  </si>
  <si>
    <t>T438853</t>
  </si>
  <si>
    <t>C1262</t>
  </si>
  <si>
    <t>T753981</t>
  </si>
  <si>
    <t>C7872</t>
  </si>
  <si>
    <t>T407753</t>
  </si>
  <si>
    <t>C7477</t>
  </si>
  <si>
    <t>T935016</t>
  </si>
  <si>
    <t>C6832</t>
  </si>
  <si>
    <t>T144585</t>
  </si>
  <si>
    <t>C6047</t>
  </si>
  <si>
    <t>T511770</t>
  </si>
  <si>
    <t>C3305</t>
  </si>
  <si>
    <t>T735774</t>
  </si>
  <si>
    <t>C8133</t>
  </si>
  <si>
    <t>T281838</t>
  </si>
  <si>
    <t>C6852</t>
  </si>
  <si>
    <t>T359451</t>
  </si>
  <si>
    <t>C2912</t>
  </si>
  <si>
    <t>T536322</t>
  </si>
  <si>
    <t>C4905</t>
  </si>
  <si>
    <t>T798207</t>
  </si>
  <si>
    <t>T640288</t>
  </si>
  <si>
    <t>C5720</t>
  </si>
  <si>
    <t>T891207</t>
  </si>
  <si>
    <t>C1134</t>
  </si>
  <si>
    <t>T522259</t>
  </si>
  <si>
    <t>C9328</t>
  </si>
  <si>
    <t>T976025</t>
  </si>
  <si>
    <t>C9250</t>
  </si>
  <si>
    <t>T895649</t>
  </si>
  <si>
    <t>C8528</t>
  </si>
  <si>
    <t>T237702</t>
  </si>
  <si>
    <t>C8961</t>
  </si>
  <si>
    <t>T212889</t>
  </si>
  <si>
    <t>C1129</t>
  </si>
  <si>
    <t>T816367</t>
  </si>
  <si>
    <t>C9010</t>
  </si>
  <si>
    <t>T255161</t>
  </si>
  <si>
    <t>C5718</t>
  </si>
  <si>
    <t>T643375</t>
  </si>
  <si>
    <t>C4496</t>
  </si>
  <si>
    <t>T122239</t>
  </si>
  <si>
    <t>C8297</t>
  </si>
  <si>
    <t>T593884</t>
  </si>
  <si>
    <t>C7767</t>
  </si>
  <si>
    <t>T734035</t>
  </si>
  <si>
    <t>C1032</t>
  </si>
  <si>
    <t>T690966</t>
  </si>
  <si>
    <t>C5957</t>
  </si>
  <si>
    <t>T248387</t>
  </si>
  <si>
    <t>T369414</t>
  </si>
  <si>
    <t>T730198</t>
  </si>
  <si>
    <t>C3657</t>
  </si>
  <si>
    <t>T817484</t>
  </si>
  <si>
    <t>C2359</t>
  </si>
  <si>
    <t>T318698</t>
  </si>
  <si>
    <t>C3554</t>
  </si>
  <si>
    <t>T300616</t>
  </si>
  <si>
    <t>C8954</t>
  </si>
  <si>
    <t>T797882</t>
  </si>
  <si>
    <t>C4898</t>
  </si>
  <si>
    <t>T457105</t>
  </si>
  <si>
    <t>C6368</t>
  </si>
  <si>
    <t>T843114</t>
  </si>
  <si>
    <t>T292137</t>
  </si>
  <si>
    <t>C7868</t>
  </si>
  <si>
    <t>T694704</t>
  </si>
  <si>
    <t>C5930</t>
  </si>
  <si>
    <t>T774624</t>
  </si>
  <si>
    <t>C5218</t>
  </si>
  <si>
    <t>T825875</t>
  </si>
  <si>
    <t>C3255</t>
  </si>
  <si>
    <t>T482993</t>
  </si>
  <si>
    <t>C9515</t>
  </si>
  <si>
    <t>T782452</t>
  </si>
  <si>
    <t>C8399</t>
  </si>
  <si>
    <t>T615643</t>
  </si>
  <si>
    <t>C1946</t>
  </si>
  <si>
    <t>T278887</t>
  </si>
  <si>
    <t>C2265</t>
  </si>
  <si>
    <t>T658658</t>
  </si>
  <si>
    <t>T222039</t>
  </si>
  <si>
    <t>C4190</t>
  </si>
  <si>
    <t>T108799</t>
  </si>
  <si>
    <t>C2885</t>
  </si>
  <si>
    <t>T470570</t>
  </si>
  <si>
    <t>T926176</t>
  </si>
  <si>
    <t>C9081</t>
  </si>
  <si>
    <t>T849121</t>
  </si>
  <si>
    <t>C4027</t>
  </si>
  <si>
    <t>T420116</t>
  </si>
  <si>
    <t>C6489</t>
  </si>
  <si>
    <t>T674058</t>
  </si>
  <si>
    <t>C3512</t>
  </si>
  <si>
    <t>T795251</t>
  </si>
  <si>
    <t>C1435</t>
  </si>
  <si>
    <t>T869504</t>
  </si>
  <si>
    <t>C5750</t>
  </si>
  <si>
    <t>T860381</t>
  </si>
  <si>
    <t>C3191</t>
  </si>
  <si>
    <t>T600366</t>
  </si>
  <si>
    <t>C7497</t>
  </si>
  <si>
    <t>T830620</t>
  </si>
  <si>
    <t>C9154</t>
  </si>
  <si>
    <t>T703305</t>
  </si>
  <si>
    <t>T941356</t>
  </si>
  <si>
    <t>C5275</t>
  </si>
  <si>
    <t>T591389</t>
  </si>
  <si>
    <t>C9734</t>
  </si>
  <si>
    <t>T836460</t>
  </si>
  <si>
    <t>C6091</t>
  </si>
  <si>
    <t>T152838</t>
  </si>
  <si>
    <t>C2584</t>
  </si>
  <si>
    <t>T958845</t>
  </si>
  <si>
    <t>C8140</t>
  </si>
  <si>
    <t>T664012</t>
  </si>
  <si>
    <t>C7330</t>
  </si>
  <si>
    <t>T531960</t>
  </si>
  <si>
    <t>C3709</t>
  </si>
  <si>
    <t>T309179</t>
  </si>
  <si>
    <t>C3426</t>
  </si>
  <si>
    <t>T779214</t>
  </si>
  <si>
    <t>C7017</t>
  </si>
  <si>
    <t>T378575</t>
  </si>
  <si>
    <t>C8595</t>
  </si>
  <si>
    <t>T679358</t>
  </si>
  <si>
    <t>C3175</t>
  </si>
  <si>
    <t>T103644</t>
  </si>
  <si>
    <t>C4478</t>
  </si>
  <si>
    <t>T925434</t>
  </si>
  <si>
    <t>C2186</t>
  </si>
  <si>
    <t>T256867</t>
  </si>
  <si>
    <t>C3496</t>
  </si>
  <si>
    <t>T681229</t>
  </si>
  <si>
    <t>C4700</t>
  </si>
  <si>
    <t>T400805</t>
  </si>
  <si>
    <t>C1475</t>
  </si>
  <si>
    <t>T256266</t>
  </si>
  <si>
    <t>C6369</t>
  </si>
  <si>
    <t>T524709</t>
  </si>
  <si>
    <t>C3628</t>
  </si>
  <si>
    <t>T338940</t>
  </si>
  <si>
    <t>C9119</t>
  </si>
  <si>
    <t>T318835</t>
  </si>
  <si>
    <t>T966753</t>
  </si>
  <si>
    <t>C2821</t>
  </si>
  <si>
    <t>T997816</t>
  </si>
  <si>
    <t>C9403</t>
  </si>
  <si>
    <t>T184564</t>
  </si>
  <si>
    <t>C5120</t>
  </si>
  <si>
    <t>T303051</t>
  </si>
  <si>
    <t>C8206</t>
  </si>
  <si>
    <t>T886037</t>
  </si>
  <si>
    <t>C4451</t>
  </si>
  <si>
    <t>T198198</t>
  </si>
  <si>
    <t>C8750</t>
  </si>
  <si>
    <t>T155438</t>
  </si>
  <si>
    <t>C6106</t>
  </si>
  <si>
    <t>T375349</t>
  </si>
  <si>
    <t>C2704</t>
  </si>
  <si>
    <t>T343502</t>
  </si>
  <si>
    <t>C3279</t>
  </si>
  <si>
    <t>T464917</t>
  </si>
  <si>
    <t>T116690</t>
  </si>
  <si>
    <t>C6924</t>
  </si>
  <si>
    <t>T775228</t>
  </si>
  <si>
    <t>C1759</t>
  </si>
  <si>
    <t>T991983</t>
  </si>
  <si>
    <t>C5565</t>
  </si>
  <si>
    <t>T122773</t>
  </si>
  <si>
    <t>C9330</t>
  </si>
  <si>
    <t>T288939</t>
  </si>
  <si>
    <t>C3847</t>
  </si>
  <si>
    <t>T800258</t>
  </si>
  <si>
    <t>C4543</t>
  </si>
  <si>
    <t>T893444</t>
  </si>
  <si>
    <t>C7363</t>
  </si>
  <si>
    <t>T793412</t>
  </si>
  <si>
    <t>C2922</t>
  </si>
  <si>
    <t>T278115</t>
  </si>
  <si>
    <t>C3940</t>
  </si>
  <si>
    <t>T294943</t>
  </si>
  <si>
    <t>C6765</t>
  </si>
  <si>
    <t>T930888</t>
  </si>
  <si>
    <t>C8091</t>
  </si>
  <si>
    <t>T881056</t>
  </si>
  <si>
    <t>C5756</t>
  </si>
  <si>
    <t>T618902</t>
  </si>
  <si>
    <t>C5177</t>
  </si>
  <si>
    <t>T813012</t>
  </si>
  <si>
    <t>C7689</t>
  </si>
  <si>
    <t>T584103</t>
  </si>
  <si>
    <t>C6955</t>
  </si>
  <si>
    <t>T744555</t>
  </si>
  <si>
    <t>C9526</t>
  </si>
  <si>
    <t>T899336</t>
  </si>
  <si>
    <t>T654751</t>
  </si>
  <si>
    <t>C8220</t>
  </si>
  <si>
    <t>T192757</t>
  </si>
  <si>
    <t>C1186</t>
  </si>
  <si>
    <t>T920537</t>
  </si>
  <si>
    <t>C8874</t>
  </si>
  <si>
    <t>T716687</t>
  </si>
  <si>
    <t>C4554</t>
  </si>
  <si>
    <t>T237394</t>
  </si>
  <si>
    <t>C7254</t>
  </si>
  <si>
    <t>T890850</t>
  </si>
  <si>
    <t>C4976</t>
  </si>
  <si>
    <t>T843883</t>
  </si>
  <si>
    <t>C7466</t>
  </si>
  <si>
    <t>T959828</t>
  </si>
  <si>
    <t>C3049</t>
  </si>
  <si>
    <t>T190146</t>
  </si>
  <si>
    <t>T403717</t>
  </si>
  <si>
    <t>C8536</t>
  </si>
  <si>
    <t>T899144</t>
  </si>
  <si>
    <t>T575102</t>
  </si>
  <si>
    <t>C1229</t>
  </si>
  <si>
    <t>T520585</t>
  </si>
  <si>
    <t>C1763</t>
  </si>
  <si>
    <t>T742385</t>
  </si>
  <si>
    <t>C3920</t>
  </si>
  <si>
    <t>T656169</t>
  </si>
  <si>
    <t>C4015</t>
  </si>
  <si>
    <t>T198324</t>
  </si>
  <si>
    <t>T433949</t>
  </si>
  <si>
    <t>C3056</t>
  </si>
  <si>
    <t>T717605</t>
  </si>
  <si>
    <t>C2411</t>
  </si>
  <si>
    <t>T849875</t>
  </si>
  <si>
    <t>T539610</t>
  </si>
  <si>
    <t>C1059</t>
  </si>
  <si>
    <t>T405007</t>
  </si>
  <si>
    <t>C8870</t>
  </si>
  <si>
    <t>T963856</t>
  </si>
  <si>
    <t>C3588</t>
  </si>
  <si>
    <t>T343061</t>
  </si>
  <si>
    <t>T418923</t>
  </si>
  <si>
    <t>C2838</t>
  </si>
  <si>
    <t>T960302</t>
  </si>
  <si>
    <t>C5355</t>
  </si>
  <si>
    <t>T911326</t>
  </si>
  <si>
    <t>C7024</t>
  </si>
  <si>
    <t>T529790</t>
  </si>
  <si>
    <t>C3525</t>
  </si>
  <si>
    <t>T402744</t>
  </si>
  <si>
    <t>C9551</t>
  </si>
  <si>
    <t>T188950</t>
  </si>
  <si>
    <t>C2203</t>
  </si>
  <si>
    <t>T568900</t>
  </si>
  <si>
    <t>C9434</t>
  </si>
  <si>
    <t>T271249</t>
  </si>
  <si>
    <t>C5631</t>
  </si>
  <si>
    <t>T917152</t>
  </si>
  <si>
    <t>C4982</t>
  </si>
  <si>
    <t>T659551</t>
  </si>
  <si>
    <t>C4232</t>
  </si>
  <si>
    <t>T681059</t>
  </si>
  <si>
    <t>C8723</t>
  </si>
  <si>
    <t>T238175</t>
  </si>
  <si>
    <t>C1957</t>
  </si>
  <si>
    <t>T929739</t>
  </si>
  <si>
    <t>C8609</t>
  </si>
  <si>
    <t>T271243</t>
  </si>
  <si>
    <t>C4100</t>
  </si>
  <si>
    <t>T655968</t>
  </si>
  <si>
    <t>T368767</t>
  </si>
  <si>
    <t>C2237</t>
  </si>
  <si>
    <t>T543849</t>
  </si>
  <si>
    <t>C8513</t>
  </si>
  <si>
    <t>T501143</t>
  </si>
  <si>
    <t>C2273</t>
  </si>
  <si>
    <t>T239582</t>
  </si>
  <si>
    <t>C3795</t>
  </si>
  <si>
    <t>T251187</t>
  </si>
  <si>
    <t>C5795</t>
  </si>
  <si>
    <t>T117667</t>
  </si>
  <si>
    <t>C2035</t>
  </si>
  <si>
    <t>T761349</t>
  </si>
  <si>
    <t>C4477</t>
  </si>
  <si>
    <t>T850606</t>
  </si>
  <si>
    <t>T562534</t>
  </si>
  <si>
    <t>C7739</t>
  </si>
  <si>
    <t>T147835</t>
  </si>
  <si>
    <t>C2249</t>
  </si>
  <si>
    <t>T491326</t>
  </si>
  <si>
    <t>C6261</t>
  </si>
  <si>
    <t>T539162</t>
  </si>
  <si>
    <t>C6222</t>
  </si>
  <si>
    <t>T781082</t>
  </si>
  <si>
    <t>C1133</t>
  </si>
  <si>
    <t>T961321</t>
  </si>
  <si>
    <t>C9442</t>
  </si>
  <si>
    <t>T141933</t>
  </si>
  <si>
    <t>C5555</t>
  </si>
  <si>
    <t>T461360</t>
  </si>
  <si>
    <t>C1046</t>
  </si>
  <si>
    <t>T568395</t>
  </si>
  <si>
    <t>C3779</t>
  </si>
  <si>
    <t>T470193</t>
  </si>
  <si>
    <t>T729342</t>
  </si>
  <si>
    <t>C1643</t>
  </si>
  <si>
    <t>T126134</t>
  </si>
  <si>
    <t>C6155</t>
  </si>
  <si>
    <t>T430317</t>
  </si>
  <si>
    <t>C6675</t>
  </si>
  <si>
    <t>T195778</t>
  </si>
  <si>
    <t>C3441</t>
  </si>
  <si>
    <t>T696135</t>
  </si>
  <si>
    <t>C9418</t>
  </si>
  <si>
    <t>T131076</t>
  </si>
  <si>
    <t>C6867</t>
  </si>
  <si>
    <t>T540615</t>
  </si>
  <si>
    <t>C1249</t>
  </si>
  <si>
    <t>T384558</t>
  </si>
  <si>
    <t>C2971</t>
  </si>
  <si>
    <t>T577897</t>
  </si>
  <si>
    <t>C5043</t>
  </si>
  <si>
    <t>T505313</t>
  </si>
  <si>
    <t>C7385</t>
  </si>
  <si>
    <t>T265474</t>
  </si>
  <si>
    <t>T243016</t>
  </si>
  <si>
    <t>C5574</t>
  </si>
  <si>
    <t>T373817</t>
  </si>
  <si>
    <t>C3979</t>
  </si>
  <si>
    <t>T409320</t>
  </si>
  <si>
    <t>C2146</t>
  </si>
  <si>
    <t>T485528</t>
  </si>
  <si>
    <t>C1881</t>
  </si>
  <si>
    <t>T101585</t>
  </si>
  <si>
    <t>C6632</t>
  </si>
  <si>
    <t>T588870</t>
  </si>
  <si>
    <t>C3768</t>
  </si>
  <si>
    <t>T594079</t>
  </si>
  <si>
    <t>C9651</t>
  </si>
  <si>
    <t>T240471</t>
  </si>
  <si>
    <t>C1587</t>
  </si>
  <si>
    <t>T831036</t>
  </si>
  <si>
    <t>C4066</t>
  </si>
  <si>
    <t>T574222</t>
  </si>
  <si>
    <t>C1902</t>
  </si>
  <si>
    <t>T753322</t>
  </si>
  <si>
    <t>C1258</t>
  </si>
  <si>
    <t>T893113</t>
  </si>
  <si>
    <t>C9865</t>
  </si>
  <si>
    <t>T922772</t>
  </si>
  <si>
    <t>C9544</t>
  </si>
  <si>
    <t>T968116</t>
  </si>
  <si>
    <t>C5633</t>
  </si>
  <si>
    <t>T890011</t>
  </si>
  <si>
    <t>C8098</t>
  </si>
  <si>
    <t>T992491</t>
  </si>
  <si>
    <t>C6111</t>
  </si>
  <si>
    <t>T101413</t>
  </si>
  <si>
    <t>C2869</t>
  </si>
  <si>
    <t>T285690</t>
  </si>
  <si>
    <t>C9809</t>
  </si>
  <si>
    <t>T444001</t>
  </si>
  <si>
    <t>C9990</t>
  </si>
  <si>
    <t>T966699</t>
  </si>
  <si>
    <t>C6093</t>
  </si>
  <si>
    <t>T160968</t>
  </si>
  <si>
    <t>C7594</t>
  </si>
  <si>
    <t>T936956</t>
  </si>
  <si>
    <t>C5616</t>
  </si>
  <si>
    <t>T906670</t>
  </si>
  <si>
    <t>T733990</t>
  </si>
  <si>
    <t>C2897</t>
  </si>
  <si>
    <t>T453758</t>
  </si>
  <si>
    <t>T680523</t>
  </si>
  <si>
    <t>C1918</t>
  </si>
  <si>
    <t>T355664</t>
  </si>
  <si>
    <t>C7273</t>
  </si>
  <si>
    <t>T404455</t>
  </si>
  <si>
    <t>C9548</t>
  </si>
  <si>
    <t>T200576</t>
  </si>
  <si>
    <t>C4241</t>
  </si>
  <si>
    <t>T720678</t>
  </si>
  <si>
    <t>C2335</t>
  </si>
  <si>
    <t>T814434</t>
  </si>
  <si>
    <t>C2116</t>
  </si>
  <si>
    <t>T144196</t>
  </si>
  <si>
    <t>T222016</t>
  </si>
  <si>
    <t>C9788</t>
  </si>
  <si>
    <t>T874539</t>
  </si>
  <si>
    <t>C7686</t>
  </si>
  <si>
    <t>T991994</t>
  </si>
  <si>
    <t>C3811</t>
  </si>
  <si>
    <t>T970415</t>
  </si>
  <si>
    <t>C2364</t>
  </si>
  <si>
    <t>T275138</t>
  </si>
  <si>
    <t>C4772</t>
  </si>
  <si>
    <t>T712641</t>
  </si>
  <si>
    <t>C8401</t>
  </si>
  <si>
    <t>T931983</t>
  </si>
  <si>
    <t>C3776</t>
  </si>
  <si>
    <t>T788572</t>
  </si>
  <si>
    <t>C6678</t>
  </si>
  <si>
    <t>T201067</t>
  </si>
  <si>
    <t>C8338</t>
  </si>
  <si>
    <t>T792727</t>
  </si>
  <si>
    <t>C4501</t>
  </si>
  <si>
    <t>T940521</t>
  </si>
  <si>
    <t>C2964</t>
  </si>
  <si>
    <t>T596969</t>
  </si>
  <si>
    <t>C8839</t>
  </si>
  <si>
    <t>T471897</t>
  </si>
  <si>
    <t>C2421</t>
  </si>
  <si>
    <t>T882525</t>
  </si>
  <si>
    <t>C7373</t>
  </si>
  <si>
    <t>T608545</t>
  </si>
  <si>
    <t>C8584</t>
  </si>
  <si>
    <t>T463287</t>
  </si>
  <si>
    <t>C9721</t>
  </si>
  <si>
    <t>T380098</t>
  </si>
  <si>
    <t>T904883</t>
  </si>
  <si>
    <t>C1184</t>
  </si>
  <si>
    <t>T602801</t>
  </si>
  <si>
    <t>C9233</t>
  </si>
  <si>
    <t>T684103</t>
  </si>
  <si>
    <t>C5819</t>
  </si>
  <si>
    <t>T211758</t>
  </si>
  <si>
    <t>T259667</t>
  </si>
  <si>
    <t>T971150</t>
  </si>
  <si>
    <t>C4819</t>
  </si>
  <si>
    <t>T571860</t>
  </si>
  <si>
    <t>C3913</t>
  </si>
  <si>
    <t>T714324</t>
  </si>
  <si>
    <t>C6514</t>
  </si>
  <si>
    <t>T134387</t>
  </si>
  <si>
    <t>C3589</t>
  </si>
  <si>
    <t>T678502</t>
  </si>
  <si>
    <t>C2796</t>
  </si>
  <si>
    <t>T348742</t>
  </si>
  <si>
    <t>C8979</t>
  </si>
  <si>
    <t>T303246</t>
  </si>
  <si>
    <t>C6257</t>
  </si>
  <si>
    <t>T498562</t>
  </si>
  <si>
    <t>T181335</t>
  </si>
  <si>
    <t>C8405</t>
  </si>
  <si>
    <t>T177081</t>
  </si>
  <si>
    <t>C1908</t>
  </si>
  <si>
    <t>T479740</t>
  </si>
  <si>
    <t>C1977</t>
  </si>
  <si>
    <t>T368435</t>
  </si>
  <si>
    <t>C7129</t>
  </si>
  <si>
    <t>T330842</t>
  </si>
  <si>
    <t>C5852</t>
  </si>
  <si>
    <t>T426390</t>
  </si>
  <si>
    <t>C3608</t>
  </si>
  <si>
    <t>T893312</t>
  </si>
  <si>
    <t>T478016</t>
  </si>
  <si>
    <t>C4750</t>
  </si>
  <si>
    <t>T580714</t>
  </si>
  <si>
    <t>C3549</t>
  </si>
  <si>
    <t>T109083</t>
  </si>
  <si>
    <t>C2575</t>
  </si>
  <si>
    <t>T294038</t>
  </si>
  <si>
    <t>C5639</t>
  </si>
  <si>
    <t>T855324</t>
  </si>
  <si>
    <t>C8216</t>
  </si>
  <si>
    <t>T732272</t>
  </si>
  <si>
    <t>C2493</t>
  </si>
  <si>
    <t>T681357</t>
  </si>
  <si>
    <t>C8382</t>
  </si>
  <si>
    <t>T573362</t>
  </si>
  <si>
    <t>C2724</t>
  </si>
  <si>
    <t>T452474</t>
  </si>
  <si>
    <t>C7843</t>
  </si>
  <si>
    <t>T640611</t>
  </si>
  <si>
    <t>C6105</t>
  </si>
  <si>
    <t>T558204</t>
  </si>
  <si>
    <t>C1739</t>
  </si>
  <si>
    <t>T747286</t>
  </si>
  <si>
    <t>C4102</t>
  </si>
  <si>
    <t>T826466</t>
  </si>
  <si>
    <t>C8072</t>
  </si>
  <si>
    <t>T760568</t>
  </si>
  <si>
    <t>C6740</t>
  </si>
  <si>
    <t>T881682</t>
  </si>
  <si>
    <t>C5578</t>
  </si>
  <si>
    <t>T888268</t>
  </si>
  <si>
    <t>C1359</t>
  </si>
  <si>
    <t>T605338</t>
  </si>
  <si>
    <t>C5463</t>
  </si>
  <si>
    <t>T228406</t>
  </si>
  <si>
    <t>C7685</t>
  </si>
  <si>
    <t>T393715</t>
  </si>
  <si>
    <t>C9228</t>
  </si>
  <si>
    <t>T475340</t>
  </si>
  <si>
    <t>C6423</t>
  </si>
  <si>
    <t>T957362</t>
  </si>
  <si>
    <t>C7361</t>
  </si>
  <si>
    <t>T844095</t>
  </si>
  <si>
    <t>T293492</t>
  </si>
  <si>
    <t>T871884</t>
  </si>
  <si>
    <t>C5397</t>
  </si>
  <si>
    <t>T748406</t>
  </si>
  <si>
    <t>C7475</t>
  </si>
  <si>
    <t>T915568</t>
  </si>
  <si>
    <t>T166740</t>
  </si>
  <si>
    <t>C9754</t>
  </si>
  <si>
    <t>T667972</t>
  </si>
  <si>
    <t>C5229</t>
  </si>
  <si>
    <t>T825220</t>
  </si>
  <si>
    <t>T352739</t>
  </si>
  <si>
    <t>C9004</t>
  </si>
  <si>
    <t>T476734</t>
  </si>
  <si>
    <t>C9853</t>
  </si>
  <si>
    <t>T389794</t>
  </si>
  <si>
    <t>C5057</t>
  </si>
  <si>
    <t>T641128</t>
  </si>
  <si>
    <t>C3192</t>
  </si>
  <si>
    <t>T576029</t>
  </si>
  <si>
    <t>C7554</t>
  </si>
  <si>
    <t>T738355</t>
  </si>
  <si>
    <t>C8430</t>
  </si>
  <si>
    <t>T553180</t>
  </si>
  <si>
    <t>C2219</t>
  </si>
  <si>
    <t>T753345</t>
  </si>
  <si>
    <t>C9024</t>
  </si>
  <si>
    <t>T740717</t>
  </si>
  <si>
    <t>C5604</t>
  </si>
  <si>
    <t>T303831</t>
  </si>
  <si>
    <t>C9699</t>
  </si>
  <si>
    <t>T447237</t>
  </si>
  <si>
    <t>C1815</t>
  </si>
  <si>
    <t>T900449</t>
  </si>
  <si>
    <t>C5042</t>
  </si>
  <si>
    <t>T824650</t>
  </si>
  <si>
    <t>C4283</t>
  </si>
  <si>
    <t>T964232</t>
  </si>
  <si>
    <t>C4923</t>
  </si>
  <si>
    <t>T863586</t>
  </si>
  <si>
    <t>C1244</t>
  </si>
  <si>
    <t>T683383</t>
  </si>
  <si>
    <t>C3990</t>
  </si>
  <si>
    <t>T967701</t>
  </si>
  <si>
    <t>C3096</t>
  </si>
  <si>
    <t>T671392</t>
  </si>
  <si>
    <t>C6300</t>
  </si>
  <si>
    <t>T836645</t>
  </si>
  <si>
    <t>C6512</t>
  </si>
  <si>
    <t>T368972</t>
  </si>
  <si>
    <t>C1299</t>
  </si>
  <si>
    <t>T940722</t>
  </si>
  <si>
    <t>C9372</t>
  </si>
  <si>
    <t>T130364</t>
  </si>
  <si>
    <t>C1567</t>
  </si>
  <si>
    <t>T202404</t>
  </si>
  <si>
    <t>C2637</t>
  </si>
  <si>
    <t>T671630</t>
  </si>
  <si>
    <t>C6013</t>
  </si>
  <si>
    <t>T999362</t>
  </si>
  <si>
    <t>C4646</t>
  </si>
  <si>
    <t>T267674</t>
  </si>
  <si>
    <t>C7337</t>
  </si>
  <si>
    <t>T276870</t>
  </si>
  <si>
    <t>C2563</t>
  </si>
  <si>
    <t>T643352</t>
  </si>
  <si>
    <t>C4908</t>
  </si>
  <si>
    <t>T733981</t>
  </si>
  <si>
    <t>C8167</t>
  </si>
  <si>
    <t>T483407</t>
  </si>
  <si>
    <t>C8535</t>
  </si>
  <si>
    <t>T883687</t>
  </si>
  <si>
    <t>C8214</t>
  </si>
  <si>
    <t>T574823</t>
  </si>
  <si>
    <t>C7963</t>
  </si>
  <si>
    <t>T516027</t>
  </si>
  <si>
    <t>C6497</t>
  </si>
  <si>
    <t>T517980</t>
  </si>
  <si>
    <t>C1430</t>
  </si>
  <si>
    <t>T324645</t>
  </si>
  <si>
    <t>C4092</t>
  </si>
  <si>
    <t>T908672</t>
  </si>
  <si>
    <t>C1664</t>
  </si>
  <si>
    <t>T566501</t>
  </si>
  <si>
    <t>C9155</t>
  </si>
  <si>
    <t>T235061</t>
  </si>
  <si>
    <t>C2338</t>
  </si>
  <si>
    <t>T403300</t>
  </si>
  <si>
    <t>C9441</t>
  </si>
  <si>
    <t>T963251</t>
  </si>
  <si>
    <t>C6274</t>
  </si>
  <si>
    <t>T724043</t>
  </si>
  <si>
    <t>C5045</t>
  </si>
  <si>
    <t>T799251</t>
  </si>
  <si>
    <t>C8135</t>
  </si>
  <si>
    <t>T914892</t>
  </si>
  <si>
    <t>C6974</t>
  </si>
  <si>
    <t>T262603</t>
  </si>
  <si>
    <t>C2490</t>
  </si>
  <si>
    <t>T681887</t>
  </si>
  <si>
    <t>C6485</t>
  </si>
  <si>
    <t>T536996</t>
  </si>
  <si>
    <t>C4958</t>
  </si>
  <si>
    <t>T428617</t>
  </si>
  <si>
    <t>C7362</t>
  </si>
  <si>
    <t>T969365</t>
  </si>
  <si>
    <t>C9961</t>
  </si>
  <si>
    <t>T494474</t>
  </si>
  <si>
    <t>C2507</t>
  </si>
  <si>
    <t>T284136</t>
  </si>
  <si>
    <t>C1714</t>
  </si>
  <si>
    <t>T583292</t>
  </si>
  <si>
    <t>C1660</t>
  </si>
  <si>
    <t>T570938</t>
  </si>
  <si>
    <t>C1410</t>
  </si>
  <si>
    <t>T387398</t>
  </si>
  <si>
    <t>C5381</t>
  </si>
  <si>
    <t>T515187</t>
  </si>
  <si>
    <t>C1260</t>
  </si>
  <si>
    <t>T438501</t>
  </si>
  <si>
    <t>C1408</t>
  </si>
  <si>
    <t>T984266</t>
  </si>
  <si>
    <t>C6006</t>
  </si>
  <si>
    <t>T599657</t>
  </si>
  <si>
    <t>C6420</t>
  </si>
  <si>
    <t>T222844</t>
  </si>
  <si>
    <t>C8319</t>
  </si>
  <si>
    <t>T226086</t>
  </si>
  <si>
    <t>C1120</t>
  </si>
  <si>
    <t>T133787</t>
  </si>
  <si>
    <t>C6908</t>
  </si>
  <si>
    <t>T118079</t>
  </si>
  <si>
    <t>C3865</t>
  </si>
  <si>
    <t>T493077</t>
  </si>
  <si>
    <t>C6429</t>
  </si>
  <si>
    <t>T328506</t>
  </si>
  <si>
    <t>C6241</t>
  </si>
  <si>
    <t>T794759</t>
  </si>
  <si>
    <t>C4703</t>
  </si>
  <si>
    <t>T336349</t>
  </si>
  <si>
    <t>C9591</t>
  </si>
  <si>
    <t>T195224</t>
  </si>
  <si>
    <t>C4949</t>
  </si>
  <si>
    <t>T432373</t>
  </si>
  <si>
    <t>C5181</t>
  </si>
  <si>
    <t>T133189</t>
  </si>
  <si>
    <t>C6920</t>
  </si>
  <si>
    <t>T990812</t>
  </si>
  <si>
    <t>C4262</t>
  </si>
  <si>
    <t>T873413</t>
  </si>
  <si>
    <t>C3390</t>
  </si>
  <si>
    <t>T267436</t>
  </si>
  <si>
    <t>T569959</t>
  </si>
  <si>
    <t>C6259</t>
  </si>
  <si>
    <t>T448032</t>
  </si>
  <si>
    <t>C4459</t>
  </si>
  <si>
    <t>T254707</t>
  </si>
  <si>
    <t>C7713</t>
  </si>
  <si>
    <t>T685319</t>
  </si>
  <si>
    <t>C6890</t>
  </si>
  <si>
    <t>T876802</t>
  </si>
  <si>
    <t>C4767</t>
  </si>
  <si>
    <t>T734590</t>
  </si>
  <si>
    <t>C3640</t>
  </si>
  <si>
    <t>T171307</t>
  </si>
  <si>
    <t>T429478</t>
  </si>
  <si>
    <t>C1140</t>
  </si>
  <si>
    <t>T627498</t>
  </si>
  <si>
    <t>C6869</t>
  </si>
  <si>
    <t>T978537</t>
  </si>
  <si>
    <t>C8411</t>
  </si>
  <si>
    <t>T618376</t>
  </si>
  <si>
    <t>T151557</t>
  </si>
  <si>
    <t>T315039</t>
  </si>
  <si>
    <t>C6359</t>
  </si>
  <si>
    <t>T362369</t>
  </si>
  <si>
    <t>T384839</t>
  </si>
  <si>
    <t>C1796</t>
  </si>
  <si>
    <t>T507554</t>
  </si>
  <si>
    <t>C2588</t>
  </si>
  <si>
    <t>T240080</t>
  </si>
  <si>
    <t>C4343</t>
  </si>
  <si>
    <t>T211588</t>
  </si>
  <si>
    <t>T138832</t>
  </si>
  <si>
    <t>T648564</t>
  </si>
  <si>
    <t>C6476</t>
  </si>
  <si>
    <t>T770373</t>
  </si>
  <si>
    <t>T930774</t>
  </si>
  <si>
    <t>C4350</t>
  </si>
  <si>
    <t>T463707</t>
  </si>
  <si>
    <t>C7651</t>
  </si>
  <si>
    <t>T650862</t>
  </si>
  <si>
    <t>C6114</t>
  </si>
  <si>
    <t>T549758</t>
  </si>
  <si>
    <t>C9263</t>
  </si>
  <si>
    <t>T157994</t>
  </si>
  <si>
    <t>C2065</t>
  </si>
  <si>
    <t>T361312</t>
  </si>
  <si>
    <t>C2381</t>
  </si>
  <si>
    <t>T349327</t>
  </si>
  <si>
    <t>C4156</t>
  </si>
  <si>
    <t>T918292</t>
  </si>
  <si>
    <t>C2449</t>
  </si>
  <si>
    <t>T740383</t>
  </si>
  <si>
    <t>C4244</t>
  </si>
  <si>
    <t>T637609</t>
  </si>
  <si>
    <t>C2788</t>
  </si>
  <si>
    <t>T758511</t>
  </si>
  <si>
    <t>C5982</t>
  </si>
  <si>
    <t>T322283</t>
  </si>
  <si>
    <t>C8023</t>
  </si>
  <si>
    <t>T720160</t>
  </si>
  <si>
    <t>C5763</t>
  </si>
  <si>
    <t>T423723</t>
  </si>
  <si>
    <t>C5974</t>
  </si>
  <si>
    <t>T972138</t>
  </si>
  <si>
    <t>C8212</t>
  </si>
  <si>
    <t>T964407</t>
  </si>
  <si>
    <t>C5659</t>
  </si>
  <si>
    <t>T592962</t>
  </si>
  <si>
    <t>C7701</t>
  </si>
  <si>
    <t>T822707</t>
  </si>
  <si>
    <t>C8320</t>
  </si>
  <si>
    <t>T965757</t>
  </si>
  <si>
    <t>C8207</t>
  </si>
  <si>
    <t>T243742</t>
  </si>
  <si>
    <t>T187276</t>
  </si>
  <si>
    <t>C1885</t>
  </si>
  <si>
    <t>T530798</t>
  </si>
  <si>
    <t>C5492</t>
  </si>
  <si>
    <t>T956567</t>
  </si>
  <si>
    <t>C1254</t>
  </si>
  <si>
    <t>T508276</t>
  </si>
  <si>
    <t>C7210</t>
  </si>
  <si>
    <t>T362271</t>
  </si>
  <si>
    <t>T623697</t>
  </si>
  <si>
    <t>T332917</t>
  </si>
  <si>
    <t>C6207</t>
  </si>
  <si>
    <t>T263267</t>
  </si>
  <si>
    <t>C9751</t>
  </si>
  <si>
    <t>T553297</t>
  </si>
  <si>
    <t>C2777</t>
  </si>
  <si>
    <t>T806882</t>
  </si>
  <si>
    <t>C7239</t>
  </si>
  <si>
    <t>T888502</t>
  </si>
  <si>
    <t>C9926</t>
  </si>
  <si>
    <t>T619530</t>
  </si>
  <si>
    <t>T298936</t>
  </si>
  <si>
    <t>C9327</t>
  </si>
  <si>
    <t>T204673</t>
  </si>
  <si>
    <t>C4420</t>
  </si>
  <si>
    <t>T851528</t>
  </si>
  <si>
    <t>C7211</t>
  </si>
  <si>
    <t>T646238</t>
  </si>
  <si>
    <t>C2751</t>
  </si>
  <si>
    <t>T274655</t>
  </si>
  <si>
    <t>C8060</t>
  </si>
  <si>
    <t>T772666</t>
  </si>
  <si>
    <t>C7606</t>
  </si>
  <si>
    <t>T475655</t>
  </si>
  <si>
    <t>C9873</t>
  </si>
  <si>
    <t>T214629</t>
  </si>
  <si>
    <t>C9683</t>
  </si>
  <si>
    <t>T936861</t>
  </si>
  <si>
    <t>C2315</t>
  </si>
  <si>
    <t>T923504</t>
  </si>
  <si>
    <t>T734026</t>
  </si>
  <si>
    <t>C7238</t>
  </si>
  <si>
    <t>T217697</t>
  </si>
  <si>
    <t>C6416</t>
  </si>
  <si>
    <t>T437854</t>
  </si>
  <si>
    <t>T758996</t>
  </si>
  <si>
    <t>C3395</t>
  </si>
  <si>
    <t>T839490</t>
  </si>
  <si>
    <t>C2075</t>
  </si>
  <si>
    <t>T722319</t>
  </si>
  <si>
    <t>T881813</t>
  </si>
  <si>
    <t>C9831</t>
  </si>
  <si>
    <t>T367433</t>
  </si>
  <si>
    <t>C6661</t>
  </si>
  <si>
    <t>T942853</t>
  </si>
  <si>
    <t>C2388</t>
  </si>
  <si>
    <t>T863966</t>
  </si>
  <si>
    <t>C5602</t>
  </si>
  <si>
    <t>T839331</t>
  </si>
  <si>
    <t>T939511</t>
  </si>
  <si>
    <t>T268418</t>
  </si>
  <si>
    <t>C3011</t>
  </si>
  <si>
    <t>T198791</t>
  </si>
  <si>
    <t>C4839</t>
  </si>
  <si>
    <t>T490723</t>
  </si>
  <si>
    <t>T350397</t>
  </si>
  <si>
    <t>C9336</t>
  </si>
  <si>
    <t>T552533</t>
  </si>
  <si>
    <t>C4709</t>
  </si>
  <si>
    <t>T443299</t>
  </si>
  <si>
    <t>C7526</t>
  </si>
  <si>
    <t>T980108</t>
  </si>
  <si>
    <t>C6174</t>
  </si>
  <si>
    <t>T118495</t>
  </si>
  <si>
    <t>C6803</t>
  </si>
  <si>
    <t>T430135</t>
  </si>
  <si>
    <t>C9675</t>
  </si>
  <si>
    <t>T810800</t>
  </si>
  <si>
    <t>C1753</t>
  </si>
  <si>
    <t>T644931</t>
  </si>
  <si>
    <t>C1819</t>
  </si>
  <si>
    <t>T433683</t>
  </si>
  <si>
    <t>T254958</t>
  </si>
  <si>
    <t>C1093</t>
  </si>
  <si>
    <t>T387823</t>
  </si>
  <si>
    <t>C9892</t>
  </si>
  <si>
    <t>T846573</t>
  </si>
  <si>
    <t>C4965</t>
  </si>
  <si>
    <t>T813773</t>
  </si>
  <si>
    <t>C9412</t>
  </si>
  <si>
    <t>T344763</t>
  </si>
  <si>
    <t>C4699</t>
  </si>
  <si>
    <t>T978152</t>
  </si>
  <si>
    <t>C8050</t>
  </si>
  <si>
    <t>T807093</t>
  </si>
  <si>
    <t>C9116</t>
  </si>
  <si>
    <t>T131302</t>
  </si>
  <si>
    <t>C9820</t>
  </si>
  <si>
    <t>T916985</t>
  </si>
  <si>
    <t>C3667</t>
  </si>
  <si>
    <t>T561711</t>
  </si>
  <si>
    <t>C8700</t>
  </si>
  <si>
    <t>T245098</t>
  </si>
  <si>
    <t>C7816</t>
  </si>
  <si>
    <t>T297567</t>
  </si>
  <si>
    <t>C1812</t>
  </si>
  <si>
    <t>T124131</t>
  </si>
  <si>
    <t>C3026</t>
  </si>
  <si>
    <t>T511266</t>
  </si>
  <si>
    <t>C1034</t>
  </si>
  <si>
    <t>T874223</t>
  </si>
  <si>
    <t>C7143</t>
  </si>
  <si>
    <t>T403096</t>
  </si>
  <si>
    <t>C4977</t>
  </si>
  <si>
    <t>T228250</t>
  </si>
  <si>
    <t>C1437</t>
  </si>
  <si>
    <t>T218917</t>
  </si>
  <si>
    <t>T210294</t>
  </si>
  <si>
    <t>C8551</t>
  </si>
  <si>
    <t>T466352</t>
  </si>
  <si>
    <t>C1436</t>
  </si>
  <si>
    <t>T201504</t>
  </si>
  <si>
    <t>C2982</t>
  </si>
  <si>
    <t>T203120</t>
  </si>
  <si>
    <t>C2498</t>
  </si>
  <si>
    <t>T864405</t>
  </si>
  <si>
    <t>C2060</t>
  </si>
  <si>
    <t>T614831</t>
  </si>
  <si>
    <t>C7877</t>
  </si>
  <si>
    <t>T901976</t>
  </si>
  <si>
    <t>C7188</t>
  </si>
  <si>
    <t>T830006</t>
  </si>
  <si>
    <t>C2844</t>
  </si>
  <si>
    <t>T622974</t>
  </si>
  <si>
    <t>T614910</t>
  </si>
  <si>
    <t>T567795</t>
  </si>
  <si>
    <t>C1431</t>
  </si>
  <si>
    <t>T254572</t>
  </si>
  <si>
    <t>C4111</t>
  </si>
  <si>
    <t>T326807</t>
  </si>
  <si>
    <t>T105696</t>
  </si>
  <si>
    <t>C7082</t>
  </si>
  <si>
    <t>T662443</t>
  </si>
  <si>
    <t>T776199</t>
  </si>
  <si>
    <t>C4648</t>
  </si>
  <si>
    <t>T262147</t>
  </si>
  <si>
    <t>C9167</t>
  </si>
  <si>
    <t>T725354</t>
  </si>
  <si>
    <t>C5097</t>
  </si>
  <si>
    <t>T416806</t>
  </si>
  <si>
    <t>T476490</t>
  </si>
  <si>
    <t>C5607</t>
  </si>
  <si>
    <t>T909890</t>
  </si>
  <si>
    <t>C6399</t>
  </si>
  <si>
    <t>T728143</t>
  </si>
  <si>
    <t>C9764</t>
  </si>
  <si>
    <t>T585220</t>
  </si>
  <si>
    <t>C8900</t>
  </si>
  <si>
    <t>T195190</t>
  </si>
  <si>
    <t>C3361</t>
  </si>
  <si>
    <t>T151707</t>
  </si>
  <si>
    <t>C7372</t>
  </si>
  <si>
    <t>T368417</t>
  </si>
  <si>
    <t>C3707</t>
  </si>
  <si>
    <t>T628276</t>
  </si>
  <si>
    <t>C8879</t>
  </si>
  <si>
    <t>T236085</t>
  </si>
  <si>
    <t>C8724</t>
  </si>
  <si>
    <t>T918666</t>
  </si>
  <si>
    <t>T710938</t>
  </si>
  <si>
    <t>C6856</t>
  </si>
  <si>
    <t>T932683</t>
  </si>
  <si>
    <t>C5515</t>
  </si>
  <si>
    <t>T314892</t>
  </si>
  <si>
    <t>C6109</t>
  </si>
  <si>
    <t>T834549</t>
  </si>
  <si>
    <t>C5995</t>
  </si>
  <si>
    <t>T159673</t>
  </si>
  <si>
    <t>C2973</t>
  </si>
  <si>
    <t>T355436</t>
  </si>
  <si>
    <t>C2980</t>
  </si>
  <si>
    <t>T854444</t>
  </si>
  <si>
    <t>T868764</t>
  </si>
  <si>
    <t>C1041</t>
  </si>
  <si>
    <t>T111289</t>
  </si>
  <si>
    <t>C1156</t>
  </si>
  <si>
    <t>T171624</t>
  </si>
  <si>
    <t>C4178</t>
  </si>
  <si>
    <t>T864014</t>
  </si>
  <si>
    <t>C5037</t>
  </si>
  <si>
    <t>T316999</t>
  </si>
  <si>
    <t>C6251</t>
  </si>
  <si>
    <t>T635966</t>
  </si>
  <si>
    <t>T925596</t>
  </si>
  <si>
    <t>C1126</t>
  </si>
  <si>
    <t>T191357</t>
  </si>
  <si>
    <t>C6550</t>
  </si>
  <si>
    <t>T545081</t>
  </si>
  <si>
    <t>C5413</t>
  </si>
  <si>
    <t>T965519</t>
  </si>
  <si>
    <t>C3948</t>
  </si>
  <si>
    <t>T211158</t>
  </si>
  <si>
    <t>C4228</t>
  </si>
  <si>
    <t>T215812</t>
  </si>
  <si>
    <t>C8402</t>
  </si>
  <si>
    <t>T676380</t>
  </si>
  <si>
    <t>C8170</t>
  </si>
  <si>
    <t>T477014</t>
  </si>
  <si>
    <t>C9006</t>
  </si>
  <si>
    <t>T169142</t>
  </si>
  <si>
    <t>C2909</t>
  </si>
  <si>
    <t>T731511</t>
  </si>
  <si>
    <t>C2210</t>
  </si>
  <si>
    <t>T325591</t>
  </si>
  <si>
    <t>C1300</t>
  </si>
  <si>
    <t>T287375</t>
  </si>
  <si>
    <t>C1047</t>
  </si>
  <si>
    <t>T408622</t>
  </si>
  <si>
    <t>C1940</t>
  </si>
  <si>
    <t>T250797</t>
  </si>
  <si>
    <t>C7307</t>
  </si>
  <si>
    <t>T270704</t>
  </si>
  <si>
    <t>C9132</t>
  </si>
  <si>
    <t>T549058</t>
  </si>
  <si>
    <t>C8725</t>
  </si>
  <si>
    <t>T977426</t>
  </si>
  <si>
    <t>C7476</t>
  </si>
  <si>
    <t>T296841</t>
  </si>
  <si>
    <t>C8520</t>
  </si>
  <si>
    <t>T247692</t>
  </si>
  <si>
    <t>C9290</t>
  </si>
  <si>
    <t>T774851</t>
  </si>
  <si>
    <t>C9877</t>
  </si>
  <si>
    <t>T352572</t>
  </si>
  <si>
    <t>T573846</t>
  </si>
  <si>
    <t>C8309</t>
  </si>
  <si>
    <t>T891142</t>
  </si>
  <si>
    <t>C5917</t>
  </si>
  <si>
    <t>T708378</t>
  </si>
  <si>
    <t>T422665</t>
  </si>
  <si>
    <t>C8079</t>
  </si>
  <si>
    <t>T494274</t>
  </si>
  <si>
    <t>C4489</t>
  </si>
  <si>
    <t>T907488</t>
  </si>
  <si>
    <t>C9057</t>
  </si>
  <si>
    <t>T397278</t>
  </si>
  <si>
    <t>T900999</t>
  </si>
  <si>
    <t>C9621</t>
  </si>
  <si>
    <t>T270578</t>
  </si>
  <si>
    <t>C5556</t>
  </si>
  <si>
    <t>T756834</t>
  </si>
  <si>
    <t>C1291</t>
  </si>
  <si>
    <t>T316332</t>
  </si>
  <si>
    <t>T970981</t>
  </si>
  <si>
    <t>C2874</t>
  </si>
  <si>
    <t>T202040</t>
  </si>
  <si>
    <t>C7988</t>
  </si>
  <si>
    <t>T148280</t>
  </si>
  <si>
    <t>C1375</t>
  </si>
  <si>
    <t>T759087</t>
  </si>
  <si>
    <t>C1412</t>
  </si>
  <si>
    <t>T276114</t>
  </si>
  <si>
    <t>C3897</t>
  </si>
  <si>
    <t>T397895</t>
  </si>
  <si>
    <t>C7315</t>
  </si>
  <si>
    <t>T507473</t>
  </si>
  <si>
    <t>C9270</t>
  </si>
  <si>
    <t>T738307</t>
  </si>
  <si>
    <t>C1773</t>
  </si>
  <si>
    <t>T515026</t>
  </si>
  <si>
    <t>T324459</t>
  </si>
  <si>
    <t>C1858</t>
  </si>
  <si>
    <t>T469062</t>
  </si>
  <si>
    <t>C6523</t>
  </si>
  <si>
    <t>T689098</t>
  </si>
  <si>
    <t>C9520</t>
  </si>
  <si>
    <t>T279454</t>
  </si>
  <si>
    <t>C3045</t>
  </si>
  <si>
    <t>T657430</t>
  </si>
  <si>
    <t>C8271</t>
  </si>
  <si>
    <t>T445534</t>
  </si>
  <si>
    <t>C9955</t>
  </si>
  <si>
    <t>T108131</t>
  </si>
  <si>
    <t>C6843</t>
  </si>
  <si>
    <t>T843826</t>
  </si>
  <si>
    <t>C2953</t>
  </si>
  <si>
    <t>T989639</t>
  </si>
  <si>
    <t>C8945</t>
  </si>
  <si>
    <t>T514576</t>
  </si>
  <si>
    <t>T346742</t>
  </si>
  <si>
    <t>C3552</t>
  </si>
  <si>
    <t>T137599</t>
  </si>
  <si>
    <t>C5049</t>
  </si>
  <si>
    <t>T587335</t>
  </si>
  <si>
    <t>C5459</t>
  </si>
  <si>
    <t>T773354</t>
  </si>
  <si>
    <t>C9765</t>
  </si>
  <si>
    <t>T147535</t>
  </si>
  <si>
    <t>T295720</t>
  </si>
  <si>
    <t>C9347</t>
  </si>
  <si>
    <t>T367110</t>
  </si>
  <si>
    <t>T661177</t>
  </si>
  <si>
    <t>C3229</t>
  </si>
  <si>
    <t>T310537</t>
  </si>
  <si>
    <t>C2868</t>
  </si>
  <si>
    <t>T599996</t>
  </si>
  <si>
    <t>C2261</t>
  </si>
  <si>
    <t>T983050</t>
  </si>
  <si>
    <t>T934199</t>
  </si>
  <si>
    <t>C4738</t>
  </si>
  <si>
    <t>T281897</t>
  </si>
  <si>
    <t>C8147</t>
  </si>
  <si>
    <t>T756980</t>
  </si>
  <si>
    <t>C4077</t>
  </si>
  <si>
    <t>T403715</t>
  </si>
  <si>
    <t>C9161</t>
  </si>
  <si>
    <t>T501466</t>
  </si>
  <si>
    <t>C7479</t>
  </si>
  <si>
    <t>T303375</t>
  </si>
  <si>
    <t>C6794</t>
  </si>
  <si>
    <t>T537592</t>
  </si>
  <si>
    <t>T338445</t>
  </si>
  <si>
    <t>C3590</t>
  </si>
  <si>
    <t>T412594</t>
  </si>
  <si>
    <t>C7233</t>
  </si>
  <si>
    <t>T530654</t>
  </si>
  <si>
    <t>C9294</t>
  </si>
  <si>
    <t>T696197</t>
  </si>
  <si>
    <t>C9095</t>
  </si>
  <si>
    <t>T739059</t>
  </si>
  <si>
    <t>C5549</t>
  </si>
  <si>
    <t>T496770</t>
  </si>
  <si>
    <t>C8559</t>
  </si>
  <si>
    <t>T147539</t>
  </si>
  <si>
    <t>T154862</t>
  </si>
  <si>
    <t>C4932</t>
  </si>
  <si>
    <t>T184905</t>
  </si>
  <si>
    <t>C7592</t>
  </si>
  <si>
    <t>T789535</t>
  </si>
  <si>
    <t>C2631</t>
  </si>
  <si>
    <t>T594553</t>
  </si>
  <si>
    <t>C3876</t>
  </si>
  <si>
    <t>T240010</t>
  </si>
  <si>
    <t>T202468</t>
  </si>
  <si>
    <t>C8034</t>
  </si>
  <si>
    <t>T538469</t>
  </si>
  <si>
    <t>C5270</t>
  </si>
  <si>
    <t>T409972</t>
  </si>
  <si>
    <t>C2996</t>
  </si>
  <si>
    <t>T353090</t>
  </si>
  <si>
    <t>C7833</t>
  </si>
  <si>
    <t>T984715</t>
  </si>
  <si>
    <t>C1521</t>
  </si>
  <si>
    <t>T301566</t>
  </si>
  <si>
    <t>C1661</t>
  </si>
  <si>
    <t>T460685</t>
  </si>
  <si>
    <t>C3076</t>
  </si>
  <si>
    <t>T775836</t>
  </si>
  <si>
    <t>C6427</t>
  </si>
  <si>
    <t>T262837</t>
  </si>
  <si>
    <t>C4745</t>
  </si>
  <si>
    <t>T197359</t>
  </si>
  <si>
    <t>T137807</t>
  </si>
  <si>
    <t>C9376</t>
  </si>
  <si>
    <t>T833944</t>
  </si>
  <si>
    <t>C2904</t>
  </si>
  <si>
    <t>T345400</t>
  </si>
  <si>
    <t>C4581</t>
  </si>
  <si>
    <t>T175433</t>
  </si>
  <si>
    <t>C4141</t>
  </si>
  <si>
    <t>T224602</t>
  </si>
  <si>
    <t>C9255</t>
  </si>
  <si>
    <t>T695005</t>
  </si>
  <si>
    <t>C1253</t>
  </si>
  <si>
    <t>T623856</t>
  </si>
  <si>
    <t>T539749</t>
  </si>
  <si>
    <t>C3840</t>
  </si>
  <si>
    <t>T462213</t>
  </si>
  <si>
    <t>C5080</t>
  </si>
  <si>
    <t>T976749</t>
  </si>
  <si>
    <t>C4980</t>
  </si>
  <si>
    <t>T976916</t>
  </si>
  <si>
    <t>C6441</t>
  </si>
  <si>
    <t>T402330</t>
  </si>
  <si>
    <t>C2456</t>
  </si>
  <si>
    <t>T391759</t>
  </si>
  <si>
    <t>C9972</t>
  </si>
  <si>
    <t>T888867</t>
  </si>
  <si>
    <t>T425598</t>
  </si>
  <si>
    <t>C1971</t>
  </si>
  <si>
    <t>T286206</t>
  </si>
  <si>
    <t>C1854</t>
  </si>
  <si>
    <t>T641308</t>
  </si>
  <si>
    <t>C6500</t>
  </si>
  <si>
    <t>T616911</t>
  </si>
  <si>
    <t>C7495</t>
  </si>
  <si>
    <t>T103875</t>
  </si>
  <si>
    <t>C9940</t>
  </si>
  <si>
    <t>T520428</t>
  </si>
  <si>
    <t>C8981</t>
  </si>
  <si>
    <t>T372007</t>
  </si>
  <si>
    <t>C5589</t>
  </si>
  <si>
    <t>T325131</t>
  </si>
  <si>
    <t>C5164</t>
  </si>
  <si>
    <t>T926530</t>
  </si>
  <si>
    <t>C6437</t>
  </si>
  <si>
    <t>T329131</t>
  </si>
  <si>
    <t>C5807</t>
  </si>
  <si>
    <t>T862098</t>
  </si>
  <si>
    <t>C5262</t>
  </si>
  <si>
    <t>T499745</t>
  </si>
  <si>
    <t>C9117</t>
  </si>
  <si>
    <t>T915735</t>
  </si>
  <si>
    <t>C5370</t>
  </si>
  <si>
    <t>T666537</t>
  </si>
  <si>
    <t>C9673</t>
  </si>
  <si>
    <t>T964565</t>
  </si>
  <si>
    <t>T295113</t>
  </si>
  <si>
    <t>C6589</t>
  </si>
  <si>
    <t>T251173</t>
  </si>
  <si>
    <t>C6519</t>
  </si>
  <si>
    <t>T446910</t>
  </si>
  <si>
    <t>C8227</t>
  </si>
  <si>
    <t>T685320</t>
  </si>
  <si>
    <t>C3189</t>
  </si>
  <si>
    <t>T502066</t>
  </si>
  <si>
    <t>C8887</t>
  </si>
  <si>
    <t>T211092</t>
  </si>
  <si>
    <t>C6817</t>
  </si>
  <si>
    <t>T569967</t>
  </si>
  <si>
    <t>C1995</t>
  </si>
  <si>
    <t>T547524</t>
  </si>
  <si>
    <t>C6267</t>
  </si>
  <si>
    <t>T331792</t>
  </si>
  <si>
    <t>C8503</t>
  </si>
  <si>
    <t>T724662</t>
  </si>
  <si>
    <t>C4946</t>
  </si>
  <si>
    <t>T378199</t>
  </si>
  <si>
    <t>C5678</t>
  </si>
  <si>
    <t>T803007</t>
  </si>
  <si>
    <t>C8012</t>
  </si>
  <si>
    <t>T183992</t>
  </si>
  <si>
    <t>C6296</t>
  </si>
  <si>
    <t>T301071</t>
  </si>
  <si>
    <t>T383555</t>
  </si>
  <si>
    <t>C6663</t>
  </si>
  <si>
    <t>T331001</t>
  </si>
  <si>
    <t>C3128</t>
  </si>
  <si>
    <t>T703188</t>
  </si>
  <si>
    <t>C2686</t>
  </si>
  <si>
    <t>T258447</t>
  </si>
  <si>
    <t>C1230</t>
  </si>
  <si>
    <t>T287168</t>
  </si>
  <si>
    <t>C5774</t>
  </si>
  <si>
    <t>T873934</t>
  </si>
  <si>
    <t>C7038</t>
  </si>
  <si>
    <t>T498689</t>
  </si>
  <si>
    <t>T929682</t>
  </si>
  <si>
    <t>C2332</t>
  </si>
  <si>
    <t>T611476</t>
  </si>
  <si>
    <t>C4660</t>
  </si>
  <si>
    <t>T967152</t>
  </si>
  <si>
    <t>C9619</t>
  </si>
  <si>
    <t>T906755</t>
  </si>
  <si>
    <t>C4198</t>
  </si>
  <si>
    <t>T344949</t>
  </si>
  <si>
    <t>C9509</t>
  </si>
  <si>
    <t>T875459</t>
  </si>
  <si>
    <t>C9126</t>
  </si>
  <si>
    <t>T871360</t>
  </si>
  <si>
    <t>C2221</t>
  </si>
  <si>
    <t>T827867</t>
  </si>
  <si>
    <t>C7950</t>
  </si>
  <si>
    <t>T997293</t>
  </si>
  <si>
    <t>T535082</t>
  </si>
  <si>
    <t>C4656</t>
  </si>
  <si>
    <t>T129395</t>
  </si>
  <si>
    <t>C4060</t>
  </si>
  <si>
    <t>T102002</t>
  </si>
  <si>
    <t>C3228</t>
  </si>
  <si>
    <t>T432195</t>
  </si>
  <si>
    <t>C1142</t>
  </si>
  <si>
    <t>T787686</t>
  </si>
  <si>
    <t>C7269</t>
  </si>
  <si>
    <t>T674301</t>
  </si>
  <si>
    <t>T311864</t>
  </si>
  <si>
    <t>T699653</t>
  </si>
  <si>
    <t>C7013</t>
  </si>
  <si>
    <t>T572515</t>
  </si>
  <si>
    <t>C8454</t>
  </si>
  <si>
    <t>T809096</t>
  </si>
  <si>
    <t>C6041</t>
  </si>
  <si>
    <t>T414241</t>
  </si>
  <si>
    <t>C9285</t>
  </si>
  <si>
    <t>T990376</t>
  </si>
  <si>
    <t>C6988</t>
  </si>
  <si>
    <t>T734757</t>
  </si>
  <si>
    <t>C8537</t>
  </si>
  <si>
    <t>T747695</t>
  </si>
  <si>
    <t>C6349</t>
  </si>
  <si>
    <t>T616697</t>
  </si>
  <si>
    <t>C6124</t>
  </si>
  <si>
    <t>T194473</t>
  </si>
  <si>
    <t>C9102</t>
  </si>
  <si>
    <t>T269203</t>
  </si>
  <si>
    <t>C3365</t>
  </si>
  <si>
    <t>T487230</t>
  </si>
  <si>
    <t>T777690</t>
  </si>
  <si>
    <t>C3046</t>
  </si>
  <si>
    <t>T252632</t>
  </si>
  <si>
    <t>T222890</t>
  </si>
  <si>
    <t>C6558</t>
  </si>
  <si>
    <t>T699212</t>
  </si>
  <si>
    <t>C6914</t>
  </si>
  <si>
    <t>T860541</t>
  </si>
  <si>
    <t>C1503</t>
  </si>
  <si>
    <t>T879241</t>
  </si>
  <si>
    <t>C4058</t>
  </si>
  <si>
    <t>T614733</t>
  </si>
  <si>
    <t>C8892</t>
  </si>
  <si>
    <t>T150034</t>
  </si>
  <si>
    <t>C5928</t>
  </si>
  <si>
    <t>T215893</t>
  </si>
  <si>
    <t>C8653</t>
  </si>
  <si>
    <t>T281266</t>
  </si>
  <si>
    <t>C4316</t>
  </si>
  <si>
    <t>T536904</t>
  </si>
  <si>
    <t>C3610</t>
  </si>
  <si>
    <t>T835944</t>
  </si>
  <si>
    <t>C5903</t>
  </si>
  <si>
    <t>T329798</t>
  </si>
  <si>
    <t>C2521</t>
  </si>
  <si>
    <t>T120983</t>
  </si>
  <si>
    <t>C8404</t>
  </si>
  <si>
    <t>T148404</t>
  </si>
  <si>
    <t>C4117</t>
  </si>
  <si>
    <t>T390516</t>
  </si>
  <si>
    <t>C5222</t>
  </si>
  <si>
    <t>T645713</t>
  </si>
  <si>
    <t>C8632</t>
  </si>
  <si>
    <t>T906854</t>
  </si>
  <si>
    <t>C9598</t>
  </si>
  <si>
    <t>T604394</t>
  </si>
  <si>
    <t>C1844</t>
  </si>
  <si>
    <t>T698149</t>
  </si>
  <si>
    <t>C7974</t>
  </si>
  <si>
    <t>T319495</t>
  </si>
  <si>
    <t>T389980</t>
  </si>
  <si>
    <t>C5818</t>
  </si>
  <si>
    <t>T694488</t>
  </si>
  <si>
    <t>C8446</t>
  </si>
  <si>
    <t>T971320</t>
  </si>
  <si>
    <t>C8639</t>
  </si>
  <si>
    <t>T286165</t>
  </si>
  <si>
    <t>C5071</t>
  </si>
  <si>
    <t>T697666</t>
  </si>
  <si>
    <t>C2593</t>
  </si>
  <si>
    <t>T954259</t>
  </si>
  <si>
    <t>C2476</t>
  </si>
  <si>
    <t>T254047</t>
  </si>
  <si>
    <t>C8030</t>
  </si>
  <si>
    <t>T550930</t>
  </si>
  <si>
    <t>T831494</t>
  </si>
  <si>
    <t>T466191</t>
  </si>
  <si>
    <t>C7773</t>
  </si>
  <si>
    <t>T468510</t>
  </si>
  <si>
    <t>T951159</t>
  </si>
  <si>
    <t>C8269</t>
  </si>
  <si>
    <t>T871880</t>
  </si>
  <si>
    <t>C2086</t>
  </si>
  <si>
    <t>T505231</t>
  </si>
  <si>
    <t>C1742</t>
  </si>
  <si>
    <t>T451220</t>
  </si>
  <si>
    <t>C9159</t>
  </si>
  <si>
    <t>T500866</t>
  </si>
  <si>
    <t>C1613</t>
  </si>
  <si>
    <t>T579479</t>
  </si>
  <si>
    <t>T422466</t>
  </si>
  <si>
    <t>T102796</t>
  </si>
  <si>
    <t>C5393</t>
  </si>
  <si>
    <t>T742723</t>
  </si>
  <si>
    <t>C3297</t>
  </si>
  <si>
    <t>T908700</t>
  </si>
  <si>
    <t>C5099</t>
  </si>
  <si>
    <t>T963452</t>
  </si>
  <si>
    <t>C2174</t>
  </si>
  <si>
    <t>T956083</t>
  </si>
  <si>
    <t>C1708</t>
  </si>
  <si>
    <t>T708576</t>
  </si>
  <si>
    <t>C5096</t>
  </si>
  <si>
    <t>T790906</t>
  </si>
  <si>
    <t>C3270</t>
  </si>
  <si>
    <t>T278252</t>
  </si>
  <si>
    <t>C5380</t>
  </si>
  <si>
    <t>T690515</t>
  </si>
  <si>
    <t>C9359</t>
  </si>
  <si>
    <t>T764807</t>
  </si>
  <si>
    <t>C1322</t>
  </si>
  <si>
    <t>T408752</t>
  </si>
  <si>
    <t>T225992</t>
  </si>
  <si>
    <t>C7424</t>
  </si>
  <si>
    <t>T810076</t>
  </si>
  <si>
    <t>T969641</t>
  </si>
  <si>
    <t>C8142</t>
  </si>
  <si>
    <t>T538445</t>
  </si>
  <si>
    <t>C8041</t>
  </si>
  <si>
    <t>T271720</t>
  </si>
  <si>
    <t>C2123</t>
  </si>
  <si>
    <t>T593696</t>
  </si>
  <si>
    <t>C5681</t>
  </si>
  <si>
    <t>T386463</t>
  </si>
  <si>
    <t>T512799</t>
  </si>
  <si>
    <t>C3315</t>
  </si>
  <si>
    <t>T650991</t>
  </si>
  <si>
    <t>T705447</t>
  </si>
  <si>
    <t>C8573</t>
  </si>
  <si>
    <t>T531099</t>
  </si>
  <si>
    <t>C8556</t>
  </si>
  <si>
    <t>T150323</t>
  </si>
  <si>
    <t>C7332</t>
  </si>
  <si>
    <t>T766958</t>
  </si>
  <si>
    <t>C7518</t>
  </si>
  <si>
    <t>T317898</t>
  </si>
  <si>
    <t>C2318</t>
  </si>
  <si>
    <t>T543485</t>
  </si>
  <si>
    <t>T313710</t>
  </si>
  <si>
    <t>C1919</t>
  </si>
  <si>
    <t>T848640</t>
  </si>
  <si>
    <t>T898626</t>
  </si>
  <si>
    <t>C8223</t>
  </si>
  <si>
    <t>T573997</t>
  </si>
  <si>
    <t>C7779</t>
  </si>
  <si>
    <t>T895834</t>
  </si>
  <si>
    <t>C8726</t>
  </si>
  <si>
    <t>T654826</t>
  </si>
  <si>
    <t>C9708</t>
  </si>
  <si>
    <t>T718881</t>
  </si>
  <si>
    <t>C4224</t>
  </si>
  <si>
    <t>T425219</t>
  </si>
  <si>
    <t>C9399</t>
  </si>
  <si>
    <t>T222833</t>
  </si>
  <si>
    <t>C8044</t>
  </si>
  <si>
    <t>T766711</t>
  </si>
  <si>
    <t>C1331</t>
  </si>
  <si>
    <t>T306564</t>
  </si>
  <si>
    <t>C4456</t>
  </si>
  <si>
    <t>T699348</t>
  </si>
  <si>
    <t>C7928</t>
  </si>
  <si>
    <t>T807043</t>
  </si>
  <si>
    <t>C1867</t>
  </si>
  <si>
    <t>T851485</t>
  </si>
  <si>
    <t>C7131</t>
  </si>
  <si>
    <t>T719912</t>
  </si>
  <si>
    <t>C8254</t>
  </si>
  <si>
    <t>T786234</t>
  </si>
  <si>
    <t>C4804</t>
  </si>
  <si>
    <t>T711961</t>
  </si>
  <si>
    <t>C9208</t>
  </si>
  <si>
    <t>T884278</t>
  </si>
  <si>
    <t>C6785</t>
  </si>
  <si>
    <t>T433443</t>
  </si>
  <si>
    <t>C3513</t>
  </si>
  <si>
    <t>T143591</t>
  </si>
  <si>
    <t>C2373</t>
  </si>
  <si>
    <t>T865433</t>
  </si>
  <si>
    <t>C1407</t>
  </si>
  <si>
    <t>T634689</t>
  </si>
  <si>
    <t>C1356</t>
  </si>
  <si>
    <t>T626549</t>
  </si>
  <si>
    <t>C4274</t>
  </si>
  <si>
    <t>T147102</t>
  </si>
  <si>
    <t>C8690</t>
  </si>
  <si>
    <t>T845220</t>
  </si>
  <si>
    <t>C7255</t>
  </si>
  <si>
    <t>T247773</t>
  </si>
  <si>
    <t>T980034</t>
  </si>
  <si>
    <t>C4599</t>
  </si>
  <si>
    <t>T486659</t>
  </si>
  <si>
    <t>C4419</t>
  </si>
  <si>
    <t>T328216</t>
  </si>
  <si>
    <t>C5446</t>
  </si>
  <si>
    <t>T123558</t>
  </si>
  <si>
    <t>C8647</t>
  </si>
  <si>
    <t>T985497</t>
  </si>
  <si>
    <t>T855080</t>
  </si>
  <si>
    <t>T611318</t>
  </si>
  <si>
    <t>C3976</t>
  </si>
  <si>
    <t>T460126</t>
  </si>
  <si>
    <t>C8459</t>
  </si>
  <si>
    <t>T167637</t>
  </si>
  <si>
    <t>C5824</t>
  </si>
  <si>
    <t>T905367</t>
  </si>
  <si>
    <t>C9045</t>
  </si>
  <si>
    <t>T137139</t>
  </si>
  <si>
    <t>T508070</t>
  </si>
  <si>
    <t>C5701</t>
  </si>
  <si>
    <t>T641188</t>
  </si>
  <si>
    <t>C8156</t>
  </si>
  <si>
    <t>T481181</t>
  </si>
  <si>
    <t>C1007</t>
  </si>
  <si>
    <t>T727570</t>
  </si>
  <si>
    <t>T244205</t>
  </si>
  <si>
    <t>C4826</t>
  </si>
  <si>
    <t>T348330</t>
  </si>
  <si>
    <t>C5810</t>
  </si>
  <si>
    <t>T803061</t>
  </si>
  <si>
    <t>C5013</t>
  </si>
  <si>
    <t>T425964</t>
  </si>
  <si>
    <t>C8428</t>
  </si>
  <si>
    <t>T482857</t>
  </si>
  <si>
    <t>C5526</t>
  </si>
  <si>
    <t>T843376</t>
  </si>
  <si>
    <t>C5828</t>
  </si>
  <si>
    <t>T673857</t>
  </si>
  <si>
    <t>C8280</t>
  </si>
  <si>
    <t>T149899</t>
  </si>
  <si>
    <t>C4019</t>
  </si>
  <si>
    <t>T521086</t>
  </si>
  <si>
    <t>T529966</t>
  </si>
  <si>
    <t>C4085</t>
  </si>
  <si>
    <t>T123085</t>
  </si>
  <si>
    <t>T336063</t>
  </si>
  <si>
    <t>C6072</t>
  </si>
  <si>
    <t>T873579</t>
  </si>
  <si>
    <t>C2304</t>
  </si>
  <si>
    <t>T775511</t>
  </si>
  <si>
    <t>C4821</t>
  </si>
  <si>
    <t>T158397</t>
  </si>
  <si>
    <t>C4017</t>
  </si>
  <si>
    <t>T618718</t>
  </si>
  <si>
    <t>T239047</t>
  </si>
  <si>
    <t>C1535</t>
  </si>
  <si>
    <t>T917145</t>
  </si>
  <si>
    <t>C1804</t>
  </si>
  <si>
    <t>T913873</t>
  </si>
  <si>
    <t>C4021</t>
  </si>
  <si>
    <t>T225050</t>
  </si>
  <si>
    <t>T668268</t>
  </si>
  <si>
    <t>C3668</t>
  </si>
  <si>
    <t>T227212</t>
  </si>
  <si>
    <t>T665945</t>
  </si>
  <si>
    <t>C2905</t>
  </si>
  <si>
    <t>T735005</t>
  </si>
  <si>
    <t>C1295</t>
  </si>
  <si>
    <t>T105458</t>
  </si>
  <si>
    <t>T785846</t>
  </si>
  <si>
    <t>T352177</t>
  </si>
  <si>
    <t>C4823</t>
  </si>
  <si>
    <t>T936875</t>
  </si>
  <si>
    <t>T698583</t>
  </si>
  <si>
    <t>T795709</t>
  </si>
  <si>
    <t>C7136</t>
  </si>
  <si>
    <t>T421547</t>
  </si>
  <si>
    <t>C9633</t>
  </si>
  <si>
    <t>T938204</t>
  </si>
  <si>
    <t>C7279</t>
  </si>
  <si>
    <t>T191182</t>
  </si>
  <si>
    <t>C6018</t>
  </si>
  <si>
    <t>T989651</t>
  </si>
  <si>
    <t>T617200</t>
  </si>
  <si>
    <t>C6727</t>
  </si>
  <si>
    <t>T652909</t>
  </si>
  <si>
    <t>C7515</t>
  </si>
  <si>
    <t>T614996</t>
  </si>
  <si>
    <t>C5191</t>
  </si>
  <si>
    <t>T181270</t>
  </si>
  <si>
    <t>C5434</t>
  </si>
  <si>
    <t>T548861</t>
  </si>
  <si>
    <t>C3664</t>
  </si>
  <si>
    <t>T966871</t>
  </si>
  <si>
    <t>T960447</t>
  </si>
  <si>
    <t>C6693</t>
  </si>
  <si>
    <t>T924772</t>
  </si>
  <si>
    <t>C9033</t>
  </si>
  <si>
    <t>T741238</t>
  </si>
  <si>
    <t>C2218</t>
  </si>
  <si>
    <t>T707288</t>
  </si>
  <si>
    <t>C7658</t>
  </si>
  <si>
    <t>T734857</t>
  </si>
  <si>
    <t>C2916</t>
  </si>
  <si>
    <t>T513118</t>
  </si>
  <si>
    <t>C7758</t>
  </si>
  <si>
    <t>T868183</t>
  </si>
  <si>
    <t>C1205</t>
  </si>
  <si>
    <t>T273218</t>
  </si>
  <si>
    <t>C4201</t>
  </si>
  <si>
    <t>T203776</t>
  </si>
  <si>
    <t>C8633</t>
  </si>
  <si>
    <t>T790693</t>
  </si>
  <si>
    <t>C4942</t>
  </si>
  <si>
    <t>T654394</t>
  </si>
  <si>
    <t>C5929</t>
  </si>
  <si>
    <t>T906737</t>
  </si>
  <si>
    <t>C4609</t>
  </si>
  <si>
    <t>T697876</t>
  </si>
  <si>
    <t>C8619</t>
  </si>
  <si>
    <t>T879794</t>
  </si>
  <si>
    <t>C3498</t>
  </si>
  <si>
    <t>T982642</t>
  </si>
  <si>
    <t>C2025</t>
  </si>
  <si>
    <t>T448423</t>
  </si>
  <si>
    <t>C5079</t>
  </si>
  <si>
    <t>T621306</t>
  </si>
  <si>
    <t>T410363</t>
  </si>
  <si>
    <t>C7991</t>
  </si>
  <si>
    <t>T763630</t>
  </si>
  <si>
    <t>C5964</t>
  </si>
  <si>
    <t>T343234</t>
  </si>
  <si>
    <t>C6954</t>
  </si>
  <si>
    <t>T607487</t>
  </si>
  <si>
    <t>C3796</t>
  </si>
  <si>
    <t>T171283</t>
  </si>
  <si>
    <t>T480394</t>
  </si>
  <si>
    <t>C7914</t>
  </si>
  <si>
    <t>T523275</t>
  </si>
  <si>
    <t>C3185</t>
  </si>
  <si>
    <t>T958637</t>
  </si>
  <si>
    <t>C7280</t>
  </si>
  <si>
    <t>T496661</t>
  </si>
  <si>
    <t>C4375</t>
  </si>
  <si>
    <t>T451940</t>
  </si>
  <si>
    <t>C9478</t>
  </si>
  <si>
    <t>T726333</t>
  </si>
  <si>
    <t>C1449</t>
  </si>
  <si>
    <t>T785610</t>
  </si>
  <si>
    <t>C3585</t>
  </si>
  <si>
    <t>T550149</t>
  </si>
  <si>
    <t>C2674</t>
  </si>
  <si>
    <t>T578054</t>
  </si>
  <si>
    <t>C5054</t>
  </si>
  <si>
    <t>T106138</t>
  </si>
  <si>
    <t>C7952</t>
  </si>
  <si>
    <t>T115037</t>
  </si>
  <si>
    <t>C1321</t>
  </si>
  <si>
    <t>T679621</t>
  </si>
  <si>
    <t>C3717</t>
  </si>
  <si>
    <t>T786428</t>
  </si>
  <si>
    <t>C7571</t>
  </si>
  <si>
    <t>T716322</t>
  </si>
  <si>
    <t>C6153</t>
  </si>
  <si>
    <t>T448421</t>
  </si>
  <si>
    <t>C1214</t>
  </si>
  <si>
    <t>T459459</t>
  </si>
  <si>
    <t>T128862</t>
  </si>
  <si>
    <t>C7393</t>
  </si>
  <si>
    <t>T534027</t>
  </si>
  <si>
    <t>C6141</t>
  </si>
  <si>
    <t>T786079</t>
  </si>
  <si>
    <t>C4667</t>
  </si>
  <si>
    <t>T330733</t>
  </si>
  <si>
    <t>C3740</t>
  </si>
  <si>
    <t>T324992</t>
  </si>
  <si>
    <t>T461884</t>
  </si>
  <si>
    <t>C4334</t>
  </si>
  <si>
    <t>T262343</t>
  </si>
  <si>
    <t>C6859</t>
  </si>
  <si>
    <t>T581665</t>
  </si>
  <si>
    <t>C1897</t>
  </si>
  <si>
    <t>T139458</t>
  </si>
  <si>
    <t>C2246</t>
  </si>
  <si>
    <t>T848162</t>
  </si>
  <si>
    <t>C9378</t>
  </si>
  <si>
    <t>T659849</t>
  </si>
  <si>
    <t>C2827</t>
  </si>
  <si>
    <t>T785700</t>
  </si>
  <si>
    <t>C8524</t>
  </si>
  <si>
    <t>T497775</t>
  </si>
  <si>
    <t>C4824</t>
  </si>
  <si>
    <t>T330202</t>
  </si>
  <si>
    <t>C8730</t>
  </si>
  <si>
    <t>T450829</t>
  </si>
  <si>
    <t>C4704</t>
  </si>
  <si>
    <t>T492668</t>
  </si>
  <si>
    <t>C3987</t>
  </si>
  <si>
    <t>T972820</t>
  </si>
  <si>
    <t>C4896</t>
  </si>
  <si>
    <t>T412694</t>
  </si>
  <si>
    <t>T667594</t>
  </si>
  <si>
    <t>T146554</t>
  </si>
  <si>
    <t>T615356</t>
  </si>
  <si>
    <t>C2453</t>
  </si>
  <si>
    <t>T395222</t>
  </si>
  <si>
    <t>C3053</t>
  </si>
  <si>
    <t>T853819</t>
  </si>
  <si>
    <t>C5084</t>
  </si>
  <si>
    <t>T980504</t>
  </si>
  <si>
    <t>C8811</t>
  </si>
  <si>
    <t>T373567</t>
  </si>
  <si>
    <t>C9806</t>
  </si>
  <si>
    <t>T829814</t>
  </si>
  <si>
    <t>C6088</t>
  </si>
  <si>
    <t>T746555</t>
  </si>
  <si>
    <t>C2711</t>
  </si>
  <si>
    <t>T362587</t>
  </si>
  <si>
    <t>C5085</t>
  </si>
  <si>
    <t>T718238</t>
  </si>
  <si>
    <t>C9715</t>
  </si>
  <si>
    <t>T733854</t>
  </si>
  <si>
    <t>T651075</t>
  </si>
  <si>
    <t>T268785</t>
  </si>
  <si>
    <t>C4561</t>
  </si>
  <si>
    <t>T378337</t>
  </si>
  <si>
    <t>Usa</t>
  </si>
  <si>
    <t>One-Time Purchase</t>
  </si>
  <si>
    <t>Uk</t>
  </si>
  <si>
    <t>year</t>
  </si>
  <si>
    <t xml:space="preserve"> Unit_Price</t>
  </si>
  <si>
    <t>Average of  Unit_Price</t>
  </si>
  <si>
    <t>Amount_Cleaned</t>
  </si>
  <si>
    <t>Quantity_Cleaned</t>
  </si>
  <si>
    <t>Q1 amount</t>
  </si>
  <si>
    <t>Q3 amount</t>
  </si>
  <si>
    <t>IQR amount</t>
  </si>
  <si>
    <t>Lower Bound amount</t>
  </si>
  <si>
    <t>Upper Bound amount</t>
  </si>
  <si>
    <t>Minimum Quantity</t>
  </si>
  <si>
    <t>maximum Quantity</t>
  </si>
  <si>
    <t>average Quantity</t>
  </si>
  <si>
    <t>median Quantity</t>
  </si>
  <si>
    <t>Percentile Quantity</t>
  </si>
  <si>
    <t>IQR Quantity</t>
  </si>
  <si>
    <t>إجمالي المبيعات</t>
  </si>
  <si>
    <t>إجمالي الكميات</t>
  </si>
  <si>
    <t>أعلى مبيعات منتج</t>
  </si>
  <si>
    <t>اسم المنتج الأكثر مبيعاً</t>
  </si>
  <si>
    <t>USA</t>
  </si>
  <si>
    <t xml:space="preserve">Phone </t>
  </si>
  <si>
    <t>online</t>
  </si>
  <si>
    <t>One-time Purchase</t>
  </si>
  <si>
    <t>T962654</t>
  </si>
  <si>
    <t>C6943</t>
  </si>
  <si>
    <t>T923810</t>
  </si>
  <si>
    <t>C2236</t>
  </si>
  <si>
    <t>UK</t>
  </si>
  <si>
    <t>T232901</t>
  </si>
  <si>
    <t>C3665</t>
  </si>
  <si>
    <t>T553659</t>
  </si>
  <si>
    <t>C5935</t>
  </si>
  <si>
    <t>T396525</t>
  </si>
  <si>
    <t>C7155</t>
  </si>
  <si>
    <t>T949078</t>
  </si>
  <si>
    <t>C9939</t>
  </si>
  <si>
    <t>T596917</t>
  </si>
  <si>
    <t>T187599</t>
  </si>
  <si>
    <t>C8028</t>
  </si>
  <si>
    <t>T902669</t>
  </si>
  <si>
    <t>T200892</t>
  </si>
  <si>
    <t>T442646</t>
  </si>
  <si>
    <t>C7152</t>
  </si>
  <si>
    <t>T355790</t>
  </si>
  <si>
    <t>C6641</t>
  </si>
  <si>
    <t>T802240</t>
  </si>
  <si>
    <t>C6249</t>
  </si>
  <si>
    <t>T430652</t>
  </si>
  <si>
    <t>C6478</t>
  </si>
  <si>
    <t>T618370</t>
  </si>
  <si>
    <t>C1352</t>
  </si>
  <si>
    <t>T847742</t>
  </si>
  <si>
    <t>C7943</t>
  </si>
  <si>
    <t>T329575</t>
  </si>
  <si>
    <t>C4069</t>
  </si>
  <si>
    <t>T183217</t>
  </si>
  <si>
    <t>C2383</t>
  </si>
  <si>
    <t>T292304</t>
  </si>
  <si>
    <t>C8499</t>
  </si>
  <si>
    <t>T107286</t>
  </si>
  <si>
    <t>C5082</t>
  </si>
  <si>
    <t>T209574</t>
  </si>
  <si>
    <t>C9973</t>
  </si>
  <si>
    <t>T716524</t>
  </si>
  <si>
    <t>C6230</t>
  </si>
  <si>
    <t>T348538</t>
  </si>
  <si>
    <t>C6793</t>
  </si>
  <si>
    <t>T150347</t>
  </si>
  <si>
    <t>C7076</t>
  </si>
  <si>
    <t>T180700</t>
  </si>
  <si>
    <t>C9388</t>
  </si>
  <si>
    <t>T927232</t>
  </si>
  <si>
    <t>C2483</t>
  </si>
  <si>
    <t>T458620</t>
  </si>
  <si>
    <t>C9480</t>
  </si>
  <si>
    <t>T358334</t>
  </si>
  <si>
    <t>C6900</t>
  </si>
  <si>
    <t>T543871</t>
  </si>
  <si>
    <t>C7822</t>
  </si>
  <si>
    <t>T844733</t>
  </si>
  <si>
    <t>C6123</t>
  </si>
  <si>
    <t>T697924</t>
  </si>
  <si>
    <t>C4606</t>
  </si>
  <si>
    <t>T118759</t>
  </si>
  <si>
    <t>C5447</t>
  </si>
  <si>
    <t>T853577</t>
  </si>
  <si>
    <t>C4284</t>
  </si>
  <si>
    <t>T490701</t>
  </si>
  <si>
    <t>T781053</t>
  </si>
  <si>
    <t>C3010</t>
  </si>
  <si>
    <t>T576045</t>
  </si>
  <si>
    <t>C2762</t>
  </si>
  <si>
    <t>T738555</t>
  </si>
  <si>
    <t>C3303</t>
  </si>
  <si>
    <t>T237900</t>
  </si>
  <si>
    <t>T182846</t>
  </si>
  <si>
    <t>C3212</t>
  </si>
  <si>
    <t>T136149</t>
  </si>
  <si>
    <t>C3108</t>
  </si>
  <si>
    <t>T655503</t>
  </si>
  <si>
    <t>C1942</t>
  </si>
  <si>
    <t>SALES DATA DASHBOARD</t>
  </si>
  <si>
    <t>📊 DATA QUALITY SUMMARY</t>
  </si>
  <si>
    <t>Total Records (Original)</t>
  </si>
  <si>
    <t>Duplicate Records Removed</t>
  </si>
  <si>
    <t>Records After Cleaning</t>
  </si>
  <si>
    <t>Missing Amount Values (Imputed)</t>
  </si>
  <si>
    <t>Missing Quantity Values (Imputed)</t>
  </si>
  <si>
    <t>📈 KEY METRICS (Cleaned Data - Excluding Duplicates)</t>
  </si>
  <si>
    <t>Total Sales Revenue</t>
  </si>
  <si>
    <t>Total Quantity Sold</t>
  </si>
  <si>
    <t>Number of Unique Customers</t>
  </si>
  <si>
    <t>🏆 TOP 5 PRODUCTS BY REVENUE</t>
  </si>
  <si>
    <t>Revenue</t>
  </si>
  <si>
    <t>% of Total</t>
  </si>
  <si>
    <t>🌍 SALES BY COUNTRY</t>
  </si>
  <si>
    <t>Transactions</t>
  </si>
  <si>
    <t>TOTAL</t>
  </si>
  <si>
    <t>📱 SALES BY CHANNEL</t>
  </si>
  <si>
    <t>📋 DATA CLEANING METHODOLOGY</t>
  </si>
  <si>
    <t>1. Duplicate Handling:</t>
  </si>
  <si>
    <t xml:space="preserve">   - Identified duplicates by Transaction_ID</t>
  </si>
  <si>
    <t xml:space="preserve">   - Kept first occurrence, excluded subsequent duplicates</t>
  </si>
  <si>
    <t>2. Missing Value Treatment:</t>
  </si>
  <si>
    <t>3. Outlier Treatment (99th Percentile Winsorization):</t>
  </si>
  <si>
    <t xml:space="preserve">   - Quantity: Capped at 10 (99th percentile)</t>
  </si>
  <si>
    <t xml:space="preserve">   - Amount: Imputed using group median based on Product + Channel + Country (and Year when available).</t>
  </si>
  <si>
    <t xml:space="preserve">   - Quantity:Imputed using group median based on Product + Channel + Country.</t>
  </si>
  <si>
    <t xml:space="preserve">   - Applied conditional logic before any row deletion.</t>
  </si>
  <si>
    <t xml:space="preserve">   - Amount: Capped at $3,548.28 (99th percentile)</t>
  </si>
  <si>
    <t>summary</t>
  </si>
  <si>
    <t>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</si>
</sst>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0.0%"/>
  </numFmts>
  <fonts count="2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3" tint="9.9978637043366805E-2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20"/>
      <color rgb="FF1F4E79"/>
      <name val="Arial"/>
      <family val="2"/>
      <scheme val="minor"/>
    </font>
    <font>
      <b/>
      <sz val="14"/>
      <color theme="1"/>
      <name val="Arial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pivotButton="1"/>
    <xf numFmtId="0" fontId="13" fillId="33" borderId="10" xfId="0" applyFont="1" applyFill="1" applyBorder="1"/>
    <xf numFmtId="0" fontId="0" fillId="0" borderId="0" xfId="0" applyAlignment="1">
      <alignment horizontal="left"/>
    </xf>
    <xf numFmtId="2" fontId="0" fillId="0" borderId="0" xfId="0" applyNumberFormat="1"/>
    <xf numFmtId="0" fontId="0" fillId="34" borderId="0" xfId="0" applyFill="1"/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2" fontId="0" fillId="34" borderId="0" xfId="0" applyNumberFormat="1" applyFill="1"/>
    <xf numFmtId="0" fontId="18" fillId="34" borderId="18" xfId="0" applyFont="1" applyFill="1" applyBorder="1"/>
    <xf numFmtId="0" fontId="18" fillId="34" borderId="11" xfId="0" applyFont="1" applyFill="1" applyBorder="1"/>
    <xf numFmtId="14" fontId="18" fillId="34" borderId="11" xfId="0" applyNumberFormat="1" applyFont="1" applyFill="1" applyBorder="1"/>
    <xf numFmtId="2" fontId="18" fillId="34" borderId="11" xfId="0" applyNumberFormat="1" applyFont="1" applyFill="1" applyBorder="1"/>
    <xf numFmtId="2" fontId="18" fillId="34" borderId="19" xfId="0" applyNumberFormat="1" applyFont="1" applyFill="1" applyBorder="1"/>
    <xf numFmtId="0" fontId="18" fillId="34" borderId="15" xfId="0" applyFont="1" applyFill="1" applyBorder="1"/>
    <xf numFmtId="0" fontId="18" fillId="34" borderId="16" xfId="0" applyFont="1" applyFill="1" applyBorder="1"/>
    <xf numFmtId="14" fontId="18" fillId="34" borderId="16" xfId="0" applyNumberFormat="1" applyFont="1" applyFill="1" applyBorder="1"/>
    <xf numFmtId="2" fontId="18" fillId="34" borderId="16" xfId="0" applyNumberFormat="1" applyFont="1" applyFill="1" applyBorder="1"/>
    <xf numFmtId="2" fontId="18" fillId="34" borderId="17" xfId="0" applyNumberFormat="1" applyFont="1" applyFill="1" applyBorder="1"/>
    <xf numFmtId="0" fontId="17" fillId="35" borderId="12" xfId="0" applyFont="1" applyFill="1" applyBorder="1"/>
    <xf numFmtId="0" fontId="17" fillId="35" borderId="13" xfId="0" applyFont="1" applyFill="1" applyBorder="1"/>
    <xf numFmtId="2" fontId="17" fillId="35" borderId="13" xfId="0" applyNumberFormat="1" applyFont="1" applyFill="1" applyBorder="1"/>
    <xf numFmtId="2" fontId="17" fillId="35" borderId="13" xfId="0" applyNumberFormat="1" applyFont="1" applyFill="1" applyBorder="1" applyAlignment="1">
      <alignment vertical="center"/>
    </xf>
    <xf numFmtId="2" fontId="17" fillId="35" borderId="14" xfId="0" applyNumberFormat="1" applyFont="1" applyFill="1" applyBorder="1"/>
    <xf numFmtId="14" fontId="0" fillId="0" borderId="0" xfId="0" applyNumberFormat="1"/>
    <xf numFmtId="164" fontId="16" fillId="0" borderId="15" xfId="42" applyNumberFormat="1" applyFont="1" applyBorder="1" applyAlignment="1">
      <alignment horizontal="center" vertical="center"/>
    </xf>
    <xf numFmtId="164" fontId="0" fillId="0" borderId="0" xfId="0" applyNumberFormat="1"/>
    <xf numFmtId="0" fontId="20" fillId="0" borderId="0" xfId="0" applyFont="1"/>
    <xf numFmtId="0" fontId="21" fillId="36" borderId="0" xfId="0" applyFont="1" applyFill="1"/>
    <xf numFmtId="0" fontId="0" fillId="36" borderId="0" xfId="0" applyFill="1"/>
    <xf numFmtId="164" fontId="19" fillId="0" borderId="0" xfId="0" applyNumberFormat="1" applyFont="1"/>
    <xf numFmtId="3" fontId="19" fillId="0" borderId="0" xfId="0" applyNumberFormat="1" applyFont="1"/>
    <xf numFmtId="0" fontId="16" fillId="0" borderId="0" xfId="0" applyFont="1"/>
    <xf numFmtId="165" fontId="0" fillId="0" borderId="0" xfId="0" applyNumberFormat="1"/>
    <xf numFmtId="0" fontId="16" fillId="37" borderId="0" xfId="0" applyFont="1" applyFill="1"/>
    <xf numFmtId="164" fontId="0" fillId="37" borderId="0" xfId="0" applyNumberFormat="1" applyFill="1"/>
    <xf numFmtId="3" fontId="0" fillId="37" borderId="0" xfId="0" applyNumberFormat="1" applyFill="1"/>
    <xf numFmtId="0" fontId="19" fillId="36" borderId="0" xfId="0" applyFont="1" applyFill="1"/>
    <xf numFmtId="164" fontId="16" fillId="0" borderId="16" xfId="0" applyNumberFormat="1" applyFont="1" applyBorder="1" applyAlignment="1">
      <alignment horizontal="center" vertical="center"/>
    </xf>
    <xf numFmtId="0" fontId="0" fillId="38" borderId="0" xfId="0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5">
    <dxf>
      <font>
        <strike val="0"/>
        <outline val="0"/>
        <shadow val="0"/>
        <u val="none"/>
        <vertAlign val="baseline"/>
        <sz val="11"/>
        <color theme="3" tint="9.9978637043366805E-2"/>
        <name val="Arial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3" tint="9.9978637043366805E-2"/>
        <name val="Arial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9.9978637043366805E-2"/>
        <name val="Arial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3" tint="9.9978637043366805E-2"/>
        <name val="Arial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3" tint="9.9978637043366805E-2"/>
        <name val="Arial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3" tint="9.9978637043366805E-2"/>
        <name val="Arial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3" tint="9.9978637043366805E-2"/>
        <name val="Arial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3" tint="9.9978637043366805E-2"/>
        <name val="Arial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3" tint="9.9978637043366805E-2"/>
        <name val="Arial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3" tint="9.9978637043366805E-2"/>
        <name val="Arial"/>
        <family val="2"/>
        <scheme val="minor"/>
      </font>
      <numFmt numFmtId="19" formatCode="m/d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3" tint="9.9978637043366805E-2"/>
        <name val="Arial"/>
        <family val="2"/>
        <scheme val="minor"/>
      </font>
      <numFmt numFmtId="19" formatCode="m/d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3" tint="9.9978637043366805E-2"/>
        <name val="Arial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3" tint="9.9978637043366805E-2"/>
        <name val="Arial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3" tint="9.9978637043366805E-2"/>
        <name val="Arial"/>
        <family val="2"/>
        <scheme val="minor"/>
      </font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indexed="64"/>
          <bgColor theme="4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3" tint="9.9978637043366805E-2"/>
        <name val="Arial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3" tint="9.9978637043366805E-2"/>
        <name val="Arial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9.9978637043366805E-2"/>
        <name val="Arial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3" tint="9.9978637043366805E-2"/>
        <name val="Arial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3" tint="9.9978637043366805E-2"/>
        <name val="Arial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3" tint="9.9978637043366805E-2"/>
        <name val="Arial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3" tint="9.9978637043366805E-2"/>
        <name val="Arial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3" tint="9.9978637043366805E-2"/>
        <name val="Arial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3" tint="9.9978637043366805E-2"/>
        <name val="Arial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3" tint="9.9978637043366805E-2"/>
        <name val="Arial"/>
        <family val="2"/>
        <scheme val="minor"/>
      </font>
      <numFmt numFmtId="19" formatCode="m/d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3" tint="9.9978637043366805E-2"/>
        <name val="Arial"/>
        <family val="2"/>
        <scheme val="minor"/>
      </font>
      <numFmt numFmtId="19" formatCode="m/d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3" tint="9.9978637043366805E-2"/>
        <name val="Arial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3" tint="9.9978637043366805E-2"/>
        <name val="Arial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3" tint="9.9978637043366805E-2"/>
        <name val="Arial"/>
        <family val="2"/>
        <scheme val="minor"/>
      </font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indexed="64"/>
          <bgColor theme="4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4" formatCode="&quot;$&quot;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4" formatCode="&quot;$&quot;#,##0.0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Dashboard!$B$16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1F9-4CCA-B92D-6C2D778DEA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41F9-4CCA-B92D-6C2D778DEA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1F9-4CCA-B92D-6C2D778DEA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41F9-4CCA-B92D-6C2D778DEA63}"/>
              </c:ext>
            </c:extLst>
          </c:dPt>
          <c:dLbls>
            <c:dLbl>
              <c:idx val="0"/>
              <c:layout>
                <c:manualLayout>
                  <c:x val="-0.12264063867016622"/>
                  <c:y val="0.185437809857101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1F9-4CCA-B92D-6C2D778DEA63}"/>
                </c:ext>
              </c:extLst>
            </c:dLbl>
            <c:dLbl>
              <c:idx val="1"/>
              <c:layout>
                <c:manualLayout>
                  <c:x val="-0.10270122484689413"/>
                  <c:y val="-0.1770840624088655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1F9-4CCA-B92D-6C2D778DEA63}"/>
                </c:ext>
              </c:extLst>
            </c:dLbl>
            <c:dLbl>
              <c:idx val="2"/>
              <c:layout>
                <c:manualLayout>
                  <c:x val="0.11587346894138233"/>
                  <c:y val="-0.1099289151356080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1F9-4CCA-B92D-6C2D778DEA63}"/>
                </c:ext>
              </c:extLst>
            </c:dLbl>
            <c:dLbl>
              <c:idx val="3"/>
              <c:layout>
                <c:manualLayout>
                  <c:x val="0.13344378827646544"/>
                  <c:y val="0.1968416447944006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1F9-4CCA-B92D-6C2D778DEA63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Dashboard!$A$17:$A$20</c:f>
              <c:strCache>
                <c:ptCount val="4"/>
                <c:pt idx="0">
                  <c:v>One-Time Purchase</c:v>
                </c:pt>
                <c:pt idx="1">
                  <c:v>Renewal</c:v>
                </c:pt>
                <c:pt idx="2">
                  <c:v>Addon</c:v>
                </c:pt>
                <c:pt idx="3">
                  <c:v>Subscription</c:v>
                </c:pt>
              </c:strCache>
            </c:strRef>
          </c:cat>
          <c:val>
            <c:numRef>
              <c:f>Dashboard!$B$17:$B$20</c:f>
              <c:numCache>
                <c:formatCode>"$"#,##0.00</c:formatCode>
                <c:ptCount val="4"/>
                <c:pt idx="0">
                  <c:v>534340.28140763403</c:v>
                </c:pt>
                <c:pt idx="1">
                  <c:v>470628.25001639192</c:v>
                </c:pt>
                <c:pt idx="2">
                  <c:v>454885.20927175949</c:v>
                </c:pt>
                <c:pt idx="3">
                  <c:v>447875.12076957687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F9-4CCA-B92D-6C2D778DEA63}"/>
            </c:ext>
          </c:extLst>
        </c:ser>
        <c:ser>
          <c:idx val="1"/>
          <c:order val="1"/>
          <c:tx>
            <c:strRef>
              <c:f>Dashboard!$C$16</c:f>
              <c:strCache>
                <c:ptCount val="1"/>
                <c:pt idx="0">
                  <c:v>% of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FF6-4526-A0D8-FAE1B32B10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FF6-4526-A0D8-FAE1B32B10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FF6-4526-A0D8-FAE1B32B10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FF6-4526-A0D8-FAE1B32B102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Dashboard!$A$17:$A$20</c:f>
              <c:strCache>
                <c:ptCount val="4"/>
                <c:pt idx="0">
                  <c:v>One-Time Purchase</c:v>
                </c:pt>
                <c:pt idx="1">
                  <c:v>Renewal</c:v>
                </c:pt>
                <c:pt idx="2">
                  <c:v>Addon</c:v>
                </c:pt>
                <c:pt idx="3">
                  <c:v>Subscription</c:v>
                </c:pt>
              </c:strCache>
            </c:strRef>
          </c:cat>
          <c:val>
            <c:numRef>
              <c:f>Dashboard!$C$17:$C$20</c:f>
              <c:numCache>
                <c:formatCode>0.0%</c:formatCode>
                <c:ptCount val="4"/>
                <c:pt idx="0">
                  <c:v>0.28009236123690823</c:v>
                </c:pt>
                <c:pt idx="1">
                  <c:v>0.24669556535140513</c:v>
                </c:pt>
                <c:pt idx="2">
                  <c:v>0.23844332308436733</c:v>
                </c:pt>
                <c:pt idx="3">
                  <c:v>0.23476875032731526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F9-4CCA-B92D-6C2D778DEA6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rgbClr val="0E284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Revenue by Country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E2841"/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0.30903455818022746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baseline="0">
              <a:solidFill>
                <a:srgbClr val="0E2841"/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Dashboard!$B$23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Dashboard!$A$24:$A$28</c:f>
              <c:strCache>
                <c:ptCount val="5"/>
                <c:pt idx="0">
                  <c:v>Uk</c:v>
                </c:pt>
                <c:pt idx="1">
                  <c:v>Canada</c:v>
                </c:pt>
                <c:pt idx="2">
                  <c:v>Usa</c:v>
                </c:pt>
                <c:pt idx="3">
                  <c:v>Germany</c:v>
                </c:pt>
                <c:pt idx="4">
                  <c:v>India</c:v>
                </c:pt>
              </c:strCache>
            </c:strRef>
          </c:cat>
          <c:val>
            <c:numRef>
              <c:f>Dashboard!$B$24:$B$28</c:f>
              <c:numCache>
                <c:formatCode>"$"#,##0.00</c:formatCode>
                <c:ptCount val="5"/>
                <c:pt idx="0">
                  <c:v>417249.00252334017</c:v>
                </c:pt>
                <c:pt idx="1">
                  <c:v>395065.5396579018</c:v>
                </c:pt>
                <c:pt idx="2">
                  <c:v>374464.45154216886</c:v>
                </c:pt>
                <c:pt idx="3">
                  <c:v>369236.97940670792</c:v>
                </c:pt>
                <c:pt idx="4">
                  <c:v>351712.88833524339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1F-4F81-9AA3-8BF871DB05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09039208"/>
        <c:axId val="1009031288"/>
      </c:barChart>
      <c:catAx>
        <c:axId val="1009039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009031288"/>
        <c:crosses val="autoZero"/>
        <c:auto val="1"/>
        <c:lblAlgn val="ctr"/>
        <c:lblOffset val="100"/>
        <c:noMultiLvlLbl val="0"/>
      </c:catAx>
      <c:valAx>
        <c:axId val="1009031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baseline="0">
                    <a:effectLst/>
                  </a:rPr>
                  <a:t>Revenue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009039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Dashboard!$B$16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04D-42DB-918D-87BF64F599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04D-42DB-918D-87BF64F599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04D-42DB-918D-87BF64F5990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04D-42DB-918D-87BF64F59901}"/>
              </c:ext>
            </c:extLst>
          </c:dPt>
          <c:dLbls>
            <c:dLbl>
              <c:idx val="0"/>
              <c:layout>
                <c:manualLayout>
                  <c:x val="-0.12264063867016622"/>
                  <c:y val="0.185437809857101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04D-42DB-918D-87BF64F59901}"/>
                </c:ext>
              </c:extLst>
            </c:dLbl>
            <c:dLbl>
              <c:idx val="1"/>
              <c:layout>
                <c:manualLayout>
                  <c:x val="-0.10270122484689413"/>
                  <c:y val="-0.1770840624088655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04D-42DB-918D-87BF64F59901}"/>
                </c:ext>
              </c:extLst>
            </c:dLbl>
            <c:dLbl>
              <c:idx val="2"/>
              <c:layout>
                <c:manualLayout>
                  <c:x val="0.11587346894138233"/>
                  <c:y val="-0.1099289151356080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04D-42DB-918D-87BF64F59901}"/>
                </c:ext>
              </c:extLst>
            </c:dLbl>
            <c:dLbl>
              <c:idx val="3"/>
              <c:layout>
                <c:manualLayout>
                  <c:x val="0.13344378827646544"/>
                  <c:y val="0.1968416447944006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04D-42DB-918D-87BF64F59901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Dashboard!$A$17:$A$20</c:f>
              <c:strCache>
                <c:ptCount val="4"/>
                <c:pt idx="0">
                  <c:v>One-Time Purchase</c:v>
                </c:pt>
                <c:pt idx="1">
                  <c:v>Renewal</c:v>
                </c:pt>
                <c:pt idx="2">
                  <c:v>Addon</c:v>
                </c:pt>
                <c:pt idx="3">
                  <c:v>Subscription</c:v>
                </c:pt>
              </c:strCache>
            </c:strRef>
          </c:cat>
          <c:val>
            <c:numRef>
              <c:f>Dashboard!$B$17:$B$20</c:f>
              <c:numCache>
                <c:formatCode>"$"#,##0.00</c:formatCode>
                <c:ptCount val="4"/>
                <c:pt idx="0">
                  <c:v>534340.28140763403</c:v>
                </c:pt>
                <c:pt idx="1">
                  <c:v>470628.25001639192</c:v>
                </c:pt>
                <c:pt idx="2">
                  <c:v>454885.20927175949</c:v>
                </c:pt>
                <c:pt idx="3">
                  <c:v>447875.12076957687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04D-42DB-918D-87BF64F59901}"/>
            </c:ext>
          </c:extLst>
        </c:ser>
        <c:ser>
          <c:idx val="1"/>
          <c:order val="1"/>
          <c:tx>
            <c:strRef>
              <c:f>Dashboard!$C$16</c:f>
              <c:strCache>
                <c:ptCount val="1"/>
                <c:pt idx="0">
                  <c:v>% of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E04D-42DB-918D-87BF64F599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E04D-42DB-918D-87BF64F599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E04D-42DB-918D-87BF64F5990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E04D-42DB-918D-87BF64F5990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Dashboard!$A$17:$A$20</c:f>
              <c:strCache>
                <c:ptCount val="4"/>
                <c:pt idx="0">
                  <c:v>One-Time Purchase</c:v>
                </c:pt>
                <c:pt idx="1">
                  <c:v>Renewal</c:v>
                </c:pt>
                <c:pt idx="2">
                  <c:v>Addon</c:v>
                </c:pt>
                <c:pt idx="3">
                  <c:v>Subscription</c:v>
                </c:pt>
              </c:strCache>
            </c:strRef>
          </c:cat>
          <c:val>
            <c:numRef>
              <c:f>Dashboard!$C$17:$C$20</c:f>
              <c:numCache>
                <c:formatCode>0.0%</c:formatCode>
                <c:ptCount val="4"/>
                <c:pt idx="0">
                  <c:v>0.28009236123690823</c:v>
                </c:pt>
                <c:pt idx="1">
                  <c:v>0.24669556535140513</c:v>
                </c:pt>
                <c:pt idx="2">
                  <c:v>0.23844332308436733</c:v>
                </c:pt>
                <c:pt idx="3">
                  <c:v>0.23476875032731526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04D-42DB-918D-87BF64F5990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rgbClr val="0E284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Revenue by Country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E2841"/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baseline="0">
              <a:solidFill>
                <a:srgbClr val="0E2841"/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Dashboard!$B$23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Dashboard!$A$24:$A$28</c:f>
              <c:strCache>
                <c:ptCount val="5"/>
                <c:pt idx="0">
                  <c:v>Uk</c:v>
                </c:pt>
                <c:pt idx="1">
                  <c:v>Canada</c:v>
                </c:pt>
                <c:pt idx="2">
                  <c:v>Usa</c:v>
                </c:pt>
                <c:pt idx="3">
                  <c:v>Germany</c:v>
                </c:pt>
                <c:pt idx="4">
                  <c:v>India</c:v>
                </c:pt>
              </c:strCache>
            </c:strRef>
          </c:cat>
          <c:val>
            <c:numRef>
              <c:f>Dashboard!$B$24:$B$28</c:f>
              <c:numCache>
                <c:formatCode>"$"#,##0.00</c:formatCode>
                <c:ptCount val="5"/>
                <c:pt idx="0">
                  <c:v>417249.00252334017</c:v>
                </c:pt>
                <c:pt idx="1">
                  <c:v>395065.5396579018</c:v>
                </c:pt>
                <c:pt idx="2">
                  <c:v>374464.45154216886</c:v>
                </c:pt>
                <c:pt idx="3">
                  <c:v>369236.97940670792</c:v>
                </c:pt>
                <c:pt idx="4">
                  <c:v>351712.88833524339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5E-4CAE-8808-4A7E470BEA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09039208"/>
        <c:axId val="1009031288"/>
      </c:barChart>
      <c:catAx>
        <c:axId val="1009039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009031288"/>
        <c:crosses val="autoZero"/>
        <c:auto val="1"/>
        <c:lblAlgn val="ctr"/>
        <c:lblOffset val="100"/>
        <c:noMultiLvlLbl val="0"/>
      </c:catAx>
      <c:valAx>
        <c:axId val="1009031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baseline="0">
                    <a:effectLst/>
                  </a:rPr>
                  <a:t>Revenue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009039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659130</xdr:colOff>
      <xdr:row>4</xdr:row>
      <xdr:rowOff>83820</xdr:rowOff>
    </xdr:from>
    <xdr:to>
      <xdr:col>13</xdr:col>
      <xdr:colOff>537210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9A1C4C-C8EF-CB99-4806-10F27DF687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666750</xdr:colOff>
      <xdr:row>21</xdr:row>
      <xdr:rowOff>15240</xdr:rowOff>
    </xdr:from>
    <xdr:to>
      <xdr:col>13</xdr:col>
      <xdr:colOff>544830</xdr:colOff>
      <xdr:row>36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8EB141-2ABE-7A3A-3C35-F1504B5ED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510540</xdr:colOff>
      <xdr:row>1</xdr:row>
      <xdr:rowOff>38100</xdr:rowOff>
    </xdr:from>
    <xdr:to>
      <xdr:col>7</xdr:col>
      <xdr:colOff>388620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1B05D1-591F-413B-AC49-B86E7F2EBF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502920</xdr:colOff>
      <xdr:row>17</xdr:row>
      <xdr:rowOff>68580</xdr:rowOff>
    </xdr:from>
    <xdr:to>
      <xdr:col>7</xdr:col>
      <xdr:colOff>381000</xdr:colOff>
      <xdr:row>33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C66FDC-AE00-4FD7-9EA3-91B1F707D2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NG HEBA" refreshedDate="46150.22224884259" createdVersion="8" refreshedVersion="8" minRefreshableVersion="3" recordCount="1743" xr:uid="{922FB793-7D63-4EC1-BA9B-F74B996FFF79}">
  <cacheSource type="worksheet">
    <worksheetSource name="Table1"/>
  </cacheSource>
  <cacheFields count="10">
    <cacheField name="Transaction_ID" numFmtId="0">
      <sharedItems/>
    </cacheField>
    <cacheField name="Customer_ID" numFmtId="0">
      <sharedItems/>
    </cacheField>
    <cacheField name="Transaction_Date" numFmtId="14">
      <sharedItems containsSemiMixedTypes="0" containsNonDate="0" containsDate="1" containsString="0" minDate="2022-10-23T00:00:00" maxDate="2025-10-23T00:00:00"/>
    </cacheField>
    <cacheField name="year" numFmtId="0">
      <sharedItems containsSemiMixedTypes="0" containsString="0" containsNumber="1" containsInteger="1" minValue="2022" maxValue="2025" count="4">
        <n v="2025"/>
        <n v="2023"/>
        <n v="2024"/>
        <n v="2022"/>
      </sharedItems>
    </cacheField>
    <cacheField name="Product" numFmtId="0">
      <sharedItems count="4">
        <s v="Addon"/>
        <s v="Renewal"/>
        <s v="Subscription"/>
        <s v="One-Time Purchase"/>
      </sharedItems>
    </cacheField>
    <cacheField name="Channel" numFmtId="0">
      <sharedItems count="4">
        <s v="In-Store"/>
        <s v="Phone"/>
        <s v="Online"/>
        <s v="Partner"/>
      </sharedItems>
    </cacheField>
    <cacheField name="Amount" numFmtId="0">
      <sharedItems containsString="0" containsBlank="1" containsNumber="1" minValue="5.21" maxValue="1999.32"/>
    </cacheField>
    <cacheField name="Quantity" numFmtId="0">
      <sharedItems containsString="0" containsBlank="1" containsNumber="1" containsInteger="1" minValue="1" maxValue="10"/>
    </cacheField>
    <cacheField name=" Unit_Price" numFmtId="0">
      <sharedItems containsString="0" containsBlank="1" containsNumber="1" minValue="0.84875" maxValue="1993.99"/>
    </cacheField>
    <cacheField name="Country" numFmtId="0">
      <sharedItems count="5">
        <s v="Usa"/>
        <s v="Canada"/>
        <s v="India"/>
        <s v="Germany"/>
        <s v="U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3">
  <r>
    <s v="T453486"/>
    <s v="C5576"/>
    <d v="2025-02-25T00:00:00"/>
    <x v="0"/>
    <x v="0"/>
    <x v="0"/>
    <n v="1428.6"/>
    <n v="4"/>
    <n v="357.15"/>
    <x v="0"/>
  </r>
  <r>
    <s v="T282581"/>
    <s v="C9536"/>
    <d v="2023-01-03T00:00:00"/>
    <x v="1"/>
    <x v="1"/>
    <x v="1"/>
    <n v="264.27999999999997"/>
    <n v="7"/>
    <n v="37.754285714285707"/>
    <x v="1"/>
  </r>
  <r>
    <s v="T934880"/>
    <s v="C9214"/>
    <d v="2025-07-31T00:00:00"/>
    <x v="0"/>
    <x v="1"/>
    <x v="2"/>
    <n v="1229.1199999999999"/>
    <n v="1"/>
    <n v="1229.1199999999999"/>
    <x v="2"/>
  </r>
  <r>
    <s v="T554224"/>
    <s v="C7417"/>
    <d v="2023-09-06T00:00:00"/>
    <x v="1"/>
    <x v="2"/>
    <x v="2"/>
    <n v="684.78"/>
    <n v="1"/>
    <n v="684.78"/>
    <x v="1"/>
  </r>
  <r>
    <s v="T926865"/>
    <s v="C2638"/>
    <d v="2025-08-13T00:00:00"/>
    <x v="0"/>
    <x v="3"/>
    <x v="3"/>
    <n v="1970.46"/>
    <n v="3"/>
    <n v="656.82"/>
    <x v="1"/>
  </r>
  <r>
    <s v="T444802"/>
    <s v="C1255"/>
    <d v="2025-03-10T00:00:00"/>
    <x v="0"/>
    <x v="1"/>
    <x v="2"/>
    <n v="1214.24"/>
    <n v="8"/>
    <n v="151.78"/>
    <x v="2"/>
  </r>
  <r>
    <s v="T198194"/>
    <s v="C8176"/>
    <d v="2023-05-10T00:00:00"/>
    <x v="1"/>
    <x v="3"/>
    <x v="0"/>
    <n v="1716.91"/>
    <n v="7"/>
    <n v="245.27285714285716"/>
    <x v="2"/>
  </r>
  <r>
    <s v="T455896"/>
    <s v="C4315"/>
    <d v="2024-04-03T00:00:00"/>
    <x v="2"/>
    <x v="0"/>
    <x v="1"/>
    <n v="157.07"/>
    <n v="8"/>
    <n v="19.633749999999999"/>
    <x v="0"/>
  </r>
  <r>
    <s v="T937295"/>
    <s v="C9812"/>
    <d v="2023-05-25T00:00:00"/>
    <x v="1"/>
    <x v="3"/>
    <x v="1"/>
    <n v="604.16999999999996"/>
    <m/>
    <m/>
    <x v="3"/>
  </r>
  <r>
    <s v="T142186"/>
    <s v="C1878"/>
    <d v="2023-08-30T00:00:00"/>
    <x v="1"/>
    <x v="0"/>
    <x v="2"/>
    <n v="1498.65"/>
    <n v="10"/>
    <n v="149.86500000000001"/>
    <x v="0"/>
  </r>
  <r>
    <s v="T849138"/>
    <s v="C7753"/>
    <d v="2023-02-07T00:00:00"/>
    <x v="1"/>
    <x v="0"/>
    <x v="0"/>
    <m/>
    <n v="3"/>
    <m/>
    <x v="3"/>
  </r>
  <r>
    <s v="T503060"/>
    <s v="C6616"/>
    <d v="2023-07-09T00:00:00"/>
    <x v="1"/>
    <x v="0"/>
    <x v="2"/>
    <n v="924.82"/>
    <n v="10"/>
    <n v="92.481999999999999"/>
    <x v="1"/>
  </r>
  <r>
    <s v="T925711"/>
    <s v="C6466"/>
    <d v="2024-07-24T00:00:00"/>
    <x v="2"/>
    <x v="1"/>
    <x v="1"/>
    <n v="1774.52"/>
    <n v="10"/>
    <n v="177.452"/>
    <x v="4"/>
  </r>
  <r>
    <s v="T840043"/>
    <s v="C6715"/>
    <d v="2025-03-13T00:00:00"/>
    <x v="0"/>
    <x v="0"/>
    <x v="1"/>
    <n v="179.62"/>
    <n v="5"/>
    <n v="35.923999999999999"/>
    <x v="4"/>
  </r>
  <r>
    <s v="T282924"/>
    <s v="C2753"/>
    <d v="2023-08-11T00:00:00"/>
    <x v="1"/>
    <x v="3"/>
    <x v="1"/>
    <n v="1075.44"/>
    <n v="10"/>
    <n v="107.54400000000001"/>
    <x v="3"/>
  </r>
  <r>
    <s v="T722518"/>
    <s v="C1487"/>
    <d v="2024-10-14T00:00:00"/>
    <x v="2"/>
    <x v="2"/>
    <x v="1"/>
    <n v="202.51"/>
    <n v="6"/>
    <n v="33.751666666666665"/>
    <x v="0"/>
  </r>
  <r>
    <s v="T292511"/>
    <s v="C8508"/>
    <d v="2023-10-27T00:00:00"/>
    <x v="1"/>
    <x v="0"/>
    <x v="1"/>
    <n v="803.76"/>
    <n v="10"/>
    <n v="80.376000000000005"/>
    <x v="4"/>
  </r>
  <r>
    <s v="T265968"/>
    <s v="C4809"/>
    <d v="2025-09-16T00:00:00"/>
    <x v="0"/>
    <x v="3"/>
    <x v="1"/>
    <n v="1002.66"/>
    <n v="4"/>
    <n v="250.66499999999999"/>
    <x v="4"/>
  </r>
  <r>
    <s v="T126479"/>
    <s v="C5927"/>
    <d v="2025-09-06T00:00:00"/>
    <x v="0"/>
    <x v="1"/>
    <x v="2"/>
    <n v="1153.22"/>
    <n v="1"/>
    <n v="1153.22"/>
    <x v="0"/>
  </r>
  <r>
    <s v="T703308"/>
    <s v="C7905"/>
    <d v="2025-02-18T00:00:00"/>
    <x v="0"/>
    <x v="3"/>
    <x v="1"/>
    <n v="896.2"/>
    <n v="5"/>
    <n v="179.24"/>
    <x v="3"/>
  </r>
  <r>
    <s v="T544147"/>
    <s v="C2510"/>
    <d v="2023-09-17T00:00:00"/>
    <x v="1"/>
    <x v="3"/>
    <x v="2"/>
    <m/>
    <n v="9"/>
    <m/>
    <x v="0"/>
  </r>
  <r>
    <s v="T179410"/>
    <s v="C5318"/>
    <d v="2023-10-05T00:00:00"/>
    <x v="1"/>
    <x v="2"/>
    <x v="3"/>
    <n v="253.65"/>
    <n v="10"/>
    <n v="25.365000000000002"/>
    <x v="2"/>
  </r>
  <r>
    <s v="T578736"/>
    <s v="C1997"/>
    <d v="2025-07-13T00:00:00"/>
    <x v="0"/>
    <x v="1"/>
    <x v="3"/>
    <n v="1110.18"/>
    <n v="4"/>
    <n v="277.54500000000002"/>
    <x v="2"/>
  </r>
  <r>
    <s v="T606352"/>
    <s v="C7176"/>
    <d v="2025-05-18T00:00:00"/>
    <x v="0"/>
    <x v="0"/>
    <x v="1"/>
    <n v="801.95"/>
    <n v="8"/>
    <n v="100.24375000000001"/>
    <x v="0"/>
  </r>
  <r>
    <s v="T595193"/>
    <s v="C9234"/>
    <d v="2024-10-05T00:00:00"/>
    <x v="2"/>
    <x v="0"/>
    <x v="2"/>
    <n v="1444.05"/>
    <n v="2"/>
    <n v="722.02499999999998"/>
    <x v="4"/>
  </r>
  <r>
    <s v="T344489"/>
    <s v="C5491"/>
    <d v="2025-07-17T00:00:00"/>
    <x v="0"/>
    <x v="0"/>
    <x v="1"/>
    <n v="344.25"/>
    <n v="9"/>
    <n v="38.25"/>
    <x v="1"/>
  </r>
  <r>
    <s v="T136050"/>
    <s v="C3600"/>
    <d v="2025-08-23T00:00:00"/>
    <x v="0"/>
    <x v="0"/>
    <x v="1"/>
    <n v="787.32"/>
    <n v="7"/>
    <n v="112.47428571428573"/>
    <x v="0"/>
  </r>
  <r>
    <s v="T957472"/>
    <s v="C1022"/>
    <d v="2023-07-29T00:00:00"/>
    <x v="1"/>
    <x v="3"/>
    <x v="2"/>
    <m/>
    <n v="8"/>
    <m/>
    <x v="3"/>
  </r>
  <r>
    <s v="T704592"/>
    <s v="C2586"/>
    <d v="2025-03-13T00:00:00"/>
    <x v="0"/>
    <x v="0"/>
    <x v="1"/>
    <m/>
    <n v="8"/>
    <m/>
    <x v="3"/>
  </r>
  <r>
    <s v="T439505"/>
    <s v="C4012"/>
    <d v="2023-10-15T00:00:00"/>
    <x v="1"/>
    <x v="0"/>
    <x v="0"/>
    <n v="608.26"/>
    <n v="4"/>
    <n v="152.065"/>
    <x v="0"/>
  </r>
  <r>
    <s v="T516273"/>
    <s v="C4266"/>
    <d v="2025-06-15T00:00:00"/>
    <x v="0"/>
    <x v="2"/>
    <x v="1"/>
    <n v="1069.98"/>
    <n v="8"/>
    <n v="133.7475"/>
    <x v="2"/>
  </r>
  <r>
    <s v="T320742"/>
    <s v="C8903"/>
    <d v="2024-12-24T00:00:00"/>
    <x v="2"/>
    <x v="2"/>
    <x v="2"/>
    <m/>
    <n v="6"/>
    <m/>
    <x v="0"/>
  </r>
  <r>
    <s v="T567121"/>
    <s v="C6624"/>
    <d v="2023-08-13T00:00:00"/>
    <x v="1"/>
    <x v="1"/>
    <x v="0"/>
    <m/>
    <n v="4"/>
    <m/>
    <x v="1"/>
  </r>
  <r>
    <s v="T262137"/>
    <s v="C4769"/>
    <d v="2025-03-15T00:00:00"/>
    <x v="0"/>
    <x v="1"/>
    <x v="2"/>
    <n v="1787.89"/>
    <n v="2"/>
    <n v="893.94500000000005"/>
    <x v="0"/>
  </r>
  <r>
    <s v="T536809"/>
    <s v="C1665"/>
    <d v="2025-01-27T00:00:00"/>
    <x v="0"/>
    <x v="3"/>
    <x v="0"/>
    <n v="1299.95"/>
    <n v="9"/>
    <n v="144.4388888888889"/>
    <x v="0"/>
  </r>
  <r>
    <s v="T345885"/>
    <s v="C7576"/>
    <d v="2023-01-23T00:00:00"/>
    <x v="1"/>
    <x v="2"/>
    <x v="2"/>
    <n v="591.9"/>
    <n v="2"/>
    <n v="295.95"/>
    <x v="2"/>
  </r>
  <r>
    <s v="T215230"/>
    <s v="C3278"/>
    <d v="2024-08-25T00:00:00"/>
    <x v="2"/>
    <x v="1"/>
    <x v="0"/>
    <n v="805.52"/>
    <n v="1"/>
    <n v="805.52"/>
    <x v="4"/>
  </r>
  <r>
    <s v="T128782"/>
    <s v="C4235"/>
    <d v="2024-12-25T00:00:00"/>
    <x v="2"/>
    <x v="3"/>
    <x v="1"/>
    <n v="90.84"/>
    <n v="1"/>
    <n v="90.84"/>
    <x v="4"/>
  </r>
  <r>
    <s v="T933937"/>
    <s v="C7251"/>
    <d v="2025-01-12T00:00:00"/>
    <x v="0"/>
    <x v="2"/>
    <x v="1"/>
    <m/>
    <n v="9"/>
    <m/>
    <x v="2"/>
  </r>
  <r>
    <s v="T421912"/>
    <s v="C3692"/>
    <d v="2023-05-11T00:00:00"/>
    <x v="1"/>
    <x v="3"/>
    <x v="3"/>
    <n v="1563.46"/>
    <n v="1"/>
    <n v="1563.46"/>
    <x v="1"/>
  </r>
  <r>
    <s v="T515973"/>
    <s v="C3879"/>
    <d v="2024-11-08T00:00:00"/>
    <x v="2"/>
    <x v="0"/>
    <x v="0"/>
    <n v="853.63"/>
    <n v="10"/>
    <n v="85.363"/>
    <x v="1"/>
  </r>
  <r>
    <s v="T389285"/>
    <s v="C6407"/>
    <d v="2024-02-18T00:00:00"/>
    <x v="2"/>
    <x v="3"/>
    <x v="1"/>
    <n v="1564.49"/>
    <n v="6"/>
    <n v="260.74833333333333"/>
    <x v="0"/>
  </r>
  <r>
    <s v="T123226"/>
    <s v="C9677"/>
    <d v="2024-11-04T00:00:00"/>
    <x v="2"/>
    <x v="0"/>
    <x v="2"/>
    <n v="388.29"/>
    <n v="6"/>
    <n v="64.715000000000003"/>
    <x v="3"/>
  </r>
  <r>
    <s v="T261968"/>
    <s v="C7421"/>
    <d v="2023-01-20T00:00:00"/>
    <x v="1"/>
    <x v="3"/>
    <x v="2"/>
    <m/>
    <n v="8"/>
    <m/>
    <x v="2"/>
  </r>
  <r>
    <s v="T938015"/>
    <s v="C6061"/>
    <d v="2025-09-23T00:00:00"/>
    <x v="0"/>
    <x v="0"/>
    <x v="0"/>
    <n v="1984.26"/>
    <n v="9"/>
    <n v="220.47333333333333"/>
    <x v="1"/>
  </r>
  <r>
    <s v="T626064"/>
    <s v="C3650"/>
    <d v="2022-10-28T00:00:00"/>
    <x v="3"/>
    <x v="0"/>
    <x v="2"/>
    <m/>
    <n v="6"/>
    <m/>
    <x v="0"/>
  </r>
  <r>
    <s v="T335381"/>
    <s v="C7680"/>
    <d v="2025-01-07T00:00:00"/>
    <x v="0"/>
    <x v="2"/>
    <x v="2"/>
    <n v="1596.95"/>
    <n v="4"/>
    <n v="399.23750000000001"/>
    <x v="0"/>
  </r>
  <r>
    <s v="T373773"/>
    <s v="C9582"/>
    <d v="2024-07-14T00:00:00"/>
    <x v="2"/>
    <x v="1"/>
    <x v="2"/>
    <n v="700.29"/>
    <m/>
    <m/>
    <x v="0"/>
  </r>
  <r>
    <s v="T287062"/>
    <s v="C4133"/>
    <d v="2025-01-29T00:00:00"/>
    <x v="0"/>
    <x v="3"/>
    <x v="2"/>
    <n v="1876.56"/>
    <n v="2"/>
    <n v="938.28"/>
    <x v="2"/>
  </r>
  <r>
    <s v="T771780"/>
    <s v="C3456"/>
    <d v="2023-03-12T00:00:00"/>
    <x v="1"/>
    <x v="2"/>
    <x v="0"/>
    <n v="917.36"/>
    <n v="10"/>
    <n v="91.736000000000004"/>
    <x v="4"/>
  </r>
  <r>
    <s v="T386679"/>
    <s v="C1673"/>
    <d v="2024-10-26T00:00:00"/>
    <x v="2"/>
    <x v="0"/>
    <x v="0"/>
    <n v="779.44"/>
    <n v="10"/>
    <n v="77.944000000000003"/>
    <x v="0"/>
  </r>
  <r>
    <s v="T484281"/>
    <s v="C6925"/>
    <d v="2024-11-18T00:00:00"/>
    <x v="2"/>
    <x v="2"/>
    <x v="3"/>
    <n v="170.59"/>
    <n v="6"/>
    <n v="28.431666666666668"/>
    <x v="0"/>
  </r>
  <r>
    <s v="T535883"/>
    <s v="C7288"/>
    <d v="2024-05-31T00:00:00"/>
    <x v="2"/>
    <x v="0"/>
    <x v="0"/>
    <n v="1930.94"/>
    <n v="6"/>
    <n v="321.82333333333332"/>
    <x v="1"/>
  </r>
  <r>
    <s v="T528808"/>
    <s v="C7759"/>
    <d v="2024-09-26T00:00:00"/>
    <x v="2"/>
    <x v="1"/>
    <x v="1"/>
    <n v="100.19"/>
    <n v="1"/>
    <n v="100.19"/>
    <x v="4"/>
  </r>
  <r>
    <s v="T188124"/>
    <s v="C9242"/>
    <d v="2024-02-24T00:00:00"/>
    <x v="2"/>
    <x v="3"/>
    <x v="1"/>
    <n v="789.66"/>
    <n v="9"/>
    <n v="87.74"/>
    <x v="0"/>
  </r>
  <r>
    <s v="T467782"/>
    <s v="C7629"/>
    <d v="2025-05-01T00:00:00"/>
    <x v="0"/>
    <x v="0"/>
    <x v="2"/>
    <n v="48.17"/>
    <n v="4"/>
    <n v="12.0425"/>
    <x v="2"/>
  </r>
  <r>
    <s v="T241857"/>
    <s v="C1422"/>
    <d v="2025-06-12T00:00:00"/>
    <x v="0"/>
    <x v="2"/>
    <x v="1"/>
    <n v="996.52"/>
    <n v="5"/>
    <n v="199.304"/>
    <x v="3"/>
  </r>
  <r>
    <s v="T814820"/>
    <s v="C1226"/>
    <d v="2025-07-20T00:00:00"/>
    <x v="0"/>
    <x v="0"/>
    <x v="3"/>
    <m/>
    <n v="9"/>
    <m/>
    <x v="2"/>
  </r>
  <r>
    <s v="T387300"/>
    <s v="C2799"/>
    <d v="2024-08-18T00:00:00"/>
    <x v="2"/>
    <x v="3"/>
    <x v="1"/>
    <n v="1035.44"/>
    <n v="2"/>
    <n v="517.72"/>
    <x v="2"/>
  </r>
  <r>
    <s v="T657172"/>
    <s v="C8240"/>
    <d v="2025-09-01T00:00:00"/>
    <x v="0"/>
    <x v="2"/>
    <x v="1"/>
    <n v="1021.02"/>
    <n v="4"/>
    <n v="255.255"/>
    <x v="0"/>
  </r>
  <r>
    <s v="T221788"/>
    <s v="C2036"/>
    <d v="2023-09-12T00:00:00"/>
    <x v="1"/>
    <x v="3"/>
    <x v="0"/>
    <n v="64.760000000000005"/>
    <n v="3"/>
    <n v="21.58666666666667"/>
    <x v="3"/>
  </r>
  <r>
    <s v="T368866"/>
    <s v="C3348"/>
    <d v="2024-05-11T00:00:00"/>
    <x v="2"/>
    <x v="3"/>
    <x v="2"/>
    <m/>
    <n v="1"/>
    <m/>
    <x v="1"/>
  </r>
  <r>
    <s v="T599264"/>
    <s v="C7259"/>
    <d v="2023-03-27T00:00:00"/>
    <x v="1"/>
    <x v="2"/>
    <x v="2"/>
    <n v="1194.6600000000001"/>
    <n v="6"/>
    <n v="199.11"/>
    <x v="3"/>
  </r>
  <r>
    <s v="T694278"/>
    <s v="C4290"/>
    <d v="2022-11-08T00:00:00"/>
    <x v="3"/>
    <x v="1"/>
    <x v="2"/>
    <n v="432.25"/>
    <n v="1"/>
    <n v="432.25"/>
    <x v="3"/>
  </r>
  <r>
    <s v="T420320"/>
    <s v="C7734"/>
    <d v="2025-07-02T00:00:00"/>
    <x v="0"/>
    <x v="3"/>
    <x v="2"/>
    <n v="308.01"/>
    <n v="6"/>
    <n v="51.335000000000001"/>
    <x v="1"/>
  </r>
  <r>
    <s v="T446469"/>
    <s v="C1501"/>
    <d v="2023-02-07T00:00:00"/>
    <x v="1"/>
    <x v="0"/>
    <x v="2"/>
    <n v="744.05"/>
    <n v="9"/>
    <n v="82.672222222222217"/>
    <x v="3"/>
  </r>
  <r>
    <s v="T732681"/>
    <s v="C2723"/>
    <d v="2025-06-14T00:00:00"/>
    <x v="0"/>
    <x v="3"/>
    <x v="2"/>
    <n v="1118.08"/>
    <n v="3"/>
    <n v="372.69333333333333"/>
    <x v="0"/>
  </r>
  <r>
    <s v="T845011"/>
    <s v="C1306"/>
    <d v="2023-07-29T00:00:00"/>
    <x v="1"/>
    <x v="2"/>
    <x v="2"/>
    <m/>
    <n v="9"/>
    <m/>
    <x v="4"/>
  </r>
  <r>
    <s v="T319153"/>
    <s v="C3449"/>
    <d v="2025-09-02T00:00:00"/>
    <x v="0"/>
    <x v="1"/>
    <x v="0"/>
    <n v="1738.28"/>
    <n v="1"/>
    <n v="1738.28"/>
    <x v="0"/>
  </r>
  <r>
    <s v="T605790"/>
    <s v="C8013"/>
    <d v="2023-11-25T00:00:00"/>
    <x v="1"/>
    <x v="3"/>
    <x v="1"/>
    <n v="140.78"/>
    <n v="9"/>
    <n v="15.642222222222223"/>
    <x v="4"/>
  </r>
  <r>
    <s v="T328339"/>
    <s v="C8607"/>
    <d v="2023-10-07T00:00:00"/>
    <x v="1"/>
    <x v="2"/>
    <x v="0"/>
    <n v="1206.3399999999999"/>
    <n v="3"/>
    <n v="402.11333333333329"/>
    <x v="0"/>
  </r>
  <r>
    <s v="T122856"/>
    <s v="C1103"/>
    <d v="2025-03-08T00:00:00"/>
    <x v="0"/>
    <x v="0"/>
    <x v="0"/>
    <n v="837.63"/>
    <n v="7"/>
    <n v="119.66142857142857"/>
    <x v="2"/>
  </r>
  <r>
    <s v="T545526"/>
    <s v="C3981"/>
    <d v="2023-11-21T00:00:00"/>
    <x v="1"/>
    <x v="0"/>
    <x v="0"/>
    <n v="1371.92"/>
    <n v="10"/>
    <n v="137.19200000000001"/>
    <x v="4"/>
  </r>
  <r>
    <s v="T494162"/>
    <s v="C3330"/>
    <d v="2023-01-13T00:00:00"/>
    <x v="1"/>
    <x v="0"/>
    <x v="0"/>
    <n v="1834.61"/>
    <n v="7"/>
    <n v="262.08714285714285"/>
    <x v="0"/>
  </r>
  <r>
    <s v="T853930"/>
    <s v="C8919"/>
    <d v="2025-01-11T00:00:00"/>
    <x v="0"/>
    <x v="0"/>
    <x v="2"/>
    <m/>
    <n v="5"/>
    <m/>
    <x v="1"/>
  </r>
  <r>
    <s v="T766461"/>
    <s v="C2495"/>
    <d v="2023-07-21T00:00:00"/>
    <x v="1"/>
    <x v="0"/>
    <x v="0"/>
    <n v="751.46"/>
    <n v="1"/>
    <n v="751.46"/>
    <x v="3"/>
  </r>
  <r>
    <s v="T867522"/>
    <s v="C4528"/>
    <d v="2024-10-03T00:00:00"/>
    <x v="2"/>
    <x v="3"/>
    <x v="1"/>
    <n v="1806.45"/>
    <n v="3"/>
    <n v="602.15"/>
    <x v="4"/>
  </r>
  <r>
    <s v="T113825"/>
    <s v="C5874"/>
    <d v="2025-09-30T00:00:00"/>
    <x v="0"/>
    <x v="3"/>
    <x v="2"/>
    <n v="1555.95"/>
    <n v="8"/>
    <n v="194.49375000000001"/>
    <x v="4"/>
  </r>
  <r>
    <s v="T301872"/>
    <s v="C3619"/>
    <d v="2022-12-13T00:00:00"/>
    <x v="3"/>
    <x v="1"/>
    <x v="3"/>
    <n v="91.97"/>
    <n v="2"/>
    <n v="45.984999999999999"/>
    <x v="4"/>
  </r>
  <r>
    <s v="T578368"/>
    <s v="C6588"/>
    <d v="2023-06-25T00:00:00"/>
    <x v="1"/>
    <x v="1"/>
    <x v="2"/>
    <m/>
    <n v="7"/>
    <m/>
    <x v="0"/>
  </r>
  <r>
    <s v="T560360"/>
    <s v="C5403"/>
    <d v="2023-12-15T00:00:00"/>
    <x v="1"/>
    <x v="2"/>
    <x v="1"/>
    <n v="1797.95"/>
    <n v="6"/>
    <n v="299.65833333333336"/>
    <x v="0"/>
  </r>
  <r>
    <s v="T610915"/>
    <s v="C9817"/>
    <d v="2023-08-02T00:00:00"/>
    <x v="1"/>
    <x v="2"/>
    <x v="0"/>
    <m/>
    <n v="2"/>
    <m/>
    <x v="3"/>
  </r>
  <r>
    <s v="T489542"/>
    <s v="C7111"/>
    <d v="2024-09-26T00:00:00"/>
    <x v="2"/>
    <x v="2"/>
    <x v="0"/>
    <m/>
    <n v="1"/>
    <m/>
    <x v="1"/>
  </r>
  <r>
    <s v="T710531"/>
    <s v="C6839"/>
    <d v="2024-05-17T00:00:00"/>
    <x v="2"/>
    <x v="3"/>
    <x v="1"/>
    <n v="1217.1099999999999"/>
    <n v="8"/>
    <n v="152.13874999999999"/>
    <x v="0"/>
  </r>
  <r>
    <s v="T257266"/>
    <s v="C5879"/>
    <d v="2023-10-04T00:00:00"/>
    <x v="1"/>
    <x v="0"/>
    <x v="3"/>
    <n v="603.9"/>
    <n v="3"/>
    <n v="201.29999999999998"/>
    <x v="4"/>
  </r>
  <r>
    <s v="T373214"/>
    <s v="C4367"/>
    <d v="2023-10-13T00:00:00"/>
    <x v="1"/>
    <x v="3"/>
    <x v="3"/>
    <n v="438.72"/>
    <n v="9"/>
    <n v="48.74666666666667"/>
    <x v="0"/>
  </r>
  <r>
    <s v="T679295"/>
    <s v="C1528"/>
    <d v="2025-01-09T00:00:00"/>
    <x v="0"/>
    <x v="2"/>
    <x v="1"/>
    <n v="1800.25"/>
    <n v="9"/>
    <n v="200.02777777777777"/>
    <x v="1"/>
  </r>
  <r>
    <s v="T589863"/>
    <s v="C4701"/>
    <d v="2024-10-18T00:00:00"/>
    <x v="2"/>
    <x v="3"/>
    <x v="0"/>
    <n v="1989.08"/>
    <n v="5"/>
    <n v="397.81599999999997"/>
    <x v="3"/>
  </r>
  <r>
    <s v="T877123"/>
    <s v="C9353"/>
    <d v="2025-08-08T00:00:00"/>
    <x v="0"/>
    <x v="1"/>
    <x v="3"/>
    <n v="1607.17"/>
    <n v="5"/>
    <n v="321.43400000000003"/>
    <x v="1"/>
  </r>
  <r>
    <s v="T578206"/>
    <s v="C6792"/>
    <d v="2023-06-29T00:00:00"/>
    <x v="1"/>
    <x v="3"/>
    <x v="3"/>
    <n v="1789.76"/>
    <n v="4"/>
    <n v="447.44"/>
    <x v="2"/>
  </r>
  <r>
    <s v="T229726"/>
    <s v="C9416"/>
    <d v="2024-08-11T00:00:00"/>
    <x v="2"/>
    <x v="3"/>
    <x v="2"/>
    <n v="295.13"/>
    <n v="10"/>
    <n v="29.512999999999998"/>
    <x v="1"/>
  </r>
  <r>
    <s v="T913463"/>
    <s v="C6631"/>
    <d v="2025-03-30T00:00:00"/>
    <x v="0"/>
    <x v="0"/>
    <x v="2"/>
    <n v="1991.2"/>
    <m/>
    <m/>
    <x v="4"/>
  </r>
  <r>
    <s v="T361136"/>
    <s v="C5765"/>
    <d v="2023-10-15T00:00:00"/>
    <x v="1"/>
    <x v="0"/>
    <x v="3"/>
    <n v="845.97"/>
    <n v="6"/>
    <n v="140.995"/>
    <x v="1"/>
  </r>
  <r>
    <s v="T934909"/>
    <s v="C2217"/>
    <d v="2023-07-31T00:00:00"/>
    <x v="1"/>
    <x v="0"/>
    <x v="1"/>
    <n v="1400.24"/>
    <n v="4"/>
    <n v="350.06"/>
    <x v="3"/>
  </r>
  <r>
    <s v="T665082"/>
    <s v="C6537"/>
    <d v="2023-10-18T00:00:00"/>
    <x v="1"/>
    <x v="3"/>
    <x v="0"/>
    <n v="764.37"/>
    <n v="10"/>
    <n v="76.436999999999998"/>
    <x v="3"/>
  </r>
  <r>
    <s v="T116867"/>
    <s v="C8388"/>
    <d v="2022-10-31T00:00:00"/>
    <x v="3"/>
    <x v="0"/>
    <x v="1"/>
    <n v="755.12"/>
    <n v="9"/>
    <n v="83.902222222222221"/>
    <x v="1"/>
  </r>
  <r>
    <s v="T290643"/>
    <s v="C6961"/>
    <d v="2023-08-19T00:00:00"/>
    <x v="1"/>
    <x v="2"/>
    <x v="2"/>
    <m/>
    <n v="9"/>
    <m/>
    <x v="3"/>
  </r>
  <r>
    <s v="T768619"/>
    <s v="C8958"/>
    <d v="2022-11-02T00:00:00"/>
    <x v="3"/>
    <x v="3"/>
    <x v="0"/>
    <n v="1882.04"/>
    <n v="5"/>
    <n v="376.40800000000002"/>
    <x v="0"/>
  </r>
  <r>
    <s v="T591228"/>
    <s v="C8418"/>
    <d v="2023-08-13T00:00:00"/>
    <x v="1"/>
    <x v="2"/>
    <x v="0"/>
    <n v="286.14999999999998"/>
    <m/>
    <m/>
    <x v="4"/>
  </r>
  <r>
    <s v="T475520"/>
    <s v="C8088"/>
    <d v="2024-03-29T00:00:00"/>
    <x v="2"/>
    <x v="2"/>
    <x v="0"/>
    <m/>
    <n v="3"/>
    <m/>
    <x v="1"/>
  </r>
  <r>
    <s v="T500322"/>
    <s v="C7906"/>
    <d v="2024-08-03T00:00:00"/>
    <x v="2"/>
    <x v="0"/>
    <x v="3"/>
    <n v="755.33"/>
    <n v="9"/>
    <n v="83.925555555555562"/>
    <x v="0"/>
  </r>
  <r>
    <s v="T511147"/>
    <s v="C2171"/>
    <d v="2023-04-16T00:00:00"/>
    <x v="1"/>
    <x v="0"/>
    <x v="1"/>
    <n v="1002.67"/>
    <m/>
    <m/>
    <x v="1"/>
  </r>
  <r>
    <s v="T161709"/>
    <s v="C6336"/>
    <d v="2024-01-15T00:00:00"/>
    <x v="2"/>
    <x v="1"/>
    <x v="3"/>
    <n v="1903.03"/>
    <n v="6"/>
    <n v="317.17166666666668"/>
    <x v="1"/>
  </r>
  <r>
    <s v="T241059"/>
    <s v="C1011"/>
    <d v="2025-06-09T00:00:00"/>
    <x v="0"/>
    <x v="0"/>
    <x v="0"/>
    <n v="674.62"/>
    <n v="4"/>
    <n v="168.655"/>
    <x v="4"/>
  </r>
  <r>
    <s v="T105613"/>
    <s v="C8322"/>
    <d v="2025-03-11T00:00:00"/>
    <x v="0"/>
    <x v="0"/>
    <x v="1"/>
    <n v="1620.27"/>
    <n v="9"/>
    <n v="180.03"/>
    <x v="3"/>
  </r>
  <r>
    <s v="T412032"/>
    <s v="C2792"/>
    <d v="2025-07-27T00:00:00"/>
    <x v="0"/>
    <x v="1"/>
    <x v="3"/>
    <n v="34.97"/>
    <m/>
    <m/>
    <x v="2"/>
  </r>
  <r>
    <s v="T326696"/>
    <s v="C9414"/>
    <d v="2025-03-26T00:00:00"/>
    <x v="0"/>
    <x v="2"/>
    <x v="2"/>
    <m/>
    <n v="8"/>
    <m/>
    <x v="2"/>
  </r>
  <r>
    <s v="T480811"/>
    <s v="C7085"/>
    <d v="2025-08-05T00:00:00"/>
    <x v="0"/>
    <x v="3"/>
    <x v="0"/>
    <n v="1281.6600000000001"/>
    <n v="9"/>
    <n v="142.40666666666667"/>
    <x v="0"/>
  </r>
  <r>
    <s v="T814831"/>
    <s v="C8695"/>
    <d v="2024-05-19T00:00:00"/>
    <x v="2"/>
    <x v="1"/>
    <x v="2"/>
    <n v="1610.13"/>
    <n v="8"/>
    <n v="201.26625000000001"/>
    <x v="0"/>
  </r>
  <r>
    <s v="T785962"/>
    <s v="C8544"/>
    <d v="2023-05-29T00:00:00"/>
    <x v="1"/>
    <x v="3"/>
    <x v="0"/>
    <n v="1243.5899999999999"/>
    <n v="9"/>
    <n v="138.17666666666665"/>
    <x v="0"/>
  </r>
  <r>
    <s v="T346802"/>
    <s v="C7735"/>
    <d v="2023-04-05T00:00:00"/>
    <x v="1"/>
    <x v="3"/>
    <x v="2"/>
    <n v="1516.63"/>
    <n v="5"/>
    <n v="303.32600000000002"/>
    <x v="2"/>
  </r>
  <r>
    <s v="T378745"/>
    <s v="C8703"/>
    <d v="2025-09-11T00:00:00"/>
    <x v="0"/>
    <x v="0"/>
    <x v="0"/>
    <n v="1879.23"/>
    <n v="5"/>
    <n v="375.846"/>
    <x v="0"/>
  </r>
  <r>
    <s v="T758719"/>
    <s v="C1591"/>
    <d v="2024-01-21T00:00:00"/>
    <x v="2"/>
    <x v="1"/>
    <x v="0"/>
    <m/>
    <n v="3"/>
    <m/>
    <x v="2"/>
  </r>
  <r>
    <s v="T702516"/>
    <s v="C6571"/>
    <d v="2023-11-22T00:00:00"/>
    <x v="1"/>
    <x v="2"/>
    <x v="2"/>
    <n v="1468.16"/>
    <n v="10"/>
    <n v="146.816"/>
    <x v="1"/>
  </r>
  <r>
    <s v="T675165"/>
    <s v="C4084"/>
    <d v="2022-12-14T00:00:00"/>
    <x v="3"/>
    <x v="0"/>
    <x v="0"/>
    <n v="1635.78"/>
    <n v="3"/>
    <n v="545.26"/>
    <x v="4"/>
  </r>
  <r>
    <s v="T939719"/>
    <s v="C1909"/>
    <d v="2023-04-21T00:00:00"/>
    <x v="1"/>
    <x v="3"/>
    <x v="3"/>
    <n v="784.11"/>
    <n v="1"/>
    <n v="784.11"/>
    <x v="3"/>
  </r>
  <r>
    <s v="T791600"/>
    <s v="C2114"/>
    <d v="2023-07-12T00:00:00"/>
    <x v="1"/>
    <x v="3"/>
    <x v="3"/>
    <n v="315.77"/>
    <n v="10"/>
    <n v="31.576999999999998"/>
    <x v="1"/>
  </r>
  <r>
    <s v="T929629"/>
    <s v="C6659"/>
    <d v="2024-11-13T00:00:00"/>
    <x v="2"/>
    <x v="0"/>
    <x v="3"/>
    <n v="1149.03"/>
    <n v="4"/>
    <n v="287.25749999999999"/>
    <x v="3"/>
  </r>
  <r>
    <s v="T849544"/>
    <s v="C5188"/>
    <d v="2023-04-17T00:00:00"/>
    <x v="1"/>
    <x v="3"/>
    <x v="1"/>
    <m/>
    <n v="6"/>
    <m/>
    <x v="2"/>
  </r>
  <r>
    <s v="T198087"/>
    <s v="C9568"/>
    <d v="2023-05-26T00:00:00"/>
    <x v="1"/>
    <x v="2"/>
    <x v="0"/>
    <m/>
    <n v="4"/>
    <m/>
    <x v="2"/>
  </r>
  <r>
    <s v="T456887"/>
    <s v="C2124"/>
    <d v="2023-02-13T00:00:00"/>
    <x v="1"/>
    <x v="0"/>
    <x v="0"/>
    <n v="1157.72"/>
    <n v="1"/>
    <n v="1157.72"/>
    <x v="4"/>
  </r>
  <r>
    <s v="T746402"/>
    <s v="C9891"/>
    <d v="2023-05-29T00:00:00"/>
    <x v="1"/>
    <x v="1"/>
    <x v="2"/>
    <n v="1411.66"/>
    <n v="10"/>
    <n v="141.166"/>
    <x v="0"/>
  </r>
  <r>
    <s v="T511912"/>
    <s v="C5029"/>
    <d v="2023-02-10T00:00:00"/>
    <x v="1"/>
    <x v="0"/>
    <x v="0"/>
    <m/>
    <n v="2"/>
    <m/>
    <x v="1"/>
  </r>
  <r>
    <s v="T477683"/>
    <s v="C7118"/>
    <d v="2023-06-09T00:00:00"/>
    <x v="1"/>
    <x v="2"/>
    <x v="3"/>
    <n v="1002.49"/>
    <n v="10"/>
    <n v="100.249"/>
    <x v="2"/>
  </r>
  <r>
    <s v="T983135"/>
    <s v="C3214"/>
    <d v="2022-11-25T00:00:00"/>
    <x v="3"/>
    <x v="0"/>
    <x v="2"/>
    <n v="1329.3"/>
    <n v="4"/>
    <n v="332.32499999999999"/>
    <x v="4"/>
  </r>
  <r>
    <s v="T843932"/>
    <s v="C4265"/>
    <d v="2025-10-08T00:00:00"/>
    <x v="0"/>
    <x v="0"/>
    <x v="2"/>
    <n v="1022.71"/>
    <n v="3"/>
    <n v="340.90333333333336"/>
    <x v="3"/>
  </r>
  <r>
    <s v="T214893"/>
    <s v="C8242"/>
    <d v="2023-11-29T00:00:00"/>
    <x v="1"/>
    <x v="1"/>
    <x v="0"/>
    <n v="1544.86"/>
    <n v="10"/>
    <n v="154.48599999999999"/>
    <x v="4"/>
  </r>
  <r>
    <s v="T773235"/>
    <s v="C6337"/>
    <d v="2024-03-10T00:00:00"/>
    <x v="2"/>
    <x v="2"/>
    <x v="2"/>
    <n v="1817.99"/>
    <n v="10"/>
    <n v="181.79900000000001"/>
    <x v="3"/>
  </r>
  <r>
    <s v="T695956"/>
    <s v="C8061"/>
    <d v="2025-01-13T00:00:00"/>
    <x v="0"/>
    <x v="1"/>
    <x v="1"/>
    <n v="1054.05"/>
    <n v="1"/>
    <n v="1054.05"/>
    <x v="4"/>
  </r>
  <r>
    <s v="T424647"/>
    <s v="C9032"/>
    <d v="2023-02-14T00:00:00"/>
    <x v="1"/>
    <x v="1"/>
    <x v="3"/>
    <n v="1811.06"/>
    <n v="4"/>
    <n v="452.76499999999999"/>
    <x v="1"/>
  </r>
  <r>
    <s v="T147032"/>
    <s v="C2945"/>
    <d v="2025-10-16T00:00:00"/>
    <x v="0"/>
    <x v="0"/>
    <x v="1"/>
    <n v="1822.81"/>
    <n v="8"/>
    <n v="227.85124999999999"/>
    <x v="0"/>
  </r>
  <r>
    <s v="T197656"/>
    <s v="C6178"/>
    <d v="2025-06-30T00:00:00"/>
    <x v="0"/>
    <x v="3"/>
    <x v="1"/>
    <n v="1730.71"/>
    <n v="8"/>
    <n v="216.33875"/>
    <x v="4"/>
  </r>
  <r>
    <s v="T317770"/>
    <s v="C1362"/>
    <d v="2024-07-06T00:00:00"/>
    <x v="2"/>
    <x v="2"/>
    <x v="2"/>
    <n v="321.24"/>
    <n v="1"/>
    <n v="321.24"/>
    <x v="1"/>
  </r>
  <r>
    <s v="T281654"/>
    <s v="C8678"/>
    <d v="2023-11-24T00:00:00"/>
    <x v="1"/>
    <x v="3"/>
    <x v="3"/>
    <n v="574"/>
    <n v="7"/>
    <n v="82"/>
    <x v="3"/>
  </r>
  <r>
    <s v="T674574"/>
    <s v="C3149"/>
    <d v="2023-01-26T00:00:00"/>
    <x v="1"/>
    <x v="2"/>
    <x v="1"/>
    <n v="748.03"/>
    <n v="1"/>
    <n v="748.03"/>
    <x v="3"/>
  </r>
  <r>
    <s v="T626834"/>
    <s v="C1131"/>
    <d v="2025-06-14T00:00:00"/>
    <x v="0"/>
    <x v="1"/>
    <x v="0"/>
    <n v="1359.5"/>
    <n v="2"/>
    <n v="679.75"/>
    <x v="0"/>
  </r>
  <r>
    <s v="T241075"/>
    <s v="C3142"/>
    <d v="2024-02-06T00:00:00"/>
    <x v="2"/>
    <x v="3"/>
    <x v="1"/>
    <n v="463.15"/>
    <n v="7"/>
    <n v="66.164285714285711"/>
    <x v="3"/>
  </r>
  <r>
    <s v="T756310"/>
    <s v="C8027"/>
    <d v="2023-07-24T00:00:00"/>
    <x v="1"/>
    <x v="2"/>
    <x v="2"/>
    <n v="1300.74"/>
    <m/>
    <m/>
    <x v="0"/>
  </r>
  <r>
    <s v="T609289"/>
    <s v="C3438"/>
    <d v="2023-05-12T00:00:00"/>
    <x v="1"/>
    <x v="0"/>
    <x v="0"/>
    <n v="1408.82"/>
    <n v="10"/>
    <n v="140.88200000000001"/>
    <x v="1"/>
  </r>
  <r>
    <s v="T434991"/>
    <s v="C1353"/>
    <d v="2025-04-07T00:00:00"/>
    <x v="0"/>
    <x v="2"/>
    <x v="2"/>
    <n v="1677.27"/>
    <n v="5"/>
    <n v="335.45400000000001"/>
    <x v="1"/>
  </r>
  <r>
    <s v="T868345"/>
    <s v="C4029"/>
    <d v="2024-03-31T00:00:00"/>
    <x v="2"/>
    <x v="0"/>
    <x v="0"/>
    <n v="1447.73"/>
    <n v="4"/>
    <n v="361.9325"/>
    <x v="0"/>
  </r>
  <r>
    <s v="T113782"/>
    <s v="C7980"/>
    <d v="2024-08-24T00:00:00"/>
    <x v="2"/>
    <x v="0"/>
    <x v="3"/>
    <m/>
    <n v="5"/>
    <m/>
    <x v="2"/>
  </r>
  <r>
    <s v="T121052"/>
    <s v="C8587"/>
    <d v="2024-04-18T00:00:00"/>
    <x v="2"/>
    <x v="0"/>
    <x v="0"/>
    <n v="1314.28"/>
    <n v="6"/>
    <n v="219.04666666666665"/>
    <x v="1"/>
  </r>
  <r>
    <s v="T931837"/>
    <s v="C5489"/>
    <d v="2025-04-24T00:00:00"/>
    <x v="0"/>
    <x v="2"/>
    <x v="1"/>
    <n v="1999.23"/>
    <n v="8"/>
    <n v="249.90375"/>
    <x v="3"/>
  </r>
  <r>
    <s v="T157242"/>
    <s v="C2076"/>
    <d v="2023-03-05T00:00:00"/>
    <x v="1"/>
    <x v="1"/>
    <x v="2"/>
    <n v="165.71"/>
    <m/>
    <m/>
    <x v="1"/>
  </r>
  <r>
    <s v="T951816"/>
    <s v="C6211"/>
    <d v="2024-04-18T00:00:00"/>
    <x v="2"/>
    <x v="3"/>
    <x v="0"/>
    <n v="1130.77"/>
    <n v="6"/>
    <n v="188.46166666666667"/>
    <x v="1"/>
  </r>
  <r>
    <s v="T955980"/>
    <s v="C6265"/>
    <d v="2023-02-01T00:00:00"/>
    <x v="1"/>
    <x v="1"/>
    <x v="2"/>
    <n v="322.62"/>
    <n v="3"/>
    <n v="107.54"/>
    <x v="2"/>
  </r>
  <r>
    <s v="T617803"/>
    <s v="C9053"/>
    <d v="2025-05-14T00:00:00"/>
    <x v="0"/>
    <x v="0"/>
    <x v="1"/>
    <n v="1638.61"/>
    <n v="4"/>
    <n v="409.65249999999997"/>
    <x v="2"/>
  </r>
  <r>
    <s v="T702229"/>
    <s v="C8408"/>
    <d v="2022-11-14T00:00:00"/>
    <x v="3"/>
    <x v="2"/>
    <x v="1"/>
    <n v="232.25"/>
    <n v="3"/>
    <n v="77.416666666666671"/>
    <x v="4"/>
  </r>
  <r>
    <s v="T143368"/>
    <s v="C9139"/>
    <d v="2025-07-18T00:00:00"/>
    <x v="0"/>
    <x v="3"/>
    <x v="0"/>
    <n v="1788.38"/>
    <n v="2"/>
    <n v="894.19"/>
    <x v="4"/>
  </r>
  <r>
    <s v="T689761"/>
    <s v="C2583"/>
    <d v="2025-01-07T00:00:00"/>
    <x v="0"/>
    <x v="3"/>
    <x v="2"/>
    <n v="1056.76"/>
    <n v="6"/>
    <n v="176.12666666666667"/>
    <x v="2"/>
  </r>
  <r>
    <s v="T117362"/>
    <s v="C4189"/>
    <d v="2023-12-24T00:00:00"/>
    <x v="1"/>
    <x v="0"/>
    <x v="1"/>
    <n v="831.54"/>
    <n v="10"/>
    <n v="83.153999999999996"/>
    <x v="2"/>
  </r>
  <r>
    <s v="T873824"/>
    <s v="C8989"/>
    <d v="2024-03-25T00:00:00"/>
    <x v="2"/>
    <x v="1"/>
    <x v="1"/>
    <n v="1299.26"/>
    <n v="2"/>
    <n v="649.63"/>
    <x v="1"/>
  </r>
  <r>
    <s v="T123789"/>
    <s v="C6837"/>
    <d v="2024-10-03T00:00:00"/>
    <x v="2"/>
    <x v="3"/>
    <x v="2"/>
    <n v="1652.93"/>
    <n v="10"/>
    <n v="165.29300000000001"/>
    <x v="0"/>
  </r>
  <r>
    <s v="T200108"/>
    <s v="C1727"/>
    <d v="2025-01-06T00:00:00"/>
    <x v="0"/>
    <x v="2"/>
    <x v="0"/>
    <n v="1849"/>
    <n v="4"/>
    <n v="462.25"/>
    <x v="1"/>
  </r>
  <r>
    <s v="T652533"/>
    <s v="C7028"/>
    <d v="2025-08-26T00:00:00"/>
    <x v="0"/>
    <x v="1"/>
    <x v="2"/>
    <n v="1657.47"/>
    <n v="6"/>
    <n v="276.245"/>
    <x v="4"/>
  </r>
  <r>
    <s v="T138081"/>
    <s v="C1730"/>
    <d v="2023-08-15T00:00:00"/>
    <x v="1"/>
    <x v="3"/>
    <x v="3"/>
    <n v="1427.34"/>
    <n v="3"/>
    <n v="475.78"/>
    <x v="0"/>
  </r>
  <r>
    <s v="T778514"/>
    <s v="C4265"/>
    <d v="2025-05-25T00:00:00"/>
    <x v="0"/>
    <x v="0"/>
    <x v="3"/>
    <n v="145.55000000000001"/>
    <m/>
    <m/>
    <x v="4"/>
  </r>
  <r>
    <s v="T878044"/>
    <s v="C4223"/>
    <d v="2023-01-23T00:00:00"/>
    <x v="1"/>
    <x v="3"/>
    <x v="1"/>
    <n v="544.94000000000005"/>
    <n v="1"/>
    <n v="544.94000000000005"/>
    <x v="4"/>
  </r>
  <r>
    <s v="T723226"/>
    <s v="C1330"/>
    <d v="2025-08-14T00:00:00"/>
    <x v="0"/>
    <x v="2"/>
    <x v="2"/>
    <n v="45.83"/>
    <n v="10"/>
    <n v="4.5830000000000002"/>
    <x v="0"/>
  </r>
  <r>
    <s v="T405029"/>
    <s v="C3573"/>
    <d v="2025-09-12T00:00:00"/>
    <x v="0"/>
    <x v="0"/>
    <x v="2"/>
    <m/>
    <n v="8"/>
    <m/>
    <x v="4"/>
  </r>
  <r>
    <s v="T921648"/>
    <s v="C1751"/>
    <d v="2025-08-28T00:00:00"/>
    <x v="0"/>
    <x v="1"/>
    <x v="1"/>
    <n v="1221.5899999999999"/>
    <n v="7"/>
    <n v="174.51285714285714"/>
    <x v="3"/>
  </r>
  <r>
    <s v="T965313"/>
    <s v="C5969"/>
    <d v="2023-09-14T00:00:00"/>
    <x v="1"/>
    <x v="1"/>
    <x v="1"/>
    <n v="1121.5"/>
    <m/>
    <m/>
    <x v="4"/>
  </r>
  <r>
    <s v="T612348"/>
    <s v="C4511"/>
    <d v="2025-10-02T00:00:00"/>
    <x v="0"/>
    <x v="3"/>
    <x v="2"/>
    <n v="1037.7"/>
    <n v="9"/>
    <n v="115.30000000000001"/>
    <x v="1"/>
  </r>
  <r>
    <s v="T984665"/>
    <s v="C3694"/>
    <d v="2025-05-20T00:00:00"/>
    <x v="0"/>
    <x v="1"/>
    <x v="0"/>
    <n v="154.61000000000001"/>
    <n v="10"/>
    <n v="15.461000000000002"/>
    <x v="3"/>
  </r>
  <r>
    <s v="T388014"/>
    <s v="C8181"/>
    <d v="2024-08-23T00:00:00"/>
    <x v="2"/>
    <x v="0"/>
    <x v="2"/>
    <n v="1729.67"/>
    <n v="9"/>
    <n v="192.18555555555557"/>
    <x v="3"/>
  </r>
  <r>
    <s v="T768013"/>
    <s v="C8540"/>
    <d v="2022-11-16T00:00:00"/>
    <x v="3"/>
    <x v="2"/>
    <x v="2"/>
    <n v="1127.77"/>
    <n v="6"/>
    <n v="187.96166666666667"/>
    <x v="3"/>
  </r>
  <r>
    <s v="T583582"/>
    <s v="C4766"/>
    <d v="2023-10-04T00:00:00"/>
    <x v="1"/>
    <x v="1"/>
    <x v="2"/>
    <n v="1662.29"/>
    <n v="10"/>
    <n v="166.22899999999998"/>
    <x v="2"/>
  </r>
  <r>
    <s v="T213123"/>
    <s v="C3597"/>
    <d v="2025-01-01T00:00:00"/>
    <x v="0"/>
    <x v="2"/>
    <x v="0"/>
    <n v="1287.1600000000001"/>
    <n v="4"/>
    <n v="321.79000000000002"/>
    <x v="3"/>
  </r>
  <r>
    <s v="T506023"/>
    <s v="C6562"/>
    <d v="2024-09-13T00:00:00"/>
    <x v="2"/>
    <x v="0"/>
    <x v="1"/>
    <m/>
    <n v="6"/>
    <m/>
    <x v="2"/>
  </r>
  <r>
    <s v="T343680"/>
    <s v="C6001"/>
    <d v="2024-10-08T00:00:00"/>
    <x v="2"/>
    <x v="0"/>
    <x v="1"/>
    <n v="1982.18"/>
    <n v="2"/>
    <n v="991.09"/>
    <x v="3"/>
  </r>
  <r>
    <s v="T777559"/>
    <s v="C2189"/>
    <d v="2024-12-22T00:00:00"/>
    <x v="2"/>
    <x v="2"/>
    <x v="0"/>
    <m/>
    <n v="6"/>
    <m/>
    <x v="2"/>
  </r>
  <r>
    <s v="T749542"/>
    <s v="C1951"/>
    <d v="2023-08-07T00:00:00"/>
    <x v="1"/>
    <x v="3"/>
    <x v="1"/>
    <n v="1355.16"/>
    <n v="1"/>
    <n v="1355.16"/>
    <x v="4"/>
  </r>
  <r>
    <s v="T603635"/>
    <s v="C7092"/>
    <d v="2024-08-11T00:00:00"/>
    <x v="2"/>
    <x v="2"/>
    <x v="2"/>
    <n v="1628.35"/>
    <m/>
    <m/>
    <x v="4"/>
  </r>
  <r>
    <s v="T973024"/>
    <s v="C8745"/>
    <d v="2025-10-10T00:00:00"/>
    <x v="0"/>
    <x v="2"/>
    <x v="1"/>
    <n v="577.52"/>
    <n v="10"/>
    <n v="57.751999999999995"/>
    <x v="4"/>
  </r>
  <r>
    <s v="T504452"/>
    <s v="C6301"/>
    <d v="2023-11-04T00:00:00"/>
    <x v="1"/>
    <x v="3"/>
    <x v="2"/>
    <n v="403.49"/>
    <n v="2"/>
    <n v="201.745"/>
    <x v="1"/>
  </r>
  <r>
    <s v="T326953"/>
    <s v="C7408"/>
    <d v="2025-06-25T00:00:00"/>
    <x v="0"/>
    <x v="3"/>
    <x v="1"/>
    <n v="699.29"/>
    <n v="7"/>
    <n v="99.898571428571429"/>
    <x v="0"/>
  </r>
  <r>
    <s v="T292929"/>
    <s v="C1499"/>
    <d v="2023-05-05T00:00:00"/>
    <x v="1"/>
    <x v="3"/>
    <x v="1"/>
    <m/>
    <n v="8"/>
    <m/>
    <x v="1"/>
  </r>
  <r>
    <s v="T343821"/>
    <s v="C3649"/>
    <d v="2025-04-14T00:00:00"/>
    <x v="0"/>
    <x v="1"/>
    <x v="2"/>
    <n v="1035.3"/>
    <n v="4"/>
    <n v="258.82499999999999"/>
    <x v="3"/>
  </r>
  <r>
    <s v="T147151"/>
    <s v="C4308"/>
    <d v="2023-11-21T00:00:00"/>
    <x v="1"/>
    <x v="0"/>
    <x v="2"/>
    <n v="644.05999999999995"/>
    <n v="5"/>
    <n v="128.81199999999998"/>
    <x v="4"/>
  </r>
  <r>
    <s v="T433478"/>
    <s v="C1175"/>
    <d v="2025-10-21T00:00:00"/>
    <x v="0"/>
    <x v="3"/>
    <x v="1"/>
    <n v="1737.29"/>
    <n v="2"/>
    <n v="868.64499999999998"/>
    <x v="4"/>
  </r>
  <r>
    <s v="T322831"/>
    <s v="C2636"/>
    <d v="2024-04-04T00:00:00"/>
    <x v="2"/>
    <x v="1"/>
    <x v="3"/>
    <m/>
    <n v="8"/>
    <m/>
    <x v="1"/>
  </r>
  <r>
    <s v="T418043"/>
    <s v="C4429"/>
    <d v="2023-06-05T00:00:00"/>
    <x v="1"/>
    <x v="3"/>
    <x v="2"/>
    <n v="69.709999999999994"/>
    <n v="6"/>
    <n v="11.618333333333332"/>
    <x v="0"/>
  </r>
  <r>
    <s v="T133341"/>
    <s v="C4346"/>
    <d v="2025-08-17T00:00:00"/>
    <x v="0"/>
    <x v="1"/>
    <x v="1"/>
    <n v="1897.29"/>
    <n v="3"/>
    <n v="632.42999999999995"/>
    <x v="3"/>
  </r>
  <r>
    <s v="T916967"/>
    <s v="C9121"/>
    <d v="2025-07-04T00:00:00"/>
    <x v="0"/>
    <x v="1"/>
    <x v="2"/>
    <n v="215.85"/>
    <n v="9"/>
    <n v="23.983333333333334"/>
    <x v="1"/>
  </r>
  <r>
    <s v="T403891"/>
    <s v="C3298"/>
    <d v="2025-08-01T00:00:00"/>
    <x v="0"/>
    <x v="2"/>
    <x v="2"/>
    <m/>
    <n v="3"/>
    <m/>
    <x v="3"/>
  </r>
  <r>
    <s v="T545181"/>
    <s v="C2708"/>
    <d v="2024-04-27T00:00:00"/>
    <x v="2"/>
    <x v="3"/>
    <x v="1"/>
    <n v="429.55"/>
    <n v="10"/>
    <n v="42.954999999999998"/>
    <x v="2"/>
  </r>
  <r>
    <s v="T447017"/>
    <s v="C1883"/>
    <d v="2022-11-18T00:00:00"/>
    <x v="3"/>
    <x v="1"/>
    <x v="2"/>
    <n v="831.76"/>
    <m/>
    <m/>
    <x v="4"/>
  </r>
  <r>
    <s v="T733503"/>
    <s v="C8635"/>
    <d v="2023-01-28T00:00:00"/>
    <x v="1"/>
    <x v="2"/>
    <x v="2"/>
    <n v="1692.76"/>
    <n v="8"/>
    <n v="211.595"/>
    <x v="1"/>
  </r>
  <r>
    <s v="T584973"/>
    <s v="C6708"/>
    <d v="2023-02-25T00:00:00"/>
    <x v="1"/>
    <x v="2"/>
    <x v="1"/>
    <n v="1937.05"/>
    <m/>
    <m/>
    <x v="1"/>
  </r>
  <r>
    <s v="T872993"/>
    <s v="C9332"/>
    <d v="2023-03-25T00:00:00"/>
    <x v="1"/>
    <x v="1"/>
    <x v="1"/>
    <n v="1762.22"/>
    <n v="4"/>
    <n v="440.55500000000001"/>
    <x v="1"/>
  </r>
  <r>
    <s v="T484876"/>
    <s v="C6690"/>
    <d v="2025-09-22T00:00:00"/>
    <x v="0"/>
    <x v="1"/>
    <x v="1"/>
    <n v="172.17"/>
    <n v="8"/>
    <n v="21.521249999999998"/>
    <x v="2"/>
  </r>
  <r>
    <s v="T162139"/>
    <s v="C5365"/>
    <d v="2023-07-31T00:00:00"/>
    <x v="1"/>
    <x v="1"/>
    <x v="2"/>
    <n v="199.63"/>
    <m/>
    <m/>
    <x v="3"/>
  </r>
  <r>
    <s v="T876150"/>
    <s v="C3381"/>
    <d v="2025-04-24T00:00:00"/>
    <x v="0"/>
    <x v="2"/>
    <x v="3"/>
    <n v="1712.23"/>
    <n v="8"/>
    <n v="214.02875"/>
    <x v="3"/>
  </r>
  <r>
    <s v="T475426"/>
    <s v="C9125"/>
    <d v="2024-09-20T00:00:00"/>
    <x v="2"/>
    <x v="3"/>
    <x v="2"/>
    <m/>
    <n v="5"/>
    <m/>
    <x v="3"/>
  </r>
  <r>
    <s v="T108587"/>
    <s v="C3352"/>
    <d v="2024-09-10T00:00:00"/>
    <x v="2"/>
    <x v="3"/>
    <x v="2"/>
    <n v="1536.75"/>
    <n v="4"/>
    <n v="384.1875"/>
    <x v="1"/>
  </r>
  <r>
    <s v="T811390"/>
    <s v="C1008"/>
    <d v="2024-05-03T00:00:00"/>
    <x v="2"/>
    <x v="1"/>
    <x v="2"/>
    <n v="389.8"/>
    <n v="9"/>
    <n v="43.31111111111111"/>
    <x v="2"/>
  </r>
  <r>
    <s v="T170837"/>
    <s v="C5679"/>
    <d v="2024-07-20T00:00:00"/>
    <x v="2"/>
    <x v="1"/>
    <x v="3"/>
    <n v="1103.76"/>
    <n v="6"/>
    <n v="183.96"/>
    <x v="0"/>
  </r>
  <r>
    <s v="T401986"/>
    <s v="C3813"/>
    <d v="2024-11-05T00:00:00"/>
    <x v="2"/>
    <x v="3"/>
    <x v="0"/>
    <n v="1428.83"/>
    <n v="10"/>
    <n v="142.88299999999998"/>
    <x v="2"/>
  </r>
  <r>
    <s v="T269517"/>
    <s v="C1657"/>
    <d v="2023-01-17T00:00:00"/>
    <x v="1"/>
    <x v="1"/>
    <x v="1"/>
    <n v="1962.79"/>
    <n v="4"/>
    <n v="490.69749999999999"/>
    <x v="3"/>
  </r>
  <r>
    <s v="T820578"/>
    <s v="C3886"/>
    <d v="2023-06-24T00:00:00"/>
    <x v="1"/>
    <x v="1"/>
    <x v="1"/>
    <n v="1779.53"/>
    <n v="9"/>
    <n v="197.72555555555556"/>
    <x v="2"/>
  </r>
  <r>
    <s v="T213610"/>
    <s v="C8830"/>
    <d v="2024-09-04T00:00:00"/>
    <x v="2"/>
    <x v="2"/>
    <x v="1"/>
    <n v="573.4"/>
    <m/>
    <m/>
    <x v="3"/>
  </r>
  <r>
    <s v="T925570"/>
    <s v="C9201"/>
    <d v="2024-09-06T00:00:00"/>
    <x v="2"/>
    <x v="1"/>
    <x v="1"/>
    <n v="986.19"/>
    <n v="7"/>
    <n v="140.88428571428571"/>
    <x v="3"/>
  </r>
  <r>
    <s v="T411071"/>
    <s v="C8145"/>
    <d v="2023-04-30T00:00:00"/>
    <x v="1"/>
    <x v="3"/>
    <x v="2"/>
    <m/>
    <n v="6"/>
    <m/>
    <x v="2"/>
  </r>
  <r>
    <s v="T920612"/>
    <s v="C7837"/>
    <d v="2024-08-24T00:00:00"/>
    <x v="2"/>
    <x v="3"/>
    <x v="0"/>
    <n v="1266.92"/>
    <n v="6"/>
    <n v="211.15333333333334"/>
    <x v="4"/>
  </r>
  <r>
    <s v="T660122"/>
    <s v="C2417"/>
    <d v="2024-01-01T00:00:00"/>
    <x v="2"/>
    <x v="2"/>
    <x v="2"/>
    <n v="227.48"/>
    <n v="7"/>
    <n v="32.497142857142855"/>
    <x v="3"/>
  </r>
  <r>
    <s v="T623594"/>
    <s v="C4608"/>
    <d v="2022-11-08T00:00:00"/>
    <x v="3"/>
    <x v="1"/>
    <x v="2"/>
    <n v="1265.45"/>
    <n v="8"/>
    <n v="158.18125000000001"/>
    <x v="0"/>
  </r>
  <r>
    <s v="T457484"/>
    <s v="C1651"/>
    <d v="2023-03-05T00:00:00"/>
    <x v="1"/>
    <x v="3"/>
    <x v="1"/>
    <n v="1365.23"/>
    <n v="10"/>
    <n v="136.523"/>
    <x v="4"/>
  </r>
  <r>
    <s v="T682404"/>
    <s v="C2954"/>
    <d v="2024-03-17T00:00:00"/>
    <x v="2"/>
    <x v="0"/>
    <x v="0"/>
    <n v="264.36"/>
    <n v="6"/>
    <n v="44.06"/>
    <x v="1"/>
  </r>
  <r>
    <s v="T326508"/>
    <s v="C3299"/>
    <d v="2023-06-13T00:00:00"/>
    <x v="1"/>
    <x v="3"/>
    <x v="0"/>
    <n v="1746.66"/>
    <n v="4"/>
    <n v="436.66500000000002"/>
    <x v="1"/>
  </r>
  <r>
    <s v="T974561"/>
    <s v="C2991"/>
    <d v="2024-05-23T00:00:00"/>
    <x v="2"/>
    <x v="1"/>
    <x v="2"/>
    <n v="162.44"/>
    <n v="7"/>
    <n v="23.205714285714286"/>
    <x v="0"/>
  </r>
  <r>
    <s v="T504690"/>
    <s v="C5182"/>
    <d v="2025-05-20T00:00:00"/>
    <x v="0"/>
    <x v="0"/>
    <x v="2"/>
    <n v="606.61"/>
    <n v="8"/>
    <n v="75.826250000000002"/>
    <x v="2"/>
  </r>
  <r>
    <s v="T103465"/>
    <s v="C6696"/>
    <d v="2024-02-17T00:00:00"/>
    <x v="2"/>
    <x v="2"/>
    <x v="1"/>
    <m/>
    <n v="6"/>
    <m/>
    <x v="1"/>
  </r>
  <r>
    <s v="T855191"/>
    <s v="C8321"/>
    <d v="2023-01-30T00:00:00"/>
    <x v="1"/>
    <x v="1"/>
    <x v="2"/>
    <n v="1815.01"/>
    <n v="9"/>
    <n v="201.66777777777779"/>
    <x v="1"/>
  </r>
  <r>
    <s v="T218024"/>
    <s v="C4797"/>
    <d v="2025-07-10T00:00:00"/>
    <x v="0"/>
    <x v="1"/>
    <x v="2"/>
    <n v="417.7"/>
    <n v="1"/>
    <n v="417.7"/>
    <x v="1"/>
  </r>
  <r>
    <s v="T424202"/>
    <s v="C7263"/>
    <d v="2023-03-09T00:00:00"/>
    <x v="1"/>
    <x v="3"/>
    <x v="2"/>
    <n v="611.41999999999996"/>
    <n v="10"/>
    <n v="61.141999999999996"/>
    <x v="1"/>
  </r>
  <r>
    <s v="T553293"/>
    <s v="C1729"/>
    <d v="2023-04-11T00:00:00"/>
    <x v="1"/>
    <x v="1"/>
    <x v="0"/>
    <n v="880.28"/>
    <n v="1"/>
    <n v="880.28"/>
    <x v="4"/>
  </r>
  <r>
    <s v="T644369"/>
    <s v="C4217"/>
    <d v="2024-03-17T00:00:00"/>
    <x v="2"/>
    <x v="3"/>
    <x v="2"/>
    <n v="977.06"/>
    <m/>
    <m/>
    <x v="0"/>
  </r>
  <r>
    <s v="T726507"/>
    <s v="C9282"/>
    <d v="2023-08-21T00:00:00"/>
    <x v="1"/>
    <x v="0"/>
    <x v="0"/>
    <n v="523.78"/>
    <n v="7"/>
    <n v="74.825714285714284"/>
    <x v="0"/>
  </r>
  <r>
    <s v="T220550"/>
    <s v="C3164"/>
    <d v="2023-10-03T00:00:00"/>
    <x v="1"/>
    <x v="3"/>
    <x v="1"/>
    <n v="692.63"/>
    <n v="2"/>
    <n v="346.315"/>
    <x v="1"/>
  </r>
  <r>
    <s v="T318413"/>
    <s v="C7876"/>
    <d v="2025-08-16T00:00:00"/>
    <x v="0"/>
    <x v="3"/>
    <x v="3"/>
    <n v="1706.29"/>
    <n v="1"/>
    <n v="1706.29"/>
    <x v="1"/>
  </r>
  <r>
    <s v="T987978"/>
    <s v="C3468"/>
    <d v="2025-06-22T00:00:00"/>
    <x v="0"/>
    <x v="1"/>
    <x v="0"/>
    <n v="584.26"/>
    <n v="4"/>
    <n v="146.065"/>
    <x v="2"/>
  </r>
  <r>
    <s v="T958220"/>
    <s v="C8523"/>
    <d v="2025-07-12T00:00:00"/>
    <x v="0"/>
    <x v="3"/>
    <x v="0"/>
    <m/>
    <n v="10"/>
    <m/>
    <x v="4"/>
  </r>
  <r>
    <s v="T176054"/>
    <s v="C9476"/>
    <d v="2023-12-29T00:00:00"/>
    <x v="1"/>
    <x v="3"/>
    <x v="1"/>
    <n v="1440.32"/>
    <n v="5"/>
    <n v="288.06399999999996"/>
    <x v="1"/>
  </r>
  <r>
    <s v="T453662"/>
    <s v="C7628"/>
    <d v="2025-06-22T00:00:00"/>
    <x v="0"/>
    <x v="1"/>
    <x v="2"/>
    <n v="1916.96"/>
    <m/>
    <m/>
    <x v="4"/>
  </r>
  <r>
    <s v="T279366"/>
    <s v="C3632"/>
    <d v="2023-05-29T00:00:00"/>
    <x v="1"/>
    <x v="1"/>
    <x v="0"/>
    <n v="1864.15"/>
    <n v="3"/>
    <n v="621.38333333333333"/>
    <x v="2"/>
  </r>
  <r>
    <s v="T578496"/>
    <s v="C5963"/>
    <d v="2023-04-25T00:00:00"/>
    <x v="1"/>
    <x v="0"/>
    <x v="2"/>
    <m/>
    <n v="2"/>
    <m/>
    <x v="1"/>
  </r>
  <r>
    <s v="T417398"/>
    <s v="C6665"/>
    <d v="2024-06-25T00:00:00"/>
    <x v="2"/>
    <x v="3"/>
    <x v="0"/>
    <n v="749.03"/>
    <n v="3"/>
    <n v="249.67666666666665"/>
    <x v="2"/>
  </r>
  <r>
    <s v="T123975"/>
    <s v="C4328"/>
    <d v="2024-02-24T00:00:00"/>
    <x v="2"/>
    <x v="0"/>
    <x v="1"/>
    <n v="6.79"/>
    <n v="8"/>
    <n v="0.84875"/>
    <x v="1"/>
  </r>
  <r>
    <s v="T561432"/>
    <s v="C9371"/>
    <d v="2023-09-16T00:00:00"/>
    <x v="1"/>
    <x v="2"/>
    <x v="0"/>
    <n v="193.81"/>
    <n v="2"/>
    <n v="96.905000000000001"/>
    <x v="0"/>
  </r>
  <r>
    <s v="T826737"/>
    <s v="C6883"/>
    <d v="2025-07-27T00:00:00"/>
    <x v="0"/>
    <x v="3"/>
    <x v="1"/>
    <n v="65.37"/>
    <n v="2"/>
    <n v="32.685000000000002"/>
    <x v="4"/>
  </r>
  <r>
    <s v="T121775"/>
    <s v="C8746"/>
    <d v="2025-09-07T00:00:00"/>
    <x v="0"/>
    <x v="1"/>
    <x v="0"/>
    <n v="1771.55"/>
    <n v="1"/>
    <n v="1771.55"/>
    <x v="2"/>
  </r>
  <r>
    <s v="T654422"/>
    <s v="C3774"/>
    <d v="2025-09-20T00:00:00"/>
    <x v="0"/>
    <x v="3"/>
    <x v="2"/>
    <m/>
    <n v="6"/>
    <m/>
    <x v="2"/>
  </r>
  <r>
    <s v="T209885"/>
    <s v="C4733"/>
    <d v="2025-09-12T00:00:00"/>
    <x v="0"/>
    <x v="2"/>
    <x v="3"/>
    <n v="1894.79"/>
    <n v="6"/>
    <n v="315.79833333333335"/>
    <x v="4"/>
  </r>
  <r>
    <s v="T303094"/>
    <s v="C6038"/>
    <d v="2024-03-17T00:00:00"/>
    <x v="2"/>
    <x v="3"/>
    <x v="0"/>
    <m/>
    <n v="8"/>
    <m/>
    <x v="3"/>
  </r>
  <r>
    <s v="T640593"/>
    <s v="C4577"/>
    <d v="2023-11-14T00:00:00"/>
    <x v="1"/>
    <x v="1"/>
    <x v="2"/>
    <n v="1013.22"/>
    <n v="4"/>
    <n v="253.30500000000001"/>
    <x v="3"/>
  </r>
  <r>
    <s v="T168675"/>
    <s v="C1846"/>
    <d v="2022-12-06T00:00:00"/>
    <x v="3"/>
    <x v="3"/>
    <x v="0"/>
    <n v="667.78"/>
    <n v="4"/>
    <n v="166.94499999999999"/>
    <x v="0"/>
  </r>
  <r>
    <s v="T977760"/>
    <s v="C7745"/>
    <d v="2023-04-28T00:00:00"/>
    <x v="1"/>
    <x v="0"/>
    <x v="1"/>
    <n v="859.85"/>
    <n v="8"/>
    <n v="107.48125"/>
    <x v="2"/>
  </r>
  <r>
    <s v="T218175"/>
    <s v="C8317"/>
    <d v="2024-12-12T00:00:00"/>
    <x v="2"/>
    <x v="0"/>
    <x v="1"/>
    <n v="1239.72"/>
    <n v="3"/>
    <n v="413.24"/>
    <x v="0"/>
  </r>
  <r>
    <s v="T537533"/>
    <s v="C8793"/>
    <d v="2025-01-24T00:00:00"/>
    <x v="0"/>
    <x v="1"/>
    <x v="1"/>
    <n v="167.29"/>
    <n v="5"/>
    <n v="33.457999999999998"/>
    <x v="1"/>
  </r>
  <r>
    <s v="T679024"/>
    <s v="C4493"/>
    <d v="2024-04-10T00:00:00"/>
    <x v="2"/>
    <x v="2"/>
    <x v="3"/>
    <n v="1180.5"/>
    <n v="2"/>
    <n v="590.25"/>
    <x v="2"/>
  </r>
  <r>
    <s v="T425873"/>
    <s v="C5330"/>
    <d v="2025-10-19T00:00:00"/>
    <x v="0"/>
    <x v="0"/>
    <x v="0"/>
    <n v="1371.14"/>
    <n v="1"/>
    <n v="1371.14"/>
    <x v="0"/>
  </r>
  <r>
    <s v="T386849"/>
    <s v="C8625"/>
    <d v="2025-06-09T00:00:00"/>
    <x v="0"/>
    <x v="1"/>
    <x v="1"/>
    <n v="417.32"/>
    <n v="8"/>
    <n v="52.164999999999999"/>
    <x v="0"/>
  </r>
  <r>
    <s v="T824695"/>
    <s v="C5628"/>
    <d v="2025-06-19T00:00:00"/>
    <x v="0"/>
    <x v="3"/>
    <x v="2"/>
    <n v="1414.42"/>
    <n v="4"/>
    <n v="353.60500000000002"/>
    <x v="4"/>
  </r>
  <r>
    <s v="T695531"/>
    <s v="C3624"/>
    <d v="2024-02-05T00:00:00"/>
    <x v="2"/>
    <x v="0"/>
    <x v="1"/>
    <m/>
    <n v="9"/>
    <m/>
    <x v="4"/>
  </r>
  <r>
    <s v="T938911"/>
    <s v="C3379"/>
    <d v="2024-08-14T00:00:00"/>
    <x v="2"/>
    <x v="0"/>
    <x v="1"/>
    <n v="924.08"/>
    <n v="8"/>
    <n v="115.51"/>
    <x v="3"/>
  </r>
  <r>
    <s v="T399699"/>
    <s v="C6829"/>
    <d v="2023-06-02T00:00:00"/>
    <x v="1"/>
    <x v="3"/>
    <x v="1"/>
    <n v="1931.16"/>
    <n v="4"/>
    <n v="482.79"/>
    <x v="4"/>
  </r>
  <r>
    <s v="T602694"/>
    <s v="C9975"/>
    <d v="2023-07-02T00:00:00"/>
    <x v="1"/>
    <x v="0"/>
    <x v="3"/>
    <n v="1206.5999999999999"/>
    <n v="10"/>
    <n v="120.66"/>
    <x v="1"/>
  </r>
  <r>
    <s v="T361875"/>
    <s v="C3831"/>
    <d v="2025-03-20T00:00:00"/>
    <x v="0"/>
    <x v="0"/>
    <x v="1"/>
    <n v="1234.18"/>
    <n v="2"/>
    <n v="617.09"/>
    <x v="0"/>
  </r>
  <r>
    <s v="T688806"/>
    <s v="C4964"/>
    <d v="2023-04-27T00:00:00"/>
    <x v="1"/>
    <x v="3"/>
    <x v="3"/>
    <n v="712.4"/>
    <n v="9"/>
    <n v="79.155555555555551"/>
    <x v="3"/>
  </r>
  <r>
    <s v="T211407"/>
    <s v="C9822"/>
    <d v="2023-10-20T00:00:00"/>
    <x v="1"/>
    <x v="1"/>
    <x v="0"/>
    <n v="1365.17"/>
    <n v="3"/>
    <n v="455.05666666666667"/>
    <x v="1"/>
  </r>
  <r>
    <s v="T265242"/>
    <s v="C3718"/>
    <d v="2023-02-03T00:00:00"/>
    <x v="1"/>
    <x v="1"/>
    <x v="3"/>
    <n v="1824.19"/>
    <n v="1"/>
    <n v="1824.19"/>
    <x v="1"/>
  </r>
  <r>
    <s v="T454491"/>
    <s v="C2266"/>
    <d v="2025-09-16T00:00:00"/>
    <x v="0"/>
    <x v="3"/>
    <x v="3"/>
    <n v="1502.12"/>
    <n v="5"/>
    <n v="300.42399999999998"/>
    <x v="1"/>
  </r>
  <r>
    <s v="T275647"/>
    <s v="C6162"/>
    <d v="2025-02-27T00:00:00"/>
    <x v="0"/>
    <x v="0"/>
    <x v="3"/>
    <n v="922.13"/>
    <n v="9"/>
    <n v="102.45888888888889"/>
    <x v="1"/>
  </r>
  <r>
    <s v="T552067"/>
    <s v="C4159"/>
    <d v="2025-09-06T00:00:00"/>
    <x v="0"/>
    <x v="0"/>
    <x v="3"/>
    <n v="13.73"/>
    <n v="9"/>
    <n v="1.5255555555555556"/>
    <x v="3"/>
  </r>
  <r>
    <s v="T486728"/>
    <s v="C2169"/>
    <d v="2024-05-05T00:00:00"/>
    <x v="2"/>
    <x v="2"/>
    <x v="2"/>
    <n v="1409.88"/>
    <m/>
    <m/>
    <x v="4"/>
  </r>
  <r>
    <s v="T135564"/>
    <s v="C4884"/>
    <d v="2025-03-13T00:00:00"/>
    <x v="0"/>
    <x v="3"/>
    <x v="0"/>
    <n v="1802.13"/>
    <n v="1"/>
    <n v="1802.13"/>
    <x v="1"/>
  </r>
  <r>
    <s v="T439771"/>
    <s v="C3398"/>
    <d v="2025-09-02T00:00:00"/>
    <x v="0"/>
    <x v="2"/>
    <x v="1"/>
    <n v="1244.5999999999999"/>
    <n v="5"/>
    <n v="248.92"/>
    <x v="3"/>
  </r>
  <r>
    <s v="T448551"/>
    <s v="C9631"/>
    <d v="2025-06-25T00:00:00"/>
    <x v="0"/>
    <x v="2"/>
    <x v="1"/>
    <n v="828.78"/>
    <n v="10"/>
    <n v="82.878"/>
    <x v="3"/>
  </r>
  <r>
    <s v="T892340"/>
    <s v="C3570"/>
    <d v="2022-12-23T00:00:00"/>
    <x v="3"/>
    <x v="3"/>
    <x v="2"/>
    <m/>
    <n v="7"/>
    <m/>
    <x v="2"/>
  </r>
  <r>
    <s v="T128450"/>
    <s v="C8832"/>
    <d v="2024-02-27T00:00:00"/>
    <x v="2"/>
    <x v="3"/>
    <x v="1"/>
    <n v="982.06"/>
    <n v="3"/>
    <n v="327.3533333333333"/>
    <x v="2"/>
  </r>
  <r>
    <s v="T189991"/>
    <s v="C2090"/>
    <d v="2023-12-04T00:00:00"/>
    <x v="1"/>
    <x v="2"/>
    <x v="2"/>
    <n v="681.17"/>
    <n v="5"/>
    <n v="136.23399999999998"/>
    <x v="4"/>
  </r>
  <r>
    <s v="T428870"/>
    <s v="C1905"/>
    <d v="2024-09-05T00:00:00"/>
    <x v="2"/>
    <x v="3"/>
    <x v="3"/>
    <n v="1892.34"/>
    <m/>
    <m/>
    <x v="0"/>
  </r>
  <r>
    <s v="T756066"/>
    <s v="C8002"/>
    <d v="2024-02-23T00:00:00"/>
    <x v="2"/>
    <x v="3"/>
    <x v="1"/>
    <n v="1264.17"/>
    <n v="2"/>
    <n v="632.08500000000004"/>
    <x v="3"/>
  </r>
  <r>
    <s v="T903398"/>
    <s v="C2243"/>
    <d v="2023-05-04T00:00:00"/>
    <x v="1"/>
    <x v="2"/>
    <x v="2"/>
    <n v="186.96"/>
    <m/>
    <m/>
    <x v="4"/>
  </r>
  <r>
    <s v="T123668"/>
    <s v="C6995"/>
    <d v="2023-07-16T00:00:00"/>
    <x v="1"/>
    <x v="0"/>
    <x v="2"/>
    <n v="1742.06"/>
    <n v="5"/>
    <n v="348.41199999999998"/>
    <x v="2"/>
  </r>
  <r>
    <s v="T762884"/>
    <s v="C3435"/>
    <d v="2023-02-03T00:00:00"/>
    <x v="1"/>
    <x v="3"/>
    <x v="1"/>
    <n v="1095.95"/>
    <n v="1"/>
    <n v="1095.95"/>
    <x v="0"/>
  </r>
  <r>
    <s v="T644704"/>
    <s v="C5548"/>
    <d v="2024-08-28T00:00:00"/>
    <x v="2"/>
    <x v="2"/>
    <x v="3"/>
    <n v="467.11"/>
    <m/>
    <m/>
    <x v="4"/>
  </r>
  <r>
    <s v="T316219"/>
    <s v="C6820"/>
    <d v="2025-09-12T00:00:00"/>
    <x v="0"/>
    <x v="3"/>
    <x v="0"/>
    <n v="424.47"/>
    <n v="1"/>
    <n v="424.47"/>
    <x v="2"/>
  </r>
  <r>
    <s v="T828211"/>
    <s v="C9589"/>
    <d v="2023-02-06T00:00:00"/>
    <x v="1"/>
    <x v="1"/>
    <x v="0"/>
    <n v="294.01"/>
    <n v="1"/>
    <n v="294.01"/>
    <x v="0"/>
  </r>
  <r>
    <s v="T928784"/>
    <s v="C9075"/>
    <d v="2022-11-28T00:00:00"/>
    <x v="3"/>
    <x v="3"/>
    <x v="1"/>
    <n v="435.47"/>
    <n v="1"/>
    <n v="435.47"/>
    <x v="3"/>
  </r>
  <r>
    <s v="T103579"/>
    <s v="C1646"/>
    <d v="2024-06-05T00:00:00"/>
    <x v="2"/>
    <x v="2"/>
    <x v="0"/>
    <n v="1948.53"/>
    <n v="1"/>
    <n v="1948.53"/>
    <x v="3"/>
  </r>
  <r>
    <s v="T629225"/>
    <s v="C1461"/>
    <d v="2024-03-23T00:00:00"/>
    <x v="2"/>
    <x v="1"/>
    <x v="1"/>
    <n v="567.76"/>
    <n v="7"/>
    <n v="81.108571428571423"/>
    <x v="1"/>
  </r>
  <r>
    <s v="T395242"/>
    <s v="C1516"/>
    <d v="2025-05-19T00:00:00"/>
    <x v="0"/>
    <x v="2"/>
    <x v="0"/>
    <n v="965.6"/>
    <m/>
    <m/>
    <x v="3"/>
  </r>
  <r>
    <s v="T592790"/>
    <s v="C5601"/>
    <d v="2025-06-11T00:00:00"/>
    <x v="0"/>
    <x v="2"/>
    <x v="3"/>
    <n v="1155.5999999999999"/>
    <m/>
    <m/>
    <x v="2"/>
  </r>
  <r>
    <s v="T994228"/>
    <s v="C3604"/>
    <d v="2024-02-16T00:00:00"/>
    <x v="2"/>
    <x v="0"/>
    <x v="1"/>
    <n v="1870.29"/>
    <n v="2"/>
    <n v="935.14499999999998"/>
    <x v="2"/>
  </r>
  <r>
    <s v="T610161"/>
    <s v="C7368"/>
    <d v="2025-04-23T00:00:00"/>
    <x v="0"/>
    <x v="2"/>
    <x v="2"/>
    <n v="1412.84"/>
    <n v="6"/>
    <n v="235.47333333333333"/>
    <x v="1"/>
  </r>
  <r>
    <s v="T299822"/>
    <s v="C7732"/>
    <d v="2025-08-20T00:00:00"/>
    <x v="0"/>
    <x v="2"/>
    <x v="1"/>
    <n v="1129.75"/>
    <n v="9"/>
    <n v="125.52777777777777"/>
    <x v="0"/>
  </r>
  <r>
    <s v="T538841"/>
    <s v="C4996"/>
    <d v="2024-06-26T00:00:00"/>
    <x v="2"/>
    <x v="0"/>
    <x v="1"/>
    <n v="325.13"/>
    <n v="2"/>
    <n v="162.565"/>
    <x v="2"/>
  </r>
  <r>
    <s v="T131197"/>
    <s v="C3925"/>
    <d v="2024-04-06T00:00:00"/>
    <x v="2"/>
    <x v="1"/>
    <x v="1"/>
    <n v="1610.55"/>
    <n v="1"/>
    <n v="1610.55"/>
    <x v="4"/>
  </r>
  <r>
    <s v="T151420"/>
    <s v="C7336"/>
    <d v="2023-11-14T00:00:00"/>
    <x v="1"/>
    <x v="1"/>
    <x v="2"/>
    <n v="1010.07"/>
    <n v="5"/>
    <n v="202.01400000000001"/>
    <x v="0"/>
  </r>
  <r>
    <s v="T528602"/>
    <s v="C3597"/>
    <d v="2024-01-31T00:00:00"/>
    <x v="2"/>
    <x v="2"/>
    <x v="2"/>
    <n v="198.68"/>
    <n v="8"/>
    <n v="24.835000000000001"/>
    <x v="1"/>
  </r>
  <r>
    <s v="T600425"/>
    <s v="C2222"/>
    <d v="2023-07-28T00:00:00"/>
    <x v="1"/>
    <x v="3"/>
    <x v="1"/>
    <n v="210.91"/>
    <n v="3"/>
    <n v="70.303333333333327"/>
    <x v="0"/>
  </r>
  <r>
    <s v="T602975"/>
    <s v="C9738"/>
    <d v="2025-04-28T00:00:00"/>
    <x v="0"/>
    <x v="3"/>
    <x v="3"/>
    <n v="768.35"/>
    <n v="3"/>
    <n v="256.11666666666667"/>
    <x v="3"/>
  </r>
  <r>
    <s v="T686044"/>
    <s v="C8222"/>
    <d v="2023-03-13T00:00:00"/>
    <x v="1"/>
    <x v="1"/>
    <x v="2"/>
    <n v="443.77"/>
    <n v="9"/>
    <n v="49.307777777777773"/>
    <x v="0"/>
  </r>
  <r>
    <s v="T241739"/>
    <s v="C3399"/>
    <d v="2024-04-05T00:00:00"/>
    <x v="2"/>
    <x v="1"/>
    <x v="3"/>
    <n v="418.03"/>
    <n v="5"/>
    <n v="83.605999999999995"/>
    <x v="4"/>
  </r>
  <r>
    <s v="T755113"/>
    <s v="C3690"/>
    <d v="2025-08-09T00:00:00"/>
    <x v="0"/>
    <x v="1"/>
    <x v="2"/>
    <n v="704.33"/>
    <n v="6"/>
    <n v="117.38833333333334"/>
    <x v="1"/>
  </r>
  <r>
    <s v="T340998"/>
    <s v="C3565"/>
    <d v="2024-06-16T00:00:00"/>
    <x v="2"/>
    <x v="3"/>
    <x v="3"/>
    <n v="110.59"/>
    <n v="3"/>
    <n v="36.863333333333337"/>
    <x v="1"/>
  </r>
  <r>
    <s v="T102757"/>
    <s v="C1998"/>
    <d v="2024-08-16T00:00:00"/>
    <x v="2"/>
    <x v="2"/>
    <x v="3"/>
    <n v="1079.18"/>
    <n v="7"/>
    <n v="154.16857142857143"/>
    <x v="1"/>
  </r>
  <r>
    <s v="T838632"/>
    <s v="C6711"/>
    <d v="2024-08-17T00:00:00"/>
    <x v="2"/>
    <x v="3"/>
    <x v="1"/>
    <n v="1397.34"/>
    <n v="1"/>
    <n v="1397.34"/>
    <x v="0"/>
  </r>
  <r>
    <s v="T373090"/>
    <s v="C9005"/>
    <d v="2025-05-25T00:00:00"/>
    <x v="0"/>
    <x v="2"/>
    <x v="1"/>
    <m/>
    <n v="9"/>
    <m/>
    <x v="2"/>
  </r>
  <r>
    <s v="T181813"/>
    <s v="C4758"/>
    <d v="2023-12-26T00:00:00"/>
    <x v="1"/>
    <x v="2"/>
    <x v="1"/>
    <n v="1484.83"/>
    <n v="10"/>
    <n v="148.483"/>
    <x v="1"/>
  </r>
  <r>
    <s v="T817692"/>
    <s v="C1794"/>
    <d v="2024-10-22T00:00:00"/>
    <x v="2"/>
    <x v="1"/>
    <x v="2"/>
    <n v="1244.8800000000001"/>
    <n v="7"/>
    <n v="177.84"/>
    <x v="2"/>
  </r>
  <r>
    <s v="T990971"/>
    <s v="C4793"/>
    <d v="2025-02-19T00:00:00"/>
    <x v="0"/>
    <x v="0"/>
    <x v="1"/>
    <m/>
    <n v="8"/>
    <m/>
    <x v="1"/>
  </r>
  <r>
    <s v="T806591"/>
    <s v="C7016"/>
    <d v="2024-08-11T00:00:00"/>
    <x v="2"/>
    <x v="1"/>
    <x v="2"/>
    <n v="869.89"/>
    <n v="5"/>
    <n v="173.97800000000001"/>
    <x v="3"/>
  </r>
  <r>
    <s v="T337468"/>
    <s v="C7496"/>
    <d v="2024-06-12T00:00:00"/>
    <x v="2"/>
    <x v="3"/>
    <x v="0"/>
    <m/>
    <n v="6"/>
    <m/>
    <x v="4"/>
  </r>
  <r>
    <s v="T985405"/>
    <s v="C6215"/>
    <d v="2024-02-26T00:00:00"/>
    <x v="2"/>
    <x v="3"/>
    <x v="2"/>
    <n v="922.45"/>
    <n v="6"/>
    <n v="153.74166666666667"/>
    <x v="1"/>
  </r>
  <r>
    <s v="T941393"/>
    <s v="C9383"/>
    <d v="2025-01-04T00:00:00"/>
    <x v="0"/>
    <x v="1"/>
    <x v="2"/>
    <n v="1900.41"/>
    <n v="10"/>
    <n v="190.041"/>
    <x v="4"/>
  </r>
  <r>
    <s v="T680941"/>
    <s v="C6044"/>
    <d v="2022-11-07T00:00:00"/>
    <x v="3"/>
    <x v="2"/>
    <x v="1"/>
    <n v="1896.8"/>
    <n v="1"/>
    <n v="1896.8"/>
    <x v="1"/>
  </r>
  <r>
    <s v="T456254"/>
    <s v="C7338"/>
    <d v="2022-12-02T00:00:00"/>
    <x v="3"/>
    <x v="2"/>
    <x v="0"/>
    <n v="606.23"/>
    <n v="7"/>
    <n v="86.604285714285723"/>
    <x v="0"/>
  </r>
  <r>
    <s v="T785805"/>
    <s v="C3809"/>
    <d v="2024-03-10T00:00:00"/>
    <x v="2"/>
    <x v="2"/>
    <x v="3"/>
    <n v="586.12"/>
    <n v="9"/>
    <n v="65.12444444444445"/>
    <x v="1"/>
  </r>
  <r>
    <s v="T402214"/>
    <s v="C5938"/>
    <d v="2023-11-21T00:00:00"/>
    <x v="1"/>
    <x v="0"/>
    <x v="2"/>
    <n v="1250.47"/>
    <n v="2"/>
    <n v="625.23500000000001"/>
    <x v="4"/>
  </r>
  <r>
    <s v="T877796"/>
    <s v="C9507"/>
    <d v="2023-09-08T00:00:00"/>
    <x v="1"/>
    <x v="2"/>
    <x v="2"/>
    <n v="392.99"/>
    <n v="1"/>
    <n v="392.99"/>
    <x v="0"/>
  </r>
  <r>
    <s v="T886578"/>
    <s v="C1598"/>
    <d v="2023-09-19T00:00:00"/>
    <x v="1"/>
    <x v="2"/>
    <x v="1"/>
    <n v="1249.8"/>
    <n v="10"/>
    <n v="124.97999999999999"/>
    <x v="1"/>
  </r>
  <r>
    <s v="T318536"/>
    <s v="C5172"/>
    <d v="2022-11-11T00:00:00"/>
    <x v="3"/>
    <x v="2"/>
    <x v="2"/>
    <n v="1713.43"/>
    <n v="6"/>
    <n v="285.57166666666666"/>
    <x v="2"/>
  </r>
  <r>
    <s v="T990116"/>
    <s v="C9944"/>
    <d v="2024-04-03T00:00:00"/>
    <x v="2"/>
    <x v="3"/>
    <x v="1"/>
    <n v="1327.29"/>
    <n v="3"/>
    <n v="442.43"/>
    <x v="1"/>
  </r>
  <r>
    <s v="T486913"/>
    <s v="C8990"/>
    <d v="2022-11-26T00:00:00"/>
    <x v="3"/>
    <x v="3"/>
    <x v="2"/>
    <n v="1774.13"/>
    <n v="6"/>
    <n v="295.68833333333333"/>
    <x v="2"/>
  </r>
  <r>
    <s v="T134974"/>
    <s v="C8506"/>
    <d v="2025-10-09T00:00:00"/>
    <x v="0"/>
    <x v="2"/>
    <x v="1"/>
    <n v="154.58000000000001"/>
    <n v="7"/>
    <n v="22.082857142857144"/>
    <x v="2"/>
  </r>
  <r>
    <s v="T796483"/>
    <s v="C9459"/>
    <d v="2024-06-19T00:00:00"/>
    <x v="2"/>
    <x v="3"/>
    <x v="1"/>
    <m/>
    <n v="7"/>
    <m/>
    <x v="0"/>
  </r>
  <r>
    <s v="T876387"/>
    <s v="C9727"/>
    <d v="2025-06-24T00:00:00"/>
    <x v="0"/>
    <x v="2"/>
    <x v="0"/>
    <n v="1601.22"/>
    <n v="3"/>
    <n v="533.74"/>
    <x v="1"/>
  </r>
  <r>
    <s v="T361834"/>
    <s v="C7740"/>
    <d v="2022-11-02T00:00:00"/>
    <x v="3"/>
    <x v="2"/>
    <x v="2"/>
    <n v="603.91999999999996"/>
    <n v="9"/>
    <n v="67.102222222222224"/>
    <x v="3"/>
  </r>
  <r>
    <s v="T847592"/>
    <s v="C8102"/>
    <d v="2024-07-28T00:00:00"/>
    <x v="2"/>
    <x v="3"/>
    <x v="3"/>
    <n v="1119.8"/>
    <m/>
    <m/>
    <x v="0"/>
  </r>
  <r>
    <s v="T348777"/>
    <s v="C8365"/>
    <d v="2023-07-30T00:00:00"/>
    <x v="1"/>
    <x v="0"/>
    <x v="2"/>
    <n v="1152.6300000000001"/>
    <n v="3"/>
    <n v="384.21000000000004"/>
    <x v="0"/>
  </r>
  <r>
    <s v="T442683"/>
    <s v="C7668"/>
    <d v="2024-09-26T00:00:00"/>
    <x v="2"/>
    <x v="3"/>
    <x v="2"/>
    <n v="281.22000000000003"/>
    <n v="3"/>
    <n v="93.740000000000009"/>
    <x v="4"/>
  </r>
  <r>
    <s v="T883356"/>
    <s v="C7793"/>
    <d v="2024-06-14T00:00:00"/>
    <x v="2"/>
    <x v="0"/>
    <x v="1"/>
    <n v="341.01"/>
    <m/>
    <m/>
    <x v="4"/>
  </r>
  <r>
    <s v="T433746"/>
    <s v="C6926"/>
    <d v="2024-02-07T00:00:00"/>
    <x v="2"/>
    <x v="1"/>
    <x v="0"/>
    <n v="60.42"/>
    <n v="9"/>
    <n v="6.7133333333333338"/>
    <x v="2"/>
  </r>
  <r>
    <s v="T117025"/>
    <s v="C9685"/>
    <d v="2024-05-05T00:00:00"/>
    <x v="2"/>
    <x v="2"/>
    <x v="3"/>
    <n v="103.38"/>
    <n v="5"/>
    <n v="20.675999999999998"/>
    <x v="2"/>
  </r>
  <r>
    <s v="T836968"/>
    <s v="C6076"/>
    <d v="2025-09-23T00:00:00"/>
    <x v="0"/>
    <x v="1"/>
    <x v="1"/>
    <n v="1486.16"/>
    <n v="7"/>
    <n v="212.30857142857144"/>
    <x v="3"/>
  </r>
  <r>
    <s v="T564727"/>
    <s v="C2309"/>
    <d v="2024-01-19T00:00:00"/>
    <x v="2"/>
    <x v="1"/>
    <x v="1"/>
    <m/>
    <n v="6"/>
    <m/>
    <x v="2"/>
  </r>
  <r>
    <s v="T294224"/>
    <s v="C2340"/>
    <d v="2024-06-10T00:00:00"/>
    <x v="2"/>
    <x v="1"/>
    <x v="1"/>
    <n v="1486.17"/>
    <n v="4"/>
    <n v="371.54250000000002"/>
    <x v="1"/>
  </r>
  <r>
    <s v="T941344"/>
    <s v="C9573"/>
    <d v="2024-10-27T00:00:00"/>
    <x v="2"/>
    <x v="3"/>
    <x v="1"/>
    <n v="1526.5"/>
    <n v="2"/>
    <n v="763.25"/>
    <x v="3"/>
  </r>
  <r>
    <s v="T504734"/>
    <s v="C9887"/>
    <d v="2025-03-23T00:00:00"/>
    <x v="0"/>
    <x v="1"/>
    <x v="3"/>
    <n v="1747.6"/>
    <n v="4"/>
    <n v="436.9"/>
    <x v="1"/>
  </r>
  <r>
    <s v="T833507"/>
    <s v="C2021"/>
    <d v="2024-10-30T00:00:00"/>
    <x v="2"/>
    <x v="1"/>
    <x v="1"/>
    <n v="1466.09"/>
    <n v="7"/>
    <n v="209.44142857142856"/>
    <x v="4"/>
  </r>
  <r>
    <s v="T162263"/>
    <s v="C9812"/>
    <d v="2024-03-10T00:00:00"/>
    <x v="2"/>
    <x v="3"/>
    <x v="3"/>
    <n v="58.12"/>
    <n v="5"/>
    <n v="11.623999999999999"/>
    <x v="3"/>
  </r>
  <r>
    <s v="T316410"/>
    <s v="C5482"/>
    <d v="2025-08-05T00:00:00"/>
    <x v="0"/>
    <x v="2"/>
    <x v="1"/>
    <n v="365.55"/>
    <n v="2"/>
    <n v="182.77500000000001"/>
    <x v="0"/>
  </r>
  <r>
    <s v="T351332"/>
    <s v="C5086"/>
    <d v="2023-11-22T00:00:00"/>
    <x v="1"/>
    <x v="0"/>
    <x v="1"/>
    <n v="528.44000000000005"/>
    <n v="4"/>
    <n v="132.11000000000001"/>
    <x v="4"/>
  </r>
  <r>
    <s v="T246751"/>
    <s v="C1952"/>
    <d v="2023-11-17T00:00:00"/>
    <x v="1"/>
    <x v="1"/>
    <x v="2"/>
    <n v="1041.54"/>
    <n v="8"/>
    <n v="130.1925"/>
    <x v="3"/>
  </r>
  <r>
    <s v="T413715"/>
    <s v="C2995"/>
    <d v="2025-03-24T00:00:00"/>
    <x v="0"/>
    <x v="1"/>
    <x v="2"/>
    <n v="470.83"/>
    <n v="7"/>
    <n v="67.261428571428567"/>
    <x v="4"/>
  </r>
  <r>
    <s v="T436468"/>
    <s v="C1367"/>
    <d v="2023-03-25T00:00:00"/>
    <x v="1"/>
    <x v="3"/>
    <x v="1"/>
    <n v="1058.73"/>
    <n v="8"/>
    <n v="132.34125"/>
    <x v="3"/>
  </r>
  <r>
    <s v="T300211"/>
    <s v="C2805"/>
    <d v="2023-02-08T00:00:00"/>
    <x v="1"/>
    <x v="1"/>
    <x v="0"/>
    <n v="639.92999999999995"/>
    <n v="8"/>
    <n v="79.991249999999994"/>
    <x v="0"/>
  </r>
  <r>
    <s v="T295893"/>
    <s v="C6173"/>
    <d v="2023-07-26T00:00:00"/>
    <x v="1"/>
    <x v="0"/>
    <x v="3"/>
    <n v="1637.15"/>
    <m/>
    <m/>
    <x v="0"/>
  </r>
  <r>
    <s v="T556578"/>
    <s v="C2808"/>
    <d v="2024-08-03T00:00:00"/>
    <x v="2"/>
    <x v="1"/>
    <x v="1"/>
    <n v="204.01"/>
    <n v="6"/>
    <n v="34.001666666666665"/>
    <x v="4"/>
  </r>
  <r>
    <s v="T734922"/>
    <s v="C6208"/>
    <d v="2023-08-25T00:00:00"/>
    <x v="1"/>
    <x v="3"/>
    <x v="3"/>
    <n v="957.75"/>
    <n v="3"/>
    <n v="319.25"/>
    <x v="3"/>
  </r>
  <r>
    <s v="T331917"/>
    <s v="C4199"/>
    <d v="2023-09-04T00:00:00"/>
    <x v="1"/>
    <x v="3"/>
    <x v="3"/>
    <m/>
    <n v="7"/>
    <m/>
    <x v="2"/>
  </r>
  <r>
    <s v="T366383"/>
    <s v="C5452"/>
    <d v="2025-10-05T00:00:00"/>
    <x v="0"/>
    <x v="3"/>
    <x v="1"/>
    <m/>
    <n v="8"/>
    <m/>
    <x v="0"/>
  </r>
  <r>
    <s v="T103141"/>
    <s v="C8906"/>
    <d v="2024-08-11T00:00:00"/>
    <x v="2"/>
    <x v="1"/>
    <x v="3"/>
    <n v="221.34"/>
    <n v="10"/>
    <n v="22.134"/>
    <x v="0"/>
  </r>
  <r>
    <s v="T612881"/>
    <s v="C2703"/>
    <d v="2024-09-07T00:00:00"/>
    <x v="2"/>
    <x v="1"/>
    <x v="3"/>
    <n v="1151.8399999999999"/>
    <n v="10"/>
    <n v="115.184"/>
    <x v="3"/>
  </r>
  <r>
    <s v="T512078"/>
    <s v="C4678"/>
    <d v="2024-07-22T00:00:00"/>
    <x v="2"/>
    <x v="0"/>
    <x v="3"/>
    <n v="1804.47"/>
    <n v="4"/>
    <n v="451.11750000000001"/>
    <x v="4"/>
  </r>
  <r>
    <s v="T707151"/>
    <s v="C6528"/>
    <d v="2025-07-13T00:00:00"/>
    <x v="0"/>
    <x v="3"/>
    <x v="2"/>
    <n v="988.73"/>
    <n v="7"/>
    <n v="141.24714285714285"/>
    <x v="1"/>
  </r>
  <r>
    <s v="T241133"/>
    <s v="C7230"/>
    <d v="2024-09-19T00:00:00"/>
    <x v="2"/>
    <x v="1"/>
    <x v="3"/>
    <n v="744.26"/>
    <n v="10"/>
    <n v="74.426000000000002"/>
    <x v="2"/>
  </r>
  <r>
    <s v="T374870"/>
    <s v="C9490"/>
    <d v="2024-01-06T00:00:00"/>
    <x v="2"/>
    <x v="0"/>
    <x v="1"/>
    <n v="65.180000000000007"/>
    <n v="4"/>
    <n v="16.295000000000002"/>
    <x v="3"/>
  </r>
  <r>
    <s v="T562169"/>
    <s v="C3967"/>
    <d v="2025-02-28T00:00:00"/>
    <x v="0"/>
    <x v="2"/>
    <x v="3"/>
    <n v="1751.55"/>
    <n v="9"/>
    <n v="194.61666666666667"/>
    <x v="0"/>
  </r>
  <r>
    <s v="T221003"/>
    <s v="C2317"/>
    <d v="2023-07-12T00:00:00"/>
    <x v="1"/>
    <x v="1"/>
    <x v="0"/>
    <n v="1821.2"/>
    <n v="4"/>
    <n v="455.3"/>
    <x v="3"/>
  </r>
  <r>
    <s v="T706150"/>
    <s v="C7665"/>
    <d v="2025-06-21T00:00:00"/>
    <x v="0"/>
    <x v="3"/>
    <x v="1"/>
    <m/>
    <n v="10"/>
    <m/>
    <x v="3"/>
  </r>
  <r>
    <s v="T191945"/>
    <s v="C3362"/>
    <d v="2024-04-16T00:00:00"/>
    <x v="2"/>
    <x v="2"/>
    <x v="1"/>
    <n v="633.67999999999995"/>
    <n v="7"/>
    <n v="90.525714285714272"/>
    <x v="2"/>
  </r>
  <r>
    <s v="T661683"/>
    <s v="C3719"/>
    <d v="2025-03-29T00:00:00"/>
    <x v="0"/>
    <x v="0"/>
    <x v="2"/>
    <n v="12.67"/>
    <n v="2"/>
    <n v="6.335"/>
    <x v="0"/>
  </r>
  <r>
    <s v="T127690"/>
    <s v="C4625"/>
    <d v="2025-09-08T00:00:00"/>
    <x v="0"/>
    <x v="1"/>
    <x v="2"/>
    <n v="1648.06"/>
    <n v="7"/>
    <n v="235.43714285714285"/>
    <x v="4"/>
  </r>
  <r>
    <s v="T176802"/>
    <s v="C5268"/>
    <d v="2023-07-05T00:00:00"/>
    <x v="1"/>
    <x v="3"/>
    <x v="1"/>
    <m/>
    <n v="1"/>
    <m/>
    <x v="4"/>
  </r>
  <r>
    <s v="T255435"/>
    <s v="C6411"/>
    <d v="2024-05-07T00:00:00"/>
    <x v="2"/>
    <x v="2"/>
    <x v="0"/>
    <n v="1238.68"/>
    <n v="4"/>
    <n v="309.67"/>
    <x v="1"/>
  </r>
  <r>
    <s v="T137514"/>
    <s v="C7270"/>
    <d v="2023-06-14T00:00:00"/>
    <x v="1"/>
    <x v="2"/>
    <x v="0"/>
    <m/>
    <n v="7"/>
    <m/>
    <x v="2"/>
  </r>
  <r>
    <s v="T920662"/>
    <s v="C1250"/>
    <d v="2025-01-19T00:00:00"/>
    <x v="0"/>
    <x v="0"/>
    <x v="1"/>
    <n v="744.45"/>
    <n v="1"/>
    <n v="744.45"/>
    <x v="3"/>
  </r>
  <r>
    <s v="T516078"/>
    <s v="C8871"/>
    <d v="2023-08-30T00:00:00"/>
    <x v="1"/>
    <x v="3"/>
    <x v="1"/>
    <n v="1843.79"/>
    <n v="8"/>
    <n v="230.47375"/>
    <x v="1"/>
  </r>
  <r>
    <s v="T154927"/>
    <s v="C1399"/>
    <d v="2024-12-05T00:00:00"/>
    <x v="2"/>
    <x v="2"/>
    <x v="1"/>
    <n v="160.46"/>
    <n v="9"/>
    <n v="17.828888888888891"/>
    <x v="4"/>
  </r>
  <r>
    <s v="T320707"/>
    <s v="C2170"/>
    <d v="2025-07-05T00:00:00"/>
    <x v="0"/>
    <x v="2"/>
    <x v="2"/>
    <n v="1696.66"/>
    <m/>
    <m/>
    <x v="0"/>
  </r>
  <r>
    <s v="T989054"/>
    <s v="C7445"/>
    <d v="2025-05-16T00:00:00"/>
    <x v="0"/>
    <x v="3"/>
    <x v="1"/>
    <n v="498.22"/>
    <n v="8"/>
    <n v="62.277500000000003"/>
    <x v="4"/>
  </r>
  <r>
    <s v="T889347"/>
    <s v="C3699"/>
    <d v="2022-12-27T00:00:00"/>
    <x v="3"/>
    <x v="3"/>
    <x v="2"/>
    <m/>
    <n v="8"/>
    <m/>
    <x v="3"/>
  </r>
  <r>
    <s v="T806389"/>
    <s v="C9488"/>
    <d v="2023-04-17T00:00:00"/>
    <x v="1"/>
    <x v="1"/>
    <x v="3"/>
    <n v="518.1"/>
    <n v="1"/>
    <n v="518.1"/>
    <x v="0"/>
  </r>
  <r>
    <s v="T770220"/>
    <s v="C3248"/>
    <d v="2024-12-21T00:00:00"/>
    <x v="2"/>
    <x v="2"/>
    <x v="3"/>
    <n v="1808.39"/>
    <n v="9"/>
    <n v="200.93222222222224"/>
    <x v="1"/>
  </r>
  <r>
    <s v="T516514"/>
    <s v="C5513"/>
    <d v="2025-01-21T00:00:00"/>
    <x v="0"/>
    <x v="3"/>
    <x v="3"/>
    <n v="1038.7"/>
    <n v="1"/>
    <n v="1038.7"/>
    <x v="0"/>
  </r>
  <r>
    <s v="T337171"/>
    <s v="C3537"/>
    <d v="2023-12-07T00:00:00"/>
    <x v="1"/>
    <x v="1"/>
    <x v="2"/>
    <n v="1167.0899999999999"/>
    <n v="6"/>
    <n v="194.51499999999999"/>
    <x v="3"/>
  </r>
  <r>
    <s v="T126456"/>
    <s v="C1191"/>
    <d v="2023-04-23T00:00:00"/>
    <x v="1"/>
    <x v="3"/>
    <x v="0"/>
    <n v="1524.8"/>
    <n v="8"/>
    <n v="190.6"/>
    <x v="0"/>
  </r>
  <r>
    <s v="T369752"/>
    <s v="C8471"/>
    <d v="2023-03-12T00:00:00"/>
    <x v="1"/>
    <x v="2"/>
    <x v="0"/>
    <n v="1740.04"/>
    <n v="8"/>
    <n v="217.505"/>
    <x v="3"/>
  </r>
  <r>
    <s v="T774262"/>
    <s v="C1991"/>
    <d v="2023-05-31T00:00:00"/>
    <x v="1"/>
    <x v="1"/>
    <x v="1"/>
    <n v="36.67"/>
    <n v="8"/>
    <n v="4.5837500000000002"/>
    <x v="4"/>
  </r>
  <r>
    <s v="T534781"/>
    <s v="C6925"/>
    <d v="2025-05-20T00:00:00"/>
    <x v="0"/>
    <x v="2"/>
    <x v="2"/>
    <n v="753.95"/>
    <n v="6"/>
    <n v="125.65833333333335"/>
    <x v="2"/>
  </r>
  <r>
    <s v="T924045"/>
    <s v="C6115"/>
    <d v="2025-05-17T00:00:00"/>
    <x v="0"/>
    <x v="3"/>
    <x v="0"/>
    <n v="1991.57"/>
    <n v="4"/>
    <n v="497.89249999999998"/>
    <x v="2"/>
  </r>
  <r>
    <s v="T251636"/>
    <s v="C1334"/>
    <d v="2023-01-25T00:00:00"/>
    <x v="1"/>
    <x v="3"/>
    <x v="3"/>
    <m/>
    <n v="3"/>
    <m/>
    <x v="4"/>
  </r>
  <r>
    <s v="T267759"/>
    <s v="C2548"/>
    <d v="2023-11-13T00:00:00"/>
    <x v="1"/>
    <x v="0"/>
    <x v="2"/>
    <n v="1373.02"/>
    <n v="5"/>
    <n v="274.60399999999998"/>
    <x v="4"/>
  </r>
  <r>
    <s v="T141335"/>
    <s v="C1905"/>
    <d v="2024-03-05T00:00:00"/>
    <x v="2"/>
    <x v="2"/>
    <x v="2"/>
    <n v="451.81"/>
    <n v="6"/>
    <n v="75.301666666666662"/>
    <x v="1"/>
  </r>
  <r>
    <s v="T655637"/>
    <s v="C8250"/>
    <d v="2025-09-13T00:00:00"/>
    <x v="0"/>
    <x v="1"/>
    <x v="2"/>
    <n v="643.03"/>
    <n v="3"/>
    <n v="214.34333333333333"/>
    <x v="3"/>
  </r>
  <r>
    <s v="T285318"/>
    <s v="C5268"/>
    <d v="2023-11-21T00:00:00"/>
    <x v="1"/>
    <x v="0"/>
    <x v="3"/>
    <m/>
    <n v="3"/>
    <m/>
    <x v="4"/>
  </r>
  <r>
    <s v="T397604"/>
    <s v="C2649"/>
    <d v="2025-03-14T00:00:00"/>
    <x v="0"/>
    <x v="0"/>
    <x v="0"/>
    <n v="704.29"/>
    <n v="5"/>
    <n v="140.858"/>
    <x v="0"/>
  </r>
  <r>
    <s v="T598773"/>
    <s v="C9694"/>
    <d v="2023-04-15T00:00:00"/>
    <x v="1"/>
    <x v="0"/>
    <x v="1"/>
    <m/>
    <n v="8"/>
    <m/>
    <x v="0"/>
  </r>
  <r>
    <s v="T612605"/>
    <s v="C7085"/>
    <d v="2023-08-27T00:00:00"/>
    <x v="1"/>
    <x v="2"/>
    <x v="2"/>
    <n v="1667.59"/>
    <n v="7"/>
    <n v="238.22714285714284"/>
    <x v="3"/>
  </r>
  <r>
    <s v="T682140"/>
    <s v="C6262"/>
    <d v="2025-04-29T00:00:00"/>
    <x v="0"/>
    <x v="3"/>
    <x v="0"/>
    <n v="1343.45"/>
    <n v="6"/>
    <n v="223.90833333333333"/>
    <x v="3"/>
  </r>
  <r>
    <s v="T355504"/>
    <s v="C9073"/>
    <d v="2024-05-19T00:00:00"/>
    <x v="2"/>
    <x v="1"/>
    <x v="1"/>
    <n v="1189.8399999999999"/>
    <n v="5"/>
    <n v="237.96799999999999"/>
    <x v="2"/>
  </r>
  <r>
    <s v="T169029"/>
    <s v="C6698"/>
    <d v="2025-09-22T00:00:00"/>
    <x v="0"/>
    <x v="1"/>
    <x v="0"/>
    <n v="836.28"/>
    <n v="3"/>
    <n v="278.76"/>
    <x v="0"/>
  </r>
  <r>
    <s v="T251854"/>
    <s v="C6820"/>
    <d v="2024-08-12T00:00:00"/>
    <x v="2"/>
    <x v="3"/>
    <x v="3"/>
    <n v="1864.12"/>
    <n v="3"/>
    <n v="621.37333333333333"/>
    <x v="3"/>
  </r>
  <r>
    <s v="T923904"/>
    <s v="C5157"/>
    <d v="2023-03-13T00:00:00"/>
    <x v="1"/>
    <x v="3"/>
    <x v="0"/>
    <n v="1002.96"/>
    <n v="6"/>
    <n v="167.16"/>
    <x v="0"/>
  </r>
  <r>
    <s v="T114431"/>
    <s v="C1074"/>
    <d v="2024-10-14T00:00:00"/>
    <x v="2"/>
    <x v="0"/>
    <x v="0"/>
    <m/>
    <n v="7"/>
    <m/>
    <x v="0"/>
  </r>
  <r>
    <s v="T937948"/>
    <s v="C9224"/>
    <d v="2024-11-20T00:00:00"/>
    <x v="2"/>
    <x v="2"/>
    <x v="2"/>
    <n v="1082.96"/>
    <n v="4"/>
    <n v="270.74"/>
    <x v="3"/>
  </r>
  <r>
    <s v="T385328"/>
    <s v="C6112"/>
    <d v="2023-10-25T00:00:00"/>
    <x v="1"/>
    <x v="1"/>
    <x v="1"/>
    <n v="200.14"/>
    <n v="2"/>
    <n v="100.07"/>
    <x v="1"/>
  </r>
  <r>
    <s v="T450421"/>
    <s v="C4552"/>
    <d v="2025-05-17T00:00:00"/>
    <x v="0"/>
    <x v="2"/>
    <x v="2"/>
    <n v="357.78"/>
    <n v="3"/>
    <n v="119.25999999999999"/>
    <x v="1"/>
  </r>
  <r>
    <s v="T713149"/>
    <s v="C9349"/>
    <d v="2022-12-25T00:00:00"/>
    <x v="3"/>
    <x v="0"/>
    <x v="3"/>
    <n v="21.37"/>
    <n v="10"/>
    <n v="2.137"/>
    <x v="4"/>
  </r>
  <r>
    <s v="T992143"/>
    <s v="C4631"/>
    <d v="2023-10-23T00:00:00"/>
    <x v="1"/>
    <x v="0"/>
    <x v="0"/>
    <n v="1553.76"/>
    <m/>
    <m/>
    <x v="3"/>
  </r>
  <r>
    <s v="T972049"/>
    <s v="C3927"/>
    <d v="2023-07-10T00:00:00"/>
    <x v="1"/>
    <x v="2"/>
    <x v="3"/>
    <n v="1682.24"/>
    <n v="9"/>
    <n v="186.91555555555556"/>
    <x v="0"/>
  </r>
  <r>
    <s v="T647897"/>
    <s v="C8132"/>
    <d v="2025-06-07T00:00:00"/>
    <x v="0"/>
    <x v="0"/>
    <x v="1"/>
    <n v="1207.74"/>
    <n v="5"/>
    <n v="241.548"/>
    <x v="0"/>
  </r>
  <r>
    <s v="T894444"/>
    <s v="C5398"/>
    <d v="2023-06-29T00:00:00"/>
    <x v="1"/>
    <x v="2"/>
    <x v="0"/>
    <n v="1647.77"/>
    <n v="10"/>
    <n v="164.77699999999999"/>
    <x v="4"/>
  </r>
  <r>
    <s v="T294227"/>
    <s v="C7349"/>
    <d v="2023-05-09T00:00:00"/>
    <x v="1"/>
    <x v="2"/>
    <x v="2"/>
    <m/>
    <n v="8"/>
    <m/>
    <x v="3"/>
  </r>
  <r>
    <s v="T848464"/>
    <s v="C3380"/>
    <d v="2024-08-15T00:00:00"/>
    <x v="2"/>
    <x v="3"/>
    <x v="1"/>
    <n v="10.94"/>
    <n v="10"/>
    <n v="1.0939999999999999"/>
    <x v="1"/>
  </r>
  <r>
    <s v="T199059"/>
    <s v="C2299"/>
    <d v="2025-09-23T00:00:00"/>
    <x v="0"/>
    <x v="0"/>
    <x v="2"/>
    <n v="1449.53"/>
    <n v="8"/>
    <n v="181.19125"/>
    <x v="0"/>
  </r>
  <r>
    <s v="T251192"/>
    <s v="C7838"/>
    <d v="2024-02-02T00:00:00"/>
    <x v="2"/>
    <x v="3"/>
    <x v="0"/>
    <n v="191.13"/>
    <n v="3"/>
    <n v="63.71"/>
    <x v="2"/>
  </r>
  <r>
    <s v="T636885"/>
    <s v="C3507"/>
    <d v="2023-02-13T00:00:00"/>
    <x v="1"/>
    <x v="3"/>
    <x v="1"/>
    <m/>
    <n v="2"/>
    <m/>
    <x v="1"/>
  </r>
  <r>
    <s v="T220160"/>
    <s v="C8426"/>
    <d v="2025-03-09T00:00:00"/>
    <x v="0"/>
    <x v="2"/>
    <x v="1"/>
    <n v="1716.53"/>
    <n v="3"/>
    <n v="572.17666666666662"/>
    <x v="3"/>
  </r>
  <r>
    <s v="T348244"/>
    <s v="C5699"/>
    <d v="2025-02-18T00:00:00"/>
    <x v="0"/>
    <x v="2"/>
    <x v="3"/>
    <n v="1738.7"/>
    <n v="3"/>
    <n v="579.56666666666672"/>
    <x v="4"/>
  </r>
  <r>
    <s v="T220869"/>
    <s v="C9622"/>
    <d v="2023-03-12T00:00:00"/>
    <x v="1"/>
    <x v="1"/>
    <x v="0"/>
    <n v="1301.3399999999999"/>
    <n v="3"/>
    <n v="433.78"/>
    <x v="2"/>
  </r>
  <r>
    <s v="T597794"/>
    <s v="C4493"/>
    <d v="2024-12-10T00:00:00"/>
    <x v="2"/>
    <x v="0"/>
    <x v="1"/>
    <n v="1542.46"/>
    <n v="1"/>
    <n v="1542.46"/>
    <x v="0"/>
  </r>
  <r>
    <s v="T653777"/>
    <s v="C9686"/>
    <d v="2025-04-24T00:00:00"/>
    <x v="0"/>
    <x v="1"/>
    <x v="2"/>
    <m/>
    <n v="3"/>
    <m/>
    <x v="1"/>
  </r>
  <r>
    <s v="T804117"/>
    <s v="C2642"/>
    <d v="2024-12-24T00:00:00"/>
    <x v="2"/>
    <x v="1"/>
    <x v="1"/>
    <n v="201.42"/>
    <n v="8"/>
    <n v="25.177499999999998"/>
    <x v="3"/>
  </r>
  <r>
    <s v="T363056"/>
    <s v="C7795"/>
    <d v="2025-09-16T00:00:00"/>
    <x v="0"/>
    <x v="0"/>
    <x v="2"/>
    <n v="106.73"/>
    <n v="5"/>
    <n v="21.346"/>
    <x v="3"/>
  </r>
  <r>
    <s v="T114306"/>
    <s v="C3160"/>
    <d v="2023-11-22T00:00:00"/>
    <x v="1"/>
    <x v="0"/>
    <x v="0"/>
    <n v="853.63"/>
    <n v="6"/>
    <n v="142.27166666666668"/>
    <x v="1"/>
  </r>
  <r>
    <s v="T406264"/>
    <s v="C2497"/>
    <d v="2023-11-19T00:00:00"/>
    <x v="1"/>
    <x v="3"/>
    <x v="1"/>
    <n v="80.64"/>
    <n v="3"/>
    <n v="26.88"/>
    <x v="1"/>
  </r>
  <r>
    <s v="T150825"/>
    <s v="C1563"/>
    <d v="2023-03-11T00:00:00"/>
    <x v="1"/>
    <x v="0"/>
    <x v="0"/>
    <n v="1250.77"/>
    <n v="6"/>
    <n v="208.46166666666667"/>
    <x v="0"/>
  </r>
  <r>
    <s v="T804220"/>
    <s v="C4751"/>
    <d v="2022-11-09T00:00:00"/>
    <x v="3"/>
    <x v="3"/>
    <x v="3"/>
    <n v="1299.6600000000001"/>
    <m/>
    <m/>
    <x v="3"/>
  </r>
  <r>
    <s v="T830162"/>
    <s v="C6726"/>
    <d v="2025-03-10T00:00:00"/>
    <x v="0"/>
    <x v="3"/>
    <x v="3"/>
    <n v="1502.76"/>
    <n v="7"/>
    <n v="214.68"/>
    <x v="1"/>
  </r>
  <r>
    <s v="T901910"/>
    <s v="C8957"/>
    <d v="2024-05-25T00:00:00"/>
    <x v="2"/>
    <x v="0"/>
    <x v="3"/>
    <n v="376.03"/>
    <n v="10"/>
    <n v="37.602999999999994"/>
    <x v="2"/>
  </r>
  <r>
    <s v="T496058"/>
    <s v="C4604"/>
    <d v="2025-05-29T00:00:00"/>
    <x v="0"/>
    <x v="1"/>
    <x v="2"/>
    <n v="479.61"/>
    <n v="2"/>
    <n v="239.80500000000001"/>
    <x v="3"/>
  </r>
  <r>
    <s v="T959533"/>
    <s v="C6358"/>
    <d v="2024-02-24T00:00:00"/>
    <x v="2"/>
    <x v="1"/>
    <x v="1"/>
    <n v="435.82"/>
    <n v="3"/>
    <n v="145.27333333333334"/>
    <x v="1"/>
  </r>
  <r>
    <s v="T340357"/>
    <s v="C7766"/>
    <d v="2025-03-27T00:00:00"/>
    <x v="0"/>
    <x v="1"/>
    <x v="1"/>
    <n v="235.64"/>
    <n v="2"/>
    <n v="117.82"/>
    <x v="3"/>
  </r>
  <r>
    <s v="T825973"/>
    <s v="C7938"/>
    <d v="2024-04-09T00:00:00"/>
    <x v="2"/>
    <x v="3"/>
    <x v="2"/>
    <n v="1218.58"/>
    <m/>
    <m/>
    <x v="3"/>
  </r>
  <r>
    <s v="T624081"/>
    <s v="C7774"/>
    <d v="2022-11-06T00:00:00"/>
    <x v="3"/>
    <x v="3"/>
    <x v="1"/>
    <m/>
    <n v="2"/>
    <m/>
    <x v="2"/>
  </r>
  <r>
    <s v="T684172"/>
    <s v="C2936"/>
    <d v="2023-10-24T00:00:00"/>
    <x v="1"/>
    <x v="0"/>
    <x v="0"/>
    <n v="1765.96"/>
    <n v="4"/>
    <n v="441.49"/>
    <x v="1"/>
  </r>
  <r>
    <s v="T523004"/>
    <s v="C3954"/>
    <d v="2024-09-13T00:00:00"/>
    <x v="2"/>
    <x v="1"/>
    <x v="2"/>
    <m/>
    <n v="2"/>
    <m/>
    <x v="2"/>
  </r>
  <r>
    <s v="T821767"/>
    <s v="C7098"/>
    <d v="2024-08-05T00:00:00"/>
    <x v="2"/>
    <x v="3"/>
    <x v="3"/>
    <n v="447.18"/>
    <n v="10"/>
    <n v="44.718000000000004"/>
    <x v="3"/>
  </r>
  <r>
    <s v="T727975"/>
    <s v="C6702"/>
    <d v="2023-07-09T00:00:00"/>
    <x v="1"/>
    <x v="0"/>
    <x v="3"/>
    <m/>
    <n v="10"/>
    <m/>
    <x v="1"/>
  </r>
  <r>
    <s v="T687071"/>
    <s v="C7660"/>
    <d v="2024-09-12T00:00:00"/>
    <x v="2"/>
    <x v="2"/>
    <x v="0"/>
    <n v="815.43"/>
    <n v="8"/>
    <n v="101.92874999999999"/>
    <x v="3"/>
  </r>
  <r>
    <s v="T292232"/>
    <s v="C9053"/>
    <d v="2024-02-06T00:00:00"/>
    <x v="2"/>
    <x v="1"/>
    <x v="2"/>
    <n v="1662.61"/>
    <n v="4"/>
    <n v="415.65249999999997"/>
    <x v="3"/>
  </r>
  <r>
    <s v="T136626"/>
    <s v="C5394"/>
    <d v="2023-06-18T00:00:00"/>
    <x v="1"/>
    <x v="1"/>
    <x v="1"/>
    <m/>
    <n v="9"/>
    <m/>
    <x v="0"/>
  </r>
  <r>
    <s v="T652283"/>
    <s v="C6486"/>
    <d v="2025-04-13T00:00:00"/>
    <x v="0"/>
    <x v="3"/>
    <x v="2"/>
    <n v="1470.11"/>
    <n v="1"/>
    <n v="1470.11"/>
    <x v="3"/>
  </r>
  <r>
    <s v="T840857"/>
    <s v="C7228"/>
    <d v="2023-10-12T00:00:00"/>
    <x v="1"/>
    <x v="1"/>
    <x v="2"/>
    <n v="1035.82"/>
    <n v="6"/>
    <n v="172.63666666666666"/>
    <x v="1"/>
  </r>
  <r>
    <s v="T487776"/>
    <s v="C7510"/>
    <d v="2023-06-05T00:00:00"/>
    <x v="1"/>
    <x v="2"/>
    <x v="2"/>
    <n v="1197.6600000000001"/>
    <n v="8"/>
    <n v="149.70750000000001"/>
    <x v="4"/>
  </r>
  <r>
    <s v="T230691"/>
    <s v="C3102"/>
    <d v="2023-12-18T00:00:00"/>
    <x v="1"/>
    <x v="0"/>
    <x v="3"/>
    <m/>
    <n v="1"/>
    <m/>
    <x v="0"/>
  </r>
  <r>
    <s v="T869518"/>
    <s v="C5036"/>
    <d v="2025-10-06T00:00:00"/>
    <x v="0"/>
    <x v="2"/>
    <x v="1"/>
    <n v="224.75"/>
    <n v="4"/>
    <n v="56.1875"/>
    <x v="2"/>
  </r>
  <r>
    <s v="T842032"/>
    <s v="C3511"/>
    <d v="2024-05-01T00:00:00"/>
    <x v="2"/>
    <x v="1"/>
    <x v="2"/>
    <n v="572.88"/>
    <n v="4"/>
    <n v="143.22"/>
    <x v="0"/>
  </r>
  <r>
    <s v="T762331"/>
    <s v="C4088"/>
    <d v="2024-08-20T00:00:00"/>
    <x v="2"/>
    <x v="2"/>
    <x v="3"/>
    <m/>
    <n v="7"/>
    <m/>
    <x v="1"/>
  </r>
  <r>
    <s v="T686596"/>
    <s v="C7863"/>
    <d v="2023-01-26T00:00:00"/>
    <x v="1"/>
    <x v="2"/>
    <x v="0"/>
    <n v="146.54"/>
    <n v="3"/>
    <n v="48.846666666666664"/>
    <x v="0"/>
  </r>
  <r>
    <s v="T554483"/>
    <s v="C8345"/>
    <d v="2025-07-25T00:00:00"/>
    <x v="0"/>
    <x v="1"/>
    <x v="1"/>
    <n v="1039.72"/>
    <n v="10"/>
    <n v="103.97200000000001"/>
    <x v="3"/>
  </r>
  <r>
    <s v="T625772"/>
    <s v="C6840"/>
    <d v="2023-07-18T00:00:00"/>
    <x v="1"/>
    <x v="0"/>
    <x v="3"/>
    <n v="870.24"/>
    <n v="5"/>
    <n v="174.048"/>
    <x v="0"/>
  </r>
  <r>
    <s v="T105497"/>
    <s v="C5033"/>
    <d v="2024-02-22T00:00:00"/>
    <x v="2"/>
    <x v="1"/>
    <x v="2"/>
    <n v="327.62"/>
    <n v="9"/>
    <n v="36.402222222222221"/>
    <x v="4"/>
  </r>
  <r>
    <s v="T182692"/>
    <s v="C9140"/>
    <d v="2023-09-13T00:00:00"/>
    <x v="1"/>
    <x v="0"/>
    <x v="0"/>
    <n v="96.5"/>
    <n v="4"/>
    <n v="24.125"/>
    <x v="3"/>
  </r>
  <r>
    <s v="T492275"/>
    <s v="C3750"/>
    <d v="2025-06-27T00:00:00"/>
    <x v="0"/>
    <x v="2"/>
    <x v="0"/>
    <m/>
    <n v="7"/>
    <m/>
    <x v="1"/>
  </r>
  <r>
    <s v="T245946"/>
    <s v="C9970"/>
    <d v="2023-04-18T00:00:00"/>
    <x v="1"/>
    <x v="2"/>
    <x v="2"/>
    <n v="1939.14"/>
    <n v="7"/>
    <n v="277.02000000000004"/>
    <x v="4"/>
  </r>
  <r>
    <s v="T347388"/>
    <s v="C7146"/>
    <d v="2024-03-07T00:00:00"/>
    <x v="2"/>
    <x v="2"/>
    <x v="2"/>
    <m/>
    <n v="5"/>
    <m/>
    <x v="4"/>
  </r>
  <r>
    <s v="T111085"/>
    <s v="C3787"/>
    <d v="2024-02-11T00:00:00"/>
    <x v="2"/>
    <x v="2"/>
    <x v="1"/>
    <n v="470.52"/>
    <n v="7"/>
    <n v="67.217142857142861"/>
    <x v="4"/>
  </r>
  <r>
    <s v="T299989"/>
    <s v="C4056"/>
    <d v="2023-01-25T00:00:00"/>
    <x v="1"/>
    <x v="3"/>
    <x v="3"/>
    <n v="231.71"/>
    <n v="1"/>
    <n v="231.71"/>
    <x v="3"/>
  </r>
  <r>
    <s v="T739400"/>
    <s v="C3016"/>
    <d v="2023-01-25T00:00:00"/>
    <x v="1"/>
    <x v="1"/>
    <x v="3"/>
    <n v="1645.74"/>
    <n v="2"/>
    <n v="822.87"/>
    <x v="2"/>
  </r>
  <r>
    <s v="T379600"/>
    <s v="C6009"/>
    <d v="2023-10-24T00:00:00"/>
    <x v="1"/>
    <x v="2"/>
    <x v="0"/>
    <n v="265.95999999999998"/>
    <n v="10"/>
    <n v="26.595999999999997"/>
    <x v="4"/>
  </r>
  <r>
    <s v="T216358"/>
    <s v="C6017"/>
    <d v="2023-08-24T00:00:00"/>
    <x v="1"/>
    <x v="3"/>
    <x v="2"/>
    <m/>
    <n v="9"/>
    <m/>
    <x v="3"/>
  </r>
  <r>
    <s v="T610873"/>
    <s v="C2639"/>
    <d v="2022-12-21T00:00:00"/>
    <x v="3"/>
    <x v="0"/>
    <x v="1"/>
    <n v="1657.42"/>
    <n v="1"/>
    <n v="1657.42"/>
    <x v="3"/>
  </r>
  <r>
    <s v="T683250"/>
    <s v="C5609"/>
    <d v="2024-08-30T00:00:00"/>
    <x v="2"/>
    <x v="2"/>
    <x v="1"/>
    <n v="1783.51"/>
    <n v="3"/>
    <n v="594.50333333333333"/>
    <x v="1"/>
  </r>
  <r>
    <s v="T105126"/>
    <s v="C4074"/>
    <d v="2023-06-11T00:00:00"/>
    <x v="1"/>
    <x v="3"/>
    <x v="2"/>
    <n v="405.75"/>
    <n v="2"/>
    <n v="202.875"/>
    <x v="1"/>
  </r>
  <r>
    <s v="T186859"/>
    <s v="C8765"/>
    <d v="2023-09-11T00:00:00"/>
    <x v="1"/>
    <x v="3"/>
    <x v="3"/>
    <n v="603.91999999999996"/>
    <n v="3"/>
    <n v="201.30666666666664"/>
    <x v="4"/>
  </r>
  <r>
    <s v="T255769"/>
    <s v="C1272"/>
    <d v="2025-05-10T00:00:00"/>
    <x v="0"/>
    <x v="2"/>
    <x v="1"/>
    <n v="1938.75"/>
    <n v="9"/>
    <n v="215.41666666666666"/>
    <x v="4"/>
  </r>
  <r>
    <s v="T846933"/>
    <s v="C6256"/>
    <d v="2024-11-17T00:00:00"/>
    <x v="2"/>
    <x v="1"/>
    <x v="2"/>
    <n v="361.65"/>
    <m/>
    <m/>
    <x v="4"/>
  </r>
  <r>
    <s v="T399364"/>
    <s v="C5727"/>
    <d v="2023-06-11T00:00:00"/>
    <x v="1"/>
    <x v="3"/>
    <x v="1"/>
    <n v="217.51"/>
    <n v="1"/>
    <n v="217.51"/>
    <x v="0"/>
  </r>
  <r>
    <s v="T171262"/>
    <s v="C6972"/>
    <d v="2024-12-12T00:00:00"/>
    <x v="2"/>
    <x v="0"/>
    <x v="0"/>
    <n v="308.29000000000002"/>
    <n v="6"/>
    <n v="51.381666666666668"/>
    <x v="2"/>
  </r>
  <r>
    <s v="T999544"/>
    <s v="C8332"/>
    <d v="2024-04-06T00:00:00"/>
    <x v="2"/>
    <x v="0"/>
    <x v="1"/>
    <n v="1903.28"/>
    <n v="4"/>
    <n v="475.82"/>
    <x v="2"/>
  </r>
  <r>
    <s v="T619914"/>
    <s v="C3824"/>
    <d v="2022-12-27T00:00:00"/>
    <x v="3"/>
    <x v="3"/>
    <x v="0"/>
    <n v="836.02"/>
    <n v="8"/>
    <n v="104.5025"/>
    <x v="4"/>
  </r>
  <r>
    <s v="T587822"/>
    <s v="C1996"/>
    <d v="2023-06-05T00:00:00"/>
    <x v="1"/>
    <x v="1"/>
    <x v="1"/>
    <n v="1283.9100000000001"/>
    <n v="3"/>
    <n v="427.97"/>
    <x v="2"/>
  </r>
  <r>
    <s v="T792677"/>
    <s v="C4504"/>
    <d v="2025-03-06T00:00:00"/>
    <x v="0"/>
    <x v="1"/>
    <x v="0"/>
    <n v="983.04"/>
    <n v="6"/>
    <n v="163.84"/>
    <x v="3"/>
  </r>
  <r>
    <s v="T227373"/>
    <s v="C2564"/>
    <d v="2023-12-04T00:00:00"/>
    <x v="1"/>
    <x v="2"/>
    <x v="2"/>
    <n v="49.21"/>
    <n v="1"/>
    <n v="49.21"/>
    <x v="3"/>
  </r>
  <r>
    <s v="T966338"/>
    <s v="C3341"/>
    <d v="2025-07-06T00:00:00"/>
    <x v="0"/>
    <x v="2"/>
    <x v="0"/>
    <n v="1192.8900000000001"/>
    <n v="4"/>
    <n v="298.22250000000003"/>
    <x v="1"/>
  </r>
  <r>
    <s v="T101130"/>
    <s v="C4360"/>
    <d v="2024-12-08T00:00:00"/>
    <x v="2"/>
    <x v="1"/>
    <x v="0"/>
    <n v="362.36"/>
    <n v="10"/>
    <n v="36.236000000000004"/>
    <x v="1"/>
  </r>
  <r>
    <s v="T280220"/>
    <s v="C4247"/>
    <d v="2022-12-19T00:00:00"/>
    <x v="3"/>
    <x v="3"/>
    <x v="2"/>
    <n v="253.3"/>
    <n v="10"/>
    <n v="25.330000000000002"/>
    <x v="1"/>
  </r>
  <r>
    <s v="T309267"/>
    <s v="C9692"/>
    <d v="2023-09-02T00:00:00"/>
    <x v="1"/>
    <x v="0"/>
    <x v="1"/>
    <n v="45.94"/>
    <n v="1"/>
    <n v="45.94"/>
    <x v="4"/>
  </r>
  <r>
    <s v="T897285"/>
    <s v="C6531"/>
    <d v="2023-01-11T00:00:00"/>
    <x v="1"/>
    <x v="3"/>
    <x v="2"/>
    <n v="1362.24"/>
    <n v="7"/>
    <n v="194.6057142857143"/>
    <x v="4"/>
  </r>
  <r>
    <s v="T375563"/>
    <s v="C1404"/>
    <d v="2024-10-13T00:00:00"/>
    <x v="2"/>
    <x v="3"/>
    <x v="1"/>
    <n v="1648.8"/>
    <n v="5"/>
    <n v="329.76"/>
    <x v="1"/>
  </r>
  <r>
    <s v="T564809"/>
    <s v="C7033"/>
    <d v="2024-09-18T00:00:00"/>
    <x v="2"/>
    <x v="0"/>
    <x v="1"/>
    <n v="1361.37"/>
    <n v="6"/>
    <n v="226.89499999999998"/>
    <x v="3"/>
  </r>
  <r>
    <s v="T101860"/>
    <s v="C6465"/>
    <d v="2022-12-12T00:00:00"/>
    <x v="3"/>
    <x v="0"/>
    <x v="3"/>
    <n v="662.24"/>
    <n v="9"/>
    <n v="73.582222222222228"/>
    <x v="4"/>
  </r>
  <r>
    <s v="T796137"/>
    <s v="C1029"/>
    <d v="2023-06-07T00:00:00"/>
    <x v="1"/>
    <x v="1"/>
    <x v="2"/>
    <n v="924.35"/>
    <m/>
    <m/>
    <x v="2"/>
  </r>
  <r>
    <s v="T159555"/>
    <s v="C4011"/>
    <d v="2023-03-17T00:00:00"/>
    <x v="1"/>
    <x v="3"/>
    <x v="3"/>
    <n v="665.71"/>
    <n v="1"/>
    <n v="665.71"/>
    <x v="1"/>
  </r>
  <r>
    <s v="T488424"/>
    <s v="C5205"/>
    <d v="2025-03-27T00:00:00"/>
    <x v="0"/>
    <x v="0"/>
    <x v="1"/>
    <n v="1480.59"/>
    <n v="2"/>
    <n v="740.29499999999996"/>
    <x v="4"/>
  </r>
  <r>
    <s v="T589628"/>
    <s v="C6998"/>
    <d v="2022-11-10T00:00:00"/>
    <x v="3"/>
    <x v="2"/>
    <x v="2"/>
    <n v="1349.24"/>
    <n v="7"/>
    <n v="192.74857142857144"/>
    <x v="1"/>
  </r>
  <r>
    <s v="T752628"/>
    <s v="C9845"/>
    <d v="2025-03-20T00:00:00"/>
    <x v="0"/>
    <x v="2"/>
    <x v="2"/>
    <n v="1894.26"/>
    <n v="9"/>
    <n v="210.47333333333333"/>
    <x v="2"/>
  </r>
  <r>
    <s v="T897674"/>
    <s v="C5618"/>
    <d v="2023-09-26T00:00:00"/>
    <x v="1"/>
    <x v="0"/>
    <x v="3"/>
    <n v="1006.58"/>
    <n v="9"/>
    <n v="111.84222222222223"/>
    <x v="3"/>
  </r>
  <r>
    <s v="T972458"/>
    <s v="C5785"/>
    <d v="2024-12-22T00:00:00"/>
    <x v="2"/>
    <x v="2"/>
    <x v="3"/>
    <n v="994.54"/>
    <n v="6"/>
    <n v="165.75666666666666"/>
    <x v="0"/>
  </r>
  <r>
    <s v="T328834"/>
    <s v="C8588"/>
    <d v="2023-03-26T00:00:00"/>
    <x v="1"/>
    <x v="1"/>
    <x v="3"/>
    <n v="1641.43"/>
    <n v="5"/>
    <n v="328.286"/>
    <x v="2"/>
  </r>
  <r>
    <s v="T937713"/>
    <s v="C5856"/>
    <d v="2025-10-16T00:00:00"/>
    <x v="0"/>
    <x v="2"/>
    <x v="2"/>
    <n v="321.20999999999998"/>
    <n v="8"/>
    <n v="40.151249999999997"/>
    <x v="0"/>
  </r>
  <r>
    <s v="T612502"/>
    <s v="C2170"/>
    <d v="2025-04-13T00:00:00"/>
    <x v="0"/>
    <x v="2"/>
    <x v="0"/>
    <m/>
    <n v="6"/>
    <m/>
    <x v="3"/>
  </r>
  <r>
    <s v="T271671"/>
    <s v="C5608"/>
    <d v="2024-08-06T00:00:00"/>
    <x v="2"/>
    <x v="2"/>
    <x v="1"/>
    <n v="439.57"/>
    <n v="2"/>
    <n v="219.785"/>
    <x v="0"/>
  </r>
  <r>
    <s v="T552126"/>
    <s v="C3038"/>
    <d v="2023-09-26T00:00:00"/>
    <x v="1"/>
    <x v="0"/>
    <x v="1"/>
    <n v="1167.8800000000001"/>
    <n v="1"/>
    <n v="1167.8800000000001"/>
    <x v="2"/>
  </r>
  <r>
    <s v="T892379"/>
    <s v="C5231"/>
    <d v="2024-11-28T00:00:00"/>
    <x v="2"/>
    <x v="1"/>
    <x v="0"/>
    <n v="1569.17"/>
    <n v="6"/>
    <n v="261.52833333333336"/>
    <x v="0"/>
  </r>
  <r>
    <s v="T977087"/>
    <s v="C2253"/>
    <d v="2025-10-16T00:00:00"/>
    <x v="0"/>
    <x v="3"/>
    <x v="1"/>
    <n v="43.33"/>
    <n v="2"/>
    <n v="21.664999999999999"/>
    <x v="1"/>
  </r>
  <r>
    <s v="T624685"/>
    <s v="C5010"/>
    <d v="2024-04-04T00:00:00"/>
    <x v="2"/>
    <x v="0"/>
    <x v="1"/>
    <n v="1807.32"/>
    <n v="2"/>
    <n v="903.66"/>
    <x v="4"/>
  </r>
  <r>
    <s v="T937044"/>
    <s v="C8683"/>
    <d v="2023-07-11T00:00:00"/>
    <x v="1"/>
    <x v="1"/>
    <x v="2"/>
    <n v="1973.62"/>
    <n v="4"/>
    <n v="493.40499999999997"/>
    <x v="2"/>
  </r>
  <r>
    <s v="T612388"/>
    <s v="C7485"/>
    <d v="2024-05-26T00:00:00"/>
    <x v="2"/>
    <x v="3"/>
    <x v="3"/>
    <n v="1412.02"/>
    <n v="9"/>
    <n v="156.89111111111112"/>
    <x v="4"/>
  </r>
  <r>
    <s v="T492654"/>
    <s v="C5489"/>
    <d v="2023-10-07T00:00:00"/>
    <x v="1"/>
    <x v="3"/>
    <x v="2"/>
    <n v="755.43"/>
    <n v="1"/>
    <n v="755.43"/>
    <x v="1"/>
  </r>
  <r>
    <s v="T825803"/>
    <s v="C6051"/>
    <d v="2022-11-25T00:00:00"/>
    <x v="3"/>
    <x v="2"/>
    <x v="0"/>
    <n v="1433.78"/>
    <n v="6"/>
    <n v="238.96333333333334"/>
    <x v="4"/>
  </r>
  <r>
    <s v="T520741"/>
    <s v="C5628"/>
    <d v="2025-10-19T00:00:00"/>
    <x v="0"/>
    <x v="1"/>
    <x v="3"/>
    <m/>
    <n v="3"/>
    <m/>
    <x v="0"/>
  </r>
  <r>
    <s v="T451287"/>
    <s v="C6104"/>
    <d v="2025-06-17T00:00:00"/>
    <x v="0"/>
    <x v="2"/>
    <x v="1"/>
    <n v="360.04"/>
    <n v="7"/>
    <n v="51.434285714285714"/>
    <x v="4"/>
  </r>
  <r>
    <s v="T303071"/>
    <s v="C1574"/>
    <d v="2024-07-15T00:00:00"/>
    <x v="2"/>
    <x v="3"/>
    <x v="2"/>
    <m/>
    <n v="2"/>
    <m/>
    <x v="3"/>
  </r>
  <r>
    <s v="T299427"/>
    <s v="C9417"/>
    <d v="2024-12-31T00:00:00"/>
    <x v="2"/>
    <x v="1"/>
    <x v="3"/>
    <n v="1151.18"/>
    <n v="5"/>
    <n v="230.23600000000002"/>
    <x v="0"/>
  </r>
  <r>
    <s v="T124481"/>
    <s v="C3140"/>
    <d v="2025-03-04T00:00:00"/>
    <x v="0"/>
    <x v="3"/>
    <x v="1"/>
    <n v="887.76"/>
    <n v="2"/>
    <n v="443.88"/>
    <x v="1"/>
  </r>
  <r>
    <s v="T841520"/>
    <s v="C5040"/>
    <d v="2024-09-26T00:00:00"/>
    <x v="2"/>
    <x v="0"/>
    <x v="1"/>
    <n v="14.77"/>
    <n v="3"/>
    <n v="4.9233333333333329"/>
    <x v="3"/>
  </r>
  <r>
    <s v="T910558"/>
    <s v="C2570"/>
    <d v="2024-03-10T00:00:00"/>
    <x v="2"/>
    <x v="2"/>
    <x v="3"/>
    <n v="1619.75"/>
    <n v="8"/>
    <n v="202.46875"/>
    <x v="4"/>
  </r>
  <r>
    <s v="T865832"/>
    <s v="C5934"/>
    <d v="2024-10-17T00:00:00"/>
    <x v="2"/>
    <x v="1"/>
    <x v="1"/>
    <n v="1357.16"/>
    <n v="6"/>
    <n v="226.19333333333336"/>
    <x v="2"/>
  </r>
  <r>
    <s v="T177546"/>
    <s v="C5731"/>
    <d v="2023-08-12T00:00:00"/>
    <x v="1"/>
    <x v="1"/>
    <x v="1"/>
    <n v="992.06"/>
    <n v="2"/>
    <n v="496.03"/>
    <x v="0"/>
  </r>
  <r>
    <s v="T737445"/>
    <s v="C5600"/>
    <d v="2023-04-04T00:00:00"/>
    <x v="1"/>
    <x v="1"/>
    <x v="3"/>
    <n v="249.44"/>
    <n v="9"/>
    <n v="27.715555555555554"/>
    <x v="1"/>
  </r>
  <r>
    <s v="T745802"/>
    <s v="C8288"/>
    <d v="2024-01-20T00:00:00"/>
    <x v="2"/>
    <x v="1"/>
    <x v="0"/>
    <n v="564.28"/>
    <m/>
    <m/>
    <x v="0"/>
  </r>
  <r>
    <s v="T871864"/>
    <s v="C6642"/>
    <d v="2023-02-01T00:00:00"/>
    <x v="1"/>
    <x v="0"/>
    <x v="2"/>
    <n v="1543.21"/>
    <n v="7"/>
    <n v="220.45857142857145"/>
    <x v="2"/>
  </r>
  <r>
    <s v="T506217"/>
    <s v="C6796"/>
    <d v="2024-07-20T00:00:00"/>
    <x v="2"/>
    <x v="1"/>
    <x v="1"/>
    <n v="96.56"/>
    <n v="7"/>
    <n v="13.794285714285715"/>
    <x v="4"/>
  </r>
  <r>
    <s v="T168047"/>
    <s v="C8182"/>
    <d v="2025-08-22T00:00:00"/>
    <x v="0"/>
    <x v="3"/>
    <x v="2"/>
    <n v="1222.98"/>
    <n v="10"/>
    <n v="122.298"/>
    <x v="0"/>
  </r>
  <r>
    <s v="T114988"/>
    <s v="C4841"/>
    <d v="2025-09-21T00:00:00"/>
    <x v="0"/>
    <x v="3"/>
    <x v="3"/>
    <m/>
    <n v="3"/>
    <m/>
    <x v="0"/>
  </r>
  <r>
    <s v="T532804"/>
    <s v="C8827"/>
    <d v="2024-05-31T00:00:00"/>
    <x v="2"/>
    <x v="1"/>
    <x v="1"/>
    <n v="1455.73"/>
    <m/>
    <m/>
    <x v="3"/>
  </r>
  <r>
    <s v="T688229"/>
    <s v="C5343"/>
    <d v="2025-03-02T00:00:00"/>
    <x v="0"/>
    <x v="1"/>
    <x v="1"/>
    <n v="1634.93"/>
    <n v="2"/>
    <n v="817.46500000000003"/>
    <x v="3"/>
  </r>
  <r>
    <s v="T936300"/>
    <s v="C3126"/>
    <d v="2024-10-03T00:00:00"/>
    <x v="2"/>
    <x v="3"/>
    <x v="2"/>
    <n v="1045.33"/>
    <n v="9"/>
    <n v="116.14777777777778"/>
    <x v="2"/>
  </r>
  <r>
    <s v="T876716"/>
    <s v="C9677"/>
    <d v="2022-12-18T00:00:00"/>
    <x v="3"/>
    <x v="1"/>
    <x v="0"/>
    <n v="488.09"/>
    <n v="8"/>
    <n v="61.011249999999997"/>
    <x v="4"/>
  </r>
  <r>
    <s v="T168162"/>
    <s v="C7023"/>
    <d v="2023-06-03T00:00:00"/>
    <x v="1"/>
    <x v="1"/>
    <x v="3"/>
    <n v="651.55999999999995"/>
    <n v="3"/>
    <n v="217.18666666666664"/>
    <x v="4"/>
  </r>
  <r>
    <s v="T457610"/>
    <s v="C4497"/>
    <d v="2023-12-05T00:00:00"/>
    <x v="1"/>
    <x v="0"/>
    <x v="1"/>
    <m/>
    <n v="8"/>
    <m/>
    <x v="3"/>
  </r>
  <r>
    <s v="T813529"/>
    <s v="C2382"/>
    <d v="2024-03-24T00:00:00"/>
    <x v="2"/>
    <x v="0"/>
    <x v="0"/>
    <m/>
    <n v="8"/>
    <m/>
    <x v="4"/>
  </r>
  <r>
    <s v="T707510"/>
    <s v="C6285"/>
    <d v="2024-08-25T00:00:00"/>
    <x v="2"/>
    <x v="1"/>
    <x v="1"/>
    <n v="349.79"/>
    <n v="1"/>
    <n v="349.79"/>
    <x v="4"/>
  </r>
  <r>
    <s v="T754761"/>
    <s v="C8134"/>
    <d v="2024-11-06T00:00:00"/>
    <x v="2"/>
    <x v="3"/>
    <x v="1"/>
    <n v="1017.42"/>
    <n v="4"/>
    <n v="254.35499999999999"/>
    <x v="3"/>
  </r>
  <r>
    <s v="T400108"/>
    <s v="C8533"/>
    <d v="2025-02-03T00:00:00"/>
    <x v="0"/>
    <x v="2"/>
    <x v="2"/>
    <n v="801.28"/>
    <n v="8"/>
    <n v="100.16"/>
    <x v="4"/>
  </r>
  <r>
    <s v="T819047"/>
    <s v="C7347"/>
    <d v="2025-02-10T00:00:00"/>
    <x v="0"/>
    <x v="3"/>
    <x v="2"/>
    <n v="399.12"/>
    <m/>
    <m/>
    <x v="1"/>
  </r>
  <r>
    <s v="T141162"/>
    <s v="C6448"/>
    <d v="2023-01-17T00:00:00"/>
    <x v="1"/>
    <x v="1"/>
    <x v="2"/>
    <n v="175.99"/>
    <n v="4"/>
    <n v="43.997500000000002"/>
    <x v="2"/>
  </r>
  <r>
    <s v="T360823"/>
    <s v="C8225"/>
    <d v="2024-08-23T00:00:00"/>
    <x v="2"/>
    <x v="1"/>
    <x v="2"/>
    <n v="920.8"/>
    <n v="10"/>
    <n v="92.08"/>
    <x v="1"/>
  </r>
  <r>
    <s v="T223587"/>
    <s v="C8621"/>
    <d v="2022-11-09T00:00:00"/>
    <x v="3"/>
    <x v="2"/>
    <x v="0"/>
    <n v="1954.71"/>
    <n v="2"/>
    <n v="977.35500000000002"/>
    <x v="3"/>
  </r>
  <r>
    <s v="T976000"/>
    <s v="C3647"/>
    <d v="2025-09-07T00:00:00"/>
    <x v="0"/>
    <x v="1"/>
    <x v="3"/>
    <n v="264.04000000000002"/>
    <n v="2"/>
    <n v="132.02000000000001"/>
    <x v="4"/>
  </r>
  <r>
    <s v="T432936"/>
    <s v="C1495"/>
    <d v="2025-04-05T00:00:00"/>
    <x v="0"/>
    <x v="0"/>
    <x v="0"/>
    <n v="1776.91"/>
    <m/>
    <m/>
    <x v="4"/>
  </r>
  <r>
    <s v="T169580"/>
    <s v="C7520"/>
    <d v="2023-06-01T00:00:00"/>
    <x v="1"/>
    <x v="2"/>
    <x v="1"/>
    <n v="1439.16"/>
    <n v="5"/>
    <n v="287.83199999999999"/>
    <x v="0"/>
  </r>
  <r>
    <s v="T785296"/>
    <s v="C6062"/>
    <d v="2024-08-23T00:00:00"/>
    <x v="2"/>
    <x v="3"/>
    <x v="1"/>
    <n v="1903.83"/>
    <n v="3"/>
    <n v="634.61"/>
    <x v="4"/>
  </r>
  <r>
    <s v="T315146"/>
    <s v="C9875"/>
    <d v="2024-07-19T00:00:00"/>
    <x v="2"/>
    <x v="1"/>
    <x v="2"/>
    <n v="1324.9"/>
    <n v="5"/>
    <n v="264.98"/>
    <x v="1"/>
  </r>
  <r>
    <s v="T141698"/>
    <s v="C5213"/>
    <d v="2024-12-24T00:00:00"/>
    <x v="2"/>
    <x v="2"/>
    <x v="2"/>
    <n v="1502.76"/>
    <n v="5"/>
    <n v="300.55200000000002"/>
    <x v="3"/>
  </r>
  <r>
    <s v="T490715"/>
    <s v="C5009"/>
    <d v="2025-07-31T00:00:00"/>
    <x v="0"/>
    <x v="2"/>
    <x v="0"/>
    <n v="1634.51"/>
    <n v="4"/>
    <n v="408.6275"/>
    <x v="4"/>
  </r>
  <r>
    <s v="T122946"/>
    <s v="C9911"/>
    <d v="2022-11-03T00:00:00"/>
    <x v="3"/>
    <x v="3"/>
    <x v="3"/>
    <n v="493.68"/>
    <m/>
    <m/>
    <x v="2"/>
  </r>
  <r>
    <s v="T134322"/>
    <s v="C6573"/>
    <d v="2023-04-07T00:00:00"/>
    <x v="1"/>
    <x v="0"/>
    <x v="1"/>
    <n v="1744.46"/>
    <n v="6"/>
    <n v="290.74333333333334"/>
    <x v="2"/>
  </r>
  <r>
    <s v="T304536"/>
    <s v="C8671"/>
    <d v="2025-06-02T00:00:00"/>
    <x v="0"/>
    <x v="2"/>
    <x v="2"/>
    <n v="395.28"/>
    <n v="3"/>
    <n v="131.76"/>
    <x v="0"/>
  </r>
  <r>
    <s v="T794129"/>
    <s v="C4202"/>
    <d v="2023-02-17T00:00:00"/>
    <x v="1"/>
    <x v="1"/>
    <x v="1"/>
    <n v="574.44000000000005"/>
    <n v="8"/>
    <n v="71.805000000000007"/>
    <x v="1"/>
  </r>
  <r>
    <s v="T970010"/>
    <s v="C7119"/>
    <d v="2024-10-06T00:00:00"/>
    <x v="2"/>
    <x v="3"/>
    <x v="2"/>
    <n v="62.78"/>
    <n v="2"/>
    <n v="31.39"/>
    <x v="1"/>
  </r>
  <r>
    <s v="T603312"/>
    <s v="C2877"/>
    <d v="2024-04-20T00:00:00"/>
    <x v="2"/>
    <x v="0"/>
    <x v="1"/>
    <n v="331.76"/>
    <n v="2"/>
    <n v="165.88"/>
    <x v="0"/>
  </r>
  <r>
    <s v="T243482"/>
    <s v="C7560"/>
    <d v="2023-05-10T00:00:00"/>
    <x v="1"/>
    <x v="1"/>
    <x v="3"/>
    <n v="1199.3599999999999"/>
    <n v="3"/>
    <n v="399.78666666666663"/>
    <x v="0"/>
  </r>
  <r>
    <s v="T456105"/>
    <s v="C4972"/>
    <d v="2025-02-20T00:00:00"/>
    <x v="0"/>
    <x v="3"/>
    <x v="2"/>
    <n v="629.54"/>
    <n v="8"/>
    <n v="78.692499999999995"/>
    <x v="1"/>
  </r>
  <r>
    <s v="T539474"/>
    <s v="C5835"/>
    <d v="2024-11-05T00:00:00"/>
    <x v="2"/>
    <x v="2"/>
    <x v="1"/>
    <n v="1131.1400000000001"/>
    <n v="6"/>
    <n v="188.52333333333334"/>
    <x v="2"/>
  </r>
  <r>
    <s v="T736105"/>
    <s v="C1374"/>
    <d v="2024-09-08T00:00:00"/>
    <x v="2"/>
    <x v="1"/>
    <x v="2"/>
    <n v="1896.62"/>
    <n v="4"/>
    <n v="474.15499999999997"/>
    <x v="3"/>
  </r>
  <r>
    <s v="T138831"/>
    <s v="C9198"/>
    <d v="2025-07-20T00:00:00"/>
    <x v="0"/>
    <x v="0"/>
    <x v="1"/>
    <n v="672.47"/>
    <n v="1"/>
    <n v="672.47"/>
    <x v="4"/>
  </r>
  <r>
    <s v="T971136"/>
    <s v="C5760"/>
    <d v="2023-11-28T00:00:00"/>
    <x v="1"/>
    <x v="2"/>
    <x v="3"/>
    <n v="330.47"/>
    <n v="2"/>
    <n v="165.23500000000001"/>
    <x v="2"/>
  </r>
  <r>
    <s v="T158059"/>
    <s v="C5286"/>
    <d v="2024-09-20T00:00:00"/>
    <x v="2"/>
    <x v="0"/>
    <x v="1"/>
    <n v="1724.76"/>
    <n v="9"/>
    <n v="191.64"/>
    <x v="0"/>
  </r>
  <r>
    <s v="T708954"/>
    <s v="C3662"/>
    <d v="2023-12-02T00:00:00"/>
    <x v="1"/>
    <x v="3"/>
    <x v="3"/>
    <n v="1869.56"/>
    <n v="5"/>
    <n v="373.91199999999998"/>
    <x v="0"/>
  </r>
  <r>
    <s v="T946268"/>
    <s v="C6821"/>
    <d v="2023-09-03T00:00:00"/>
    <x v="1"/>
    <x v="3"/>
    <x v="2"/>
    <n v="1910.65"/>
    <n v="2"/>
    <n v="955.32500000000005"/>
    <x v="0"/>
  </r>
  <r>
    <s v="T446153"/>
    <s v="C2127"/>
    <d v="2023-01-25T00:00:00"/>
    <x v="1"/>
    <x v="3"/>
    <x v="1"/>
    <n v="1466.22"/>
    <n v="3"/>
    <n v="488.74"/>
    <x v="0"/>
  </r>
  <r>
    <s v="T452587"/>
    <s v="C8744"/>
    <d v="2024-04-25T00:00:00"/>
    <x v="2"/>
    <x v="2"/>
    <x v="2"/>
    <n v="810.97"/>
    <n v="1"/>
    <n v="810.97"/>
    <x v="4"/>
  </r>
  <r>
    <s v="T862377"/>
    <s v="C8077"/>
    <d v="2023-06-18T00:00:00"/>
    <x v="1"/>
    <x v="3"/>
    <x v="1"/>
    <n v="1156.4100000000001"/>
    <n v="8"/>
    <n v="144.55125000000001"/>
    <x v="3"/>
  </r>
  <r>
    <s v="T124350"/>
    <s v="C3381"/>
    <d v="2024-10-07T00:00:00"/>
    <x v="2"/>
    <x v="1"/>
    <x v="3"/>
    <n v="1702.17"/>
    <n v="7"/>
    <n v="243.16714285714286"/>
    <x v="1"/>
  </r>
  <r>
    <s v="T687837"/>
    <s v="C4032"/>
    <d v="2023-01-19T00:00:00"/>
    <x v="1"/>
    <x v="2"/>
    <x v="1"/>
    <n v="1069.8699999999999"/>
    <n v="10"/>
    <n v="106.98699999999999"/>
    <x v="3"/>
  </r>
  <r>
    <s v="T714869"/>
    <s v="C7351"/>
    <d v="2025-07-27T00:00:00"/>
    <x v="0"/>
    <x v="3"/>
    <x v="2"/>
    <n v="1961.31"/>
    <n v="7"/>
    <n v="280.18714285714287"/>
    <x v="0"/>
  </r>
  <r>
    <s v="T720994"/>
    <s v="C8693"/>
    <d v="2024-06-02T00:00:00"/>
    <x v="2"/>
    <x v="1"/>
    <x v="0"/>
    <n v="204.24"/>
    <n v="7"/>
    <n v="29.177142857142858"/>
    <x v="2"/>
  </r>
  <r>
    <s v="T140834"/>
    <s v="C7389"/>
    <d v="2024-03-08T00:00:00"/>
    <x v="2"/>
    <x v="0"/>
    <x v="3"/>
    <n v="1749.27"/>
    <n v="8"/>
    <n v="218.65875"/>
    <x v="1"/>
  </r>
  <r>
    <s v="T627868"/>
    <s v="C2803"/>
    <d v="2022-12-31T00:00:00"/>
    <x v="3"/>
    <x v="3"/>
    <x v="3"/>
    <n v="716.31"/>
    <n v="8"/>
    <n v="89.538749999999993"/>
    <x v="2"/>
  </r>
  <r>
    <s v="T121188"/>
    <s v="C5216"/>
    <d v="2023-12-26T00:00:00"/>
    <x v="1"/>
    <x v="0"/>
    <x v="1"/>
    <n v="927.83"/>
    <n v="4"/>
    <n v="231.95750000000001"/>
    <x v="1"/>
  </r>
  <r>
    <s v="T654177"/>
    <s v="C1622"/>
    <d v="2023-10-07T00:00:00"/>
    <x v="1"/>
    <x v="3"/>
    <x v="1"/>
    <n v="1508.91"/>
    <n v="10"/>
    <n v="150.89100000000002"/>
    <x v="1"/>
  </r>
  <r>
    <s v="T709896"/>
    <s v="C4941"/>
    <d v="2024-07-13T00:00:00"/>
    <x v="2"/>
    <x v="1"/>
    <x v="0"/>
    <n v="408.61"/>
    <n v="10"/>
    <n v="40.861000000000004"/>
    <x v="3"/>
  </r>
  <r>
    <s v="T504570"/>
    <s v="C8032"/>
    <d v="2023-03-18T00:00:00"/>
    <x v="1"/>
    <x v="2"/>
    <x v="1"/>
    <n v="1837.13"/>
    <n v="1"/>
    <n v="1837.13"/>
    <x v="4"/>
  </r>
  <r>
    <s v="T473403"/>
    <s v="C3627"/>
    <d v="2024-03-01T00:00:00"/>
    <x v="2"/>
    <x v="2"/>
    <x v="1"/>
    <n v="1350.62"/>
    <n v="3"/>
    <n v="450.20666666666665"/>
    <x v="1"/>
  </r>
  <r>
    <s v="T732225"/>
    <s v="C9684"/>
    <d v="2023-10-30T00:00:00"/>
    <x v="1"/>
    <x v="2"/>
    <x v="2"/>
    <m/>
    <n v="1"/>
    <m/>
    <x v="3"/>
  </r>
  <r>
    <s v="T195016"/>
    <s v="C6046"/>
    <d v="2025-02-14T00:00:00"/>
    <x v="0"/>
    <x v="0"/>
    <x v="1"/>
    <n v="1168.3599999999999"/>
    <n v="9"/>
    <n v="129.81777777777776"/>
    <x v="3"/>
  </r>
  <r>
    <s v="T504635"/>
    <s v="C8511"/>
    <d v="2025-06-05T00:00:00"/>
    <x v="0"/>
    <x v="2"/>
    <x v="3"/>
    <n v="775.06"/>
    <n v="2"/>
    <n v="387.53"/>
    <x v="1"/>
  </r>
  <r>
    <s v="T522100"/>
    <s v="C9610"/>
    <d v="2023-07-19T00:00:00"/>
    <x v="1"/>
    <x v="2"/>
    <x v="0"/>
    <n v="576.52"/>
    <n v="6"/>
    <n v="96.086666666666659"/>
    <x v="0"/>
  </r>
  <r>
    <s v="T355742"/>
    <s v="C4525"/>
    <d v="2024-01-30T00:00:00"/>
    <x v="2"/>
    <x v="3"/>
    <x v="3"/>
    <n v="261.39"/>
    <n v="5"/>
    <n v="52.277999999999999"/>
    <x v="3"/>
  </r>
  <r>
    <s v="T223392"/>
    <s v="C7500"/>
    <d v="2023-12-31T00:00:00"/>
    <x v="1"/>
    <x v="2"/>
    <x v="2"/>
    <n v="413.15"/>
    <m/>
    <m/>
    <x v="1"/>
  </r>
  <r>
    <s v="T870113"/>
    <s v="C4294"/>
    <d v="2024-07-15T00:00:00"/>
    <x v="2"/>
    <x v="1"/>
    <x v="0"/>
    <n v="567.57000000000005"/>
    <n v="9"/>
    <n v="63.06333333333334"/>
    <x v="0"/>
  </r>
  <r>
    <s v="T704000"/>
    <s v="C3474"/>
    <d v="2025-08-10T00:00:00"/>
    <x v="0"/>
    <x v="0"/>
    <x v="1"/>
    <n v="250.33"/>
    <n v="6"/>
    <n v="41.721666666666671"/>
    <x v="2"/>
  </r>
  <r>
    <s v="T232904"/>
    <s v="C4291"/>
    <d v="2024-09-27T00:00:00"/>
    <x v="2"/>
    <x v="1"/>
    <x v="3"/>
    <n v="1331.48"/>
    <n v="1"/>
    <n v="1331.48"/>
    <x v="3"/>
  </r>
  <r>
    <s v="T689716"/>
    <s v="C5437"/>
    <d v="2023-10-19T00:00:00"/>
    <x v="1"/>
    <x v="0"/>
    <x v="2"/>
    <n v="434.97"/>
    <n v="4"/>
    <n v="108.74250000000001"/>
    <x v="1"/>
  </r>
  <r>
    <s v="T614345"/>
    <s v="C8057"/>
    <d v="2023-04-09T00:00:00"/>
    <x v="1"/>
    <x v="3"/>
    <x v="3"/>
    <n v="1542.94"/>
    <n v="2"/>
    <n v="771.47"/>
    <x v="2"/>
  </r>
  <r>
    <s v="T116568"/>
    <s v="C4388"/>
    <d v="2024-03-11T00:00:00"/>
    <x v="2"/>
    <x v="0"/>
    <x v="3"/>
    <n v="446.95"/>
    <m/>
    <m/>
    <x v="4"/>
  </r>
  <r>
    <s v="T740279"/>
    <s v="C7982"/>
    <d v="2025-10-17T00:00:00"/>
    <x v="0"/>
    <x v="3"/>
    <x v="2"/>
    <n v="1774.26"/>
    <n v="8"/>
    <n v="221.7825"/>
    <x v="2"/>
  </r>
  <r>
    <s v="T584019"/>
    <s v="C2632"/>
    <d v="2023-02-13T00:00:00"/>
    <x v="1"/>
    <x v="0"/>
    <x v="1"/>
    <n v="1735.29"/>
    <n v="9"/>
    <n v="192.81"/>
    <x v="3"/>
  </r>
  <r>
    <s v="T823457"/>
    <s v="C2559"/>
    <d v="2024-02-13T00:00:00"/>
    <x v="2"/>
    <x v="3"/>
    <x v="1"/>
    <n v="1064.6500000000001"/>
    <n v="4"/>
    <n v="266.16250000000002"/>
    <x v="1"/>
  </r>
  <r>
    <s v="T673656"/>
    <s v="C8059"/>
    <d v="2022-10-27T00:00:00"/>
    <x v="3"/>
    <x v="2"/>
    <x v="2"/>
    <n v="556.15"/>
    <n v="6"/>
    <n v="92.691666666666663"/>
    <x v="4"/>
  </r>
  <r>
    <s v="T462250"/>
    <s v="C2353"/>
    <d v="2022-11-13T00:00:00"/>
    <x v="3"/>
    <x v="0"/>
    <x v="1"/>
    <n v="1852.85"/>
    <n v="8"/>
    <n v="231.60624999999999"/>
    <x v="2"/>
  </r>
  <r>
    <s v="T743593"/>
    <s v="C1362"/>
    <d v="2024-11-29T00:00:00"/>
    <x v="2"/>
    <x v="1"/>
    <x v="3"/>
    <n v="247.56"/>
    <n v="9"/>
    <n v="27.506666666666668"/>
    <x v="4"/>
  </r>
  <r>
    <s v="T115005"/>
    <s v="C4754"/>
    <d v="2023-07-09T00:00:00"/>
    <x v="1"/>
    <x v="2"/>
    <x v="0"/>
    <n v="1388.66"/>
    <n v="2"/>
    <n v="694.33"/>
    <x v="1"/>
  </r>
  <r>
    <s v="T859255"/>
    <s v="C7664"/>
    <d v="2025-02-27T00:00:00"/>
    <x v="0"/>
    <x v="2"/>
    <x v="3"/>
    <n v="435.35"/>
    <n v="2"/>
    <n v="217.67500000000001"/>
    <x v="2"/>
  </r>
  <r>
    <s v="T661180"/>
    <s v="C1752"/>
    <d v="2023-09-13T00:00:00"/>
    <x v="1"/>
    <x v="1"/>
    <x v="3"/>
    <n v="889.67"/>
    <n v="2"/>
    <n v="444.83499999999998"/>
    <x v="3"/>
  </r>
  <r>
    <s v="T917889"/>
    <s v="C1159"/>
    <d v="2024-01-13T00:00:00"/>
    <x v="2"/>
    <x v="3"/>
    <x v="2"/>
    <m/>
    <n v="4"/>
    <m/>
    <x v="1"/>
  </r>
  <r>
    <s v="T565802"/>
    <s v="C9775"/>
    <d v="2023-03-06T00:00:00"/>
    <x v="1"/>
    <x v="1"/>
    <x v="1"/>
    <n v="264.35000000000002"/>
    <n v="1"/>
    <n v="264.35000000000002"/>
    <x v="2"/>
  </r>
  <r>
    <s v="T771321"/>
    <s v="C8743"/>
    <d v="2024-02-13T00:00:00"/>
    <x v="2"/>
    <x v="2"/>
    <x v="2"/>
    <n v="1777.15"/>
    <n v="6"/>
    <n v="296.19166666666666"/>
    <x v="1"/>
  </r>
  <r>
    <s v="T839380"/>
    <s v="C9125"/>
    <d v="2023-08-24T00:00:00"/>
    <x v="1"/>
    <x v="1"/>
    <x v="1"/>
    <n v="1854.35"/>
    <n v="2"/>
    <n v="927.17499999999995"/>
    <x v="2"/>
  </r>
  <r>
    <s v="T413605"/>
    <s v="C1729"/>
    <d v="2024-07-24T00:00:00"/>
    <x v="2"/>
    <x v="2"/>
    <x v="2"/>
    <n v="1882.97"/>
    <n v="6"/>
    <n v="313.82833333333332"/>
    <x v="3"/>
  </r>
  <r>
    <s v="T808139"/>
    <s v="C9358"/>
    <d v="2024-01-19T00:00:00"/>
    <x v="2"/>
    <x v="3"/>
    <x v="2"/>
    <n v="1595.4"/>
    <n v="10"/>
    <n v="159.54000000000002"/>
    <x v="3"/>
  </r>
  <r>
    <s v="T242522"/>
    <s v="C4173"/>
    <d v="2024-12-05T00:00:00"/>
    <x v="2"/>
    <x v="0"/>
    <x v="0"/>
    <n v="1893.17"/>
    <n v="7"/>
    <n v="270.45285714285717"/>
    <x v="2"/>
  </r>
  <r>
    <s v="T114127"/>
    <s v="C8930"/>
    <d v="2024-02-18T00:00:00"/>
    <x v="2"/>
    <x v="2"/>
    <x v="0"/>
    <n v="529.82000000000005"/>
    <n v="7"/>
    <n v="75.688571428571436"/>
    <x v="0"/>
  </r>
  <r>
    <s v="T516811"/>
    <s v="C2586"/>
    <d v="2025-04-19T00:00:00"/>
    <x v="0"/>
    <x v="3"/>
    <x v="1"/>
    <n v="634.49"/>
    <n v="8"/>
    <n v="79.311250000000001"/>
    <x v="4"/>
  </r>
  <r>
    <s v="T895920"/>
    <s v="C8853"/>
    <d v="2024-03-10T00:00:00"/>
    <x v="2"/>
    <x v="3"/>
    <x v="1"/>
    <n v="1998.45"/>
    <n v="6"/>
    <n v="333.07499999999999"/>
    <x v="4"/>
  </r>
  <r>
    <s v="T234390"/>
    <s v="C7709"/>
    <d v="2023-01-13T00:00:00"/>
    <x v="1"/>
    <x v="3"/>
    <x v="1"/>
    <m/>
    <n v="3"/>
    <m/>
    <x v="4"/>
  </r>
  <r>
    <s v="T371909"/>
    <s v="C5160"/>
    <d v="2023-08-07T00:00:00"/>
    <x v="1"/>
    <x v="1"/>
    <x v="1"/>
    <n v="1079.8399999999999"/>
    <n v="1"/>
    <n v="1079.8399999999999"/>
    <x v="4"/>
  </r>
  <r>
    <s v="T367535"/>
    <s v="C4325"/>
    <d v="2025-04-01T00:00:00"/>
    <x v="0"/>
    <x v="2"/>
    <x v="2"/>
    <n v="237.63"/>
    <n v="3"/>
    <n v="79.209999999999994"/>
    <x v="0"/>
  </r>
  <r>
    <s v="T186296"/>
    <s v="C1541"/>
    <d v="2025-10-13T00:00:00"/>
    <x v="0"/>
    <x v="1"/>
    <x v="0"/>
    <n v="1469.82"/>
    <n v="4"/>
    <n v="367.45499999999998"/>
    <x v="4"/>
  </r>
  <r>
    <s v="T311957"/>
    <s v="C1677"/>
    <d v="2023-06-26T00:00:00"/>
    <x v="1"/>
    <x v="2"/>
    <x v="3"/>
    <n v="1853.66"/>
    <n v="3"/>
    <n v="617.88666666666666"/>
    <x v="4"/>
  </r>
  <r>
    <s v="T490380"/>
    <s v="C2999"/>
    <d v="2023-03-11T00:00:00"/>
    <x v="1"/>
    <x v="1"/>
    <x v="3"/>
    <n v="415.87"/>
    <n v="6"/>
    <n v="69.311666666666667"/>
    <x v="3"/>
  </r>
  <r>
    <s v="T114268"/>
    <s v="C8591"/>
    <d v="2024-06-10T00:00:00"/>
    <x v="2"/>
    <x v="3"/>
    <x v="2"/>
    <n v="465.9"/>
    <n v="3"/>
    <n v="155.29999999999998"/>
    <x v="4"/>
  </r>
  <r>
    <s v="T420353"/>
    <s v="C5561"/>
    <d v="2025-06-13T00:00:00"/>
    <x v="0"/>
    <x v="1"/>
    <x v="0"/>
    <n v="1097.92"/>
    <n v="5"/>
    <n v="219.584"/>
    <x v="3"/>
  </r>
  <r>
    <s v="T601569"/>
    <s v="C4785"/>
    <d v="2024-07-30T00:00:00"/>
    <x v="2"/>
    <x v="1"/>
    <x v="1"/>
    <m/>
    <n v="6"/>
    <m/>
    <x v="4"/>
  </r>
  <r>
    <s v="T263829"/>
    <s v="C8160"/>
    <d v="2025-02-27T00:00:00"/>
    <x v="0"/>
    <x v="1"/>
    <x v="2"/>
    <n v="372.66"/>
    <n v="5"/>
    <n v="74.532000000000011"/>
    <x v="2"/>
  </r>
  <r>
    <s v="T468862"/>
    <s v="C7839"/>
    <d v="2023-11-12T00:00:00"/>
    <x v="1"/>
    <x v="0"/>
    <x v="0"/>
    <n v="1367.49"/>
    <n v="5"/>
    <n v="273.49799999999999"/>
    <x v="2"/>
  </r>
  <r>
    <s v="T501890"/>
    <s v="C5625"/>
    <d v="2023-12-27T00:00:00"/>
    <x v="1"/>
    <x v="0"/>
    <x v="0"/>
    <n v="718.45"/>
    <n v="2"/>
    <n v="359.22500000000002"/>
    <x v="0"/>
  </r>
  <r>
    <s v="T337538"/>
    <s v="C6911"/>
    <d v="2025-06-15T00:00:00"/>
    <x v="0"/>
    <x v="3"/>
    <x v="0"/>
    <n v="1166.22"/>
    <n v="3"/>
    <n v="388.74"/>
    <x v="1"/>
  </r>
  <r>
    <s v="T923209"/>
    <s v="C9781"/>
    <d v="2024-01-19T00:00:00"/>
    <x v="2"/>
    <x v="2"/>
    <x v="2"/>
    <m/>
    <n v="4"/>
    <m/>
    <x v="1"/>
  </r>
  <r>
    <s v="T828922"/>
    <s v="C6005"/>
    <d v="2022-12-30T00:00:00"/>
    <x v="3"/>
    <x v="0"/>
    <x v="2"/>
    <n v="1892.6"/>
    <n v="9"/>
    <n v="210.28888888888889"/>
    <x v="2"/>
  </r>
  <r>
    <s v="T795880"/>
    <s v="C3122"/>
    <d v="2024-07-05T00:00:00"/>
    <x v="2"/>
    <x v="3"/>
    <x v="2"/>
    <m/>
    <n v="8"/>
    <m/>
    <x v="3"/>
  </r>
  <r>
    <s v="T609618"/>
    <s v="C8608"/>
    <d v="2024-07-14T00:00:00"/>
    <x v="2"/>
    <x v="0"/>
    <x v="1"/>
    <n v="1298.1400000000001"/>
    <n v="1"/>
    <n v="1298.1400000000001"/>
    <x v="3"/>
  </r>
  <r>
    <s v="T680489"/>
    <s v="C1820"/>
    <d v="2024-07-09T00:00:00"/>
    <x v="2"/>
    <x v="3"/>
    <x v="1"/>
    <n v="47.93"/>
    <n v="3"/>
    <n v="15.976666666666667"/>
    <x v="0"/>
  </r>
  <r>
    <s v="T945611"/>
    <s v="C5411"/>
    <d v="2022-11-16T00:00:00"/>
    <x v="3"/>
    <x v="3"/>
    <x v="0"/>
    <n v="757.96"/>
    <n v="10"/>
    <n v="75.796000000000006"/>
    <x v="3"/>
  </r>
  <r>
    <s v="T211807"/>
    <s v="C9334"/>
    <d v="2025-07-28T00:00:00"/>
    <x v="0"/>
    <x v="1"/>
    <x v="1"/>
    <n v="409.59"/>
    <n v="6"/>
    <n v="68.265000000000001"/>
    <x v="0"/>
  </r>
  <r>
    <s v="T613974"/>
    <s v="C1239"/>
    <d v="2025-08-13T00:00:00"/>
    <x v="0"/>
    <x v="1"/>
    <x v="1"/>
    <n v="939.83"/>
    <m/>
    <m/>
    <x v="4"/>
  </r>
  <r>
    <s v="T707129"/>
    <s v="C9604"/>
    <d v="2024-10-15T00:00:00"/>
    <x v="2"/>
    <x v="1"/>
    <x v="1"/>
    <n v="1136.8900000000001"/>
    <n v="3"/>
    <n v="378.96333333333337"/>
    <x v="1"/>
  </r>
  <r>
    <s v="T672017"/>
    <s v="C6539"/>
    <d v="2023-06-07T00:00:00"/>
    <x v="1"/>
    <x v="1"/>
    <x v="0"/>
    <n v="462.9"/>
    <n v="9"/>
    <n v="51.43333333333333"/>
    <x v="4"/>
  </r>
  <r>
    <s v="T946458"/>
    <s v="C2137"/>
    <d v="2025-01-19T00:00:00"/>
    <x v="0"/>
    <x v="1"/>
    <x v="0"/>
    <n v="1169.77"/>
    <n v="2"/>
    <n v="584.88499999999999"/>
    <x v="4"/>
  </r>
  <r>
    <s v="T857231"/>
    <s v="C1625"/>
    <d v="2025-06-15T00:00:00"/>
    <x v="0"/>
    <x v="3"/>
    <x v="2"/>
    <n v="633.51"/>
    <n v="3"/>
    <n v="211.17"/>
    <x v="2"/>
  </r>
  <r>
    <s v="T381830"/>
    <s v="C8006"/>
    <d v="2024-08-28T00:00:00"/>
    <x v="2"/>
    <x v="2"/>
    <x v="2"/>
    <n v="1405.92"/>
    <n v="3"/>
    <n v="468.64000000000004"/>
    <x v="3"/>
  </r>
  <r>
    <s v="T519425"/>
    <s v="C4361"/>
    <d v="2023-12-26T00:00:00"/>
    <x v="1"/>
    <x v="0"/>
    <x v="2"/>
    <n v="1863.46"/>
    <n v="6"/>
    <n v="310.57666666666665"/>
    <x v="0"/>
  </r>
  <r>
    <s v="T355830"/>
    <s v="C4170"/>
    <d v="2023-08-03T00:00:00"/>
    <x v="1"/>
    <x v="2"/>
    <x v="1"/>
    <n v="1170.6199999999999"/>
    <n v="3"/>
    <n v="390.20666666666665"/>
    <x v="3"/>
  </r>
  <r>
    <s v="T620036"/>
    <s v="C2369"/>
    <d v="2022-11-02T00:00:00"/>
    <x v="3"/>
    <x v="2"/>
    <x v="1"/>
    <n v="1561.27"/>
    <m/>
    <m/>
    <x v="1"/>
  </r>
  <r>
    <s v="T578824"/>
    <s v="C3376"/>
    <d v="2024-12-03T00:00:00"/>
    <x v="2"/>
    <x v="1"/>
    <x v="1"/>
    <n v="614.41999999999996"/>
    <n v="7"/>
    <n v="87.77428571428571"/>
    <x v="4"/>
  </r>
  <r>
    <s v="T998743"/>
    <s v="C9490"/>
    <d v="2025-01-10T00:00:00"/>
    <x v="0"/>
    <x v="0"/>
    <x v="2"/>
    <n v="1855.91"/>
    <n v="4"/>
    <n v="463.97750000000002"/>
    <x v="2"/>
  </r>
  <r>
    <s v="T513376"/>
    <s v="C7329"/>
    <d v="2025-04-17T00:00:00"/>
    <x v="0"/>
    <x v="3"/>
    <x v="1"/>
    <n v="1370.63"/>
    <n v="10"/>
    <n v="137.06300000000002"/>
    <x v="0"/>
  </r>
  <r>
    <s v="T372067"/>
    <s v="C5976"/>
    <d v="2024-01-13T00:00:00"/>
    <x v="2"/>
    <x v="0"/>
    <x v="3"/>
    <n v="1913.29"/>
    <n v="4"/>
    <n v="478.32249999999999"/>
    <x v="2"/>
  </r>
  <r>
    <s v="T100217"/>
    <s v="C8740"/>
    <d v="2024-05-31T00:00:00"/>
    <x v="2"/>
    <x v="0"/>
    <x v="2"/>
    <n v="65.69"/>
    <n v="7"/>
    <n v="9.3842857142857135"/>
    <x v="3"/>
  </r>
  <r>
    <s v="T555843"/>
    <s v="C9321"/>
    <d v="2023-09-02T00:00:00"/>
    <x v="1"/>
    <x v="2"/>
    <x v="0"/>
    <n v="425.01"/>
    <n v="9"/>
    <n v="47.223333333333329"/>
    <x v="4"/>
  </r>
  <r>
    <s v="T814832"/>
    <s v="C7588"/>
    <d v="2023-04-15T00:00:00"/>
    <x v="1"/>
    <x v="3"/>
    <x v="1"/>
    <n v="267.89999999999998"/>
    <n v="9"/>
    <n v="29.766666666666666"/>
    <x v="3"/>
  </r>
  <r>
    <s v="T289390"/>
    <s v="C2037"/>
    <d v="2023-11-09T00:00:00"/>
    <x v="1"/>
    <x v="2"/>
    <x v="1"/>
    <n v="1368.14"/>
    <m/>
    <m/>
    <x v="2"/>
  </r>
  <r>
    <s v="T315651"/>
    <s v="C5787"/>
    <d v="2025-10-11T00:00:00"/>
    <x v="0"/>
    <x v="3"/>
    <x v="1"/>
    <n v="1316.57"/>
    <n v="2"/>
    <n v="658.28499999999997"/>
    <x v="2"/>
  </r>
  <r>
    <s v="T157190"/>
    <s v="C2830"/>
    <d v="2024-06-18T00:00:00"/>
    <x v="2"/>
    <x v="1"/>
    <x v="1"/>
    <n v="1044.3599999999999"/>
    <n v="9"/>
    <n v="116.03999999999999"/>
    <x v="1"/>
  </r>
  <r>
    <s v="T510504"/>
    <s v="C9051"/>
    <d v="2023-04-23T00:00:00"/>
    <x v="1"/>
    <x v="0"/>
    <x v="1"/>
    <n v="574.02"/>
    <n v="5"/>
    <n v="114.804"/>
    <x v="4"/>
  </r>
  <r>
    <s v="T530302"/>
    <s v="C8119"/>
    <d v="2024-05-06T00:00:00"/>
    <x v="2"/>
    <x v="3"/>
    <x v="3"/>
    <n v="57.13"/>
    <n v="9"/>
    <n v="6.347777777777778"/>
    <x v="1"/>
  </r>
  <r>
    <s v="T982789"/>
    <s v="C6042"/>
    <d v="2024-01-11T00:00:00"/>
    <x v="2"/>
    <x v="3"/>
    <x v="2"/>
    <n v="1853.99"/>
    <m/>
    <m/>
    <x v="0"/>
  </r>
  <r>
    <s v="T459416"/>
    <s v="C8893"/>
    <d v="2023-02-05T00:00:00"/>
    <x v="1"/>
    <x v="1"/>
    <x v="1"/>
    <n v="356.03"/>
    <m/>
    <m/>
    <x v="4"/>
  </r>
  <r>
    <s v="T947418"/>
    <s v="C7448"/>
    <d v="2024-12-17T00:00:00"/>
    <x v="2"/>
    <x v="3"/>
    <x v="2"/>
    <m/>
    <n v="1"/>
    <m/>
    <x v="0"/>
  </r>
  <r>
    <s v="T539316"/>
    <s v="C8671"/>
    <d v="2024-11-04T00:00:00"/>
    <x v="2"/>
    <x v="1"/>
    <x v="0"/>
    <n v="1315.24"/>
    <n v="4"/>
    <n v="328.81"/>
    <x v="0"/>
  </r>
  <r>
    <s v="T447544"/>
    <s v="C3349"/>
    <d v="2023-01-13T00:00:00"/>
    <x v="1"/>
    <x v="1"/>
    <x v="1"/>
    <n v="1048.72"/>
    <n v="5"/>
    <n v="209.744"/>
    <x v="0"/>
  </r>
  <r>
    <s v="T878392"/>
    <s v="C9563"/>
    <d v="2023-12-29T00:00:00"/>
    <x v="1"/>
    <x v="1"/>
    <x v="2"/>
    <n v="1224.19"/>
    <n v="7"/>
    <n v="174.88428571428571"/>
    <x v="1"/>
  </r>
  <r>
    <s v="T595979"/>
    <s v="C5521"/>
    <d v="2024-03-07T00:00:00"/>
    <x v="2"/>
    <x v="1"/>
    <x v="1"/>
    <n v="408.87"/>
    <n v="4"/>
    <n v="102.2175"/>
    <x v="3"/>
  </r>
  <r>
    <s v="T897334"/>
    <s v="C5632"/>
    <d v="2022-12-03T00:00:00"/>
    <x v="3"/>
    <x v="1"/>
    <x v="1"/>
    <n v="500.28"/>
    <n v="4"/>
    <n v="125.07"/>
    <x v="4"/>
  </r>
  <r>
    <s v="T735020"/>
    <s v="C1060"/>
    <d v="2024-03-25T00:00:00"/>
    <x v="2"/>
    <x v="1"/>
    <x v="3"/>
    <m/>
    <n v="4"/>
    <m/>
    <x v="0"/>
  </r>
  <r>
    <s v="T773337"/>
    <s v="C9385"/>
    <d v="2024-07-28T00:00:00"/>
    <x v="2"/>
    <x v="1"/>
    <x v="2"/>
    <m/>
    <n v="7"/>
    <m/>
    <x v="4"/>
  </r>
  <r>
    <s v="T251574"/>
    <s v="C4941"/>
    <d v="2024-04-17T00:00:00"/>
    <x v="2"/>
    <x v="1"/>
    <x v="2"/>
    <n v="441.75"/>
    <m/>
    <m/>
    <x v="0"/>
  </r>
  <r>
    <s v="T848667"/>
    <s v="C8884"/>
    <d v="2023-07-20T00:00:00"/>
    <x v="1"/>
    <x v="3"/>
    <x v="3"/>
    <n v="1794.84"/>
    <n v="5"/>
    <n v="358.96799999999996"/>
    <x v="0"/>
  </r>
  <r>
    <s v="T313989"/>
    <s v="C5975"/>
    <d v="2025-07-16T00:00:00"/>
    <x v="0"/>
    <x v="2"/>
    <x v="3"/>
    <m/>
    <n v="8"/>
    <m/>
    <x v="2"/>
  </r>
  <r>
    <s v="T505700"/>
    <s v="C8703"/>
    <d v="2025-01-21T00:00:00"/>
    <x v="0"/>
    <x v="0"/>
    <x v="2"/>
    <n v="740.95"/>
    <n v="1"/>
    <n v="740.95"/>
    <x v="2"/>
  </r>
  <r>
    <s v="T911995"/>
    <s v="C2694"/>
    <d v="2025-09-08T00:00:00"/>
    <x v="0"/>
    <x v="2"/>
    <x v="2"/>
    <n v="153.41"/>
    <n v="7"/>
    <n v="21.915714285714284"/>
    <x v="0"/>
  </r>
  <r>
    <s v="T537833"/>
    <s v="C3171"/>
    <d v="2024-01-14T00:00:00"/>
    <x v="2"/>
    <x v="0"/>
    <x v="1"/>
    <n v="325.37"/>
    <n v="3"/>
    <n v="108.45666666666666"/>
    <x v="1"/>
  </r>
  <r>
    <s v="T374247"/>
    <s v="C6336"/>
    <d v="2023-10-12T00:00:00"/>
    <x v="1"/>
    <x v="3"/>
    <x v="2"/>
    <n v="849.49"/>
    <n v="7"/>
    <n v="121.35571428571428"/>
    <x v="2"/>
  </r>
  <r>
    <s v="T362641"/>
    <s v="C3930"/>
    <d v="2024-03-13T00:00:00"/>
    <x v="2"/>
    <x v="3"/>
    <x v="3"/>
    <n v="66.02"/>
    <n v="6"/>
    <n v="11.003333333333332"/>
    <x v="2"/>
  </r>
  <r>
    <s v="T850995"/>
    <s v="C8509"/>
    <d v="2023-02-15T00:00:00"/>
    <x v="1"/>
    <x v="1"/>
    <x v="0"/>
    <n v="25.85"/>
    <n v="1"/>
    <n v="25.85"/>
    <x v="4"/>
  </r>
  <r>
    <s v="T800337"/>
    <s v="C5063"/>
    <d v="2024-01-23T00:00:00"/>
    <x v="2"/>
    <x v="3"/>
    <x v="0"/>
    <n v="1218.8"/>
    <n v="6"/>
    <n v="203.13333333333333"/>
    <x v="3"/>
  </r>
  <r>
    <s v="T258470"/>
    <s v="C2374"/>
    <d v="2023-08-05T00:00:00"/>
    <x v="1"/>
    <x v="0"/>
    <x v="0"/>
    <n v="294.57"/>
    <n v="4"/>
    <n v="73.642499999999998"/>
    <x v="4"/>
  </r>
  <r>
    <s v="T167551"/>
    <s v="C6824"/>
    <d v="2025-10-04T00:00:00"/>
    <x v="0"/>
    <x v="1"/>
    <x v="2"/>
    <n v="719.66"/>
    <n v="4"/>
    <n v="179.91499999999999"/>
    <x v="0"/>
  </r>
  <r>
    <s v="T632691"/>
    <s v="C3956"/>
    <d v="2024-06-13T00:00:00"/>
    <x v="2"/>
    <x v="3"/>
    <x v="2"/>
    <n v="1541.64"/>
    <n v="3"/>
    <n v="513.88"/>
    <x v="0"/>
  </r>
  <r>
    <s v="T435422"/>
    <s v="C8660"/>
    <d v="2023-10-28T00:00:00"/>
    <x v="1"/>
    <x v="2"/>
    <x v="1"/>
    <n v="1799.03"/>
    <n v="5"/>
    <n v="359.80599999999998"/>
    <x v="1"/>
  </r>
  <r>
    <s v="T971151"/>
    <s v="C4940"/>
    <d v="2023-06-23T00:00:00"/>
    <x v="1"/>
    <x v="1"/>
    <x v="1"/>
    <n v="806.24"/>
    <n v="4"/>
    <n v="201.56"/>
    <x v="0"/>
  </r>
  <r>
    <s v="T904624"/>
    <s v="C1226"/>
    <d v="2023-11-30T00:00:00"/>
    <x v="1"/>
    <x v="2"/>
    <x v="2"/>
    <n v="308.39999999999998"/>
    <n v="7"/>
    <n v="44.057142857142857"/>
    <x v="1"/>
  </r>
  <r>
    <s v="T399530"/>
    <s v="C8479"/>
    <d v="2025-01-14T00:00:00"/>
    <x v="0"/>
    <x v="3"/>
    <x v="2"/>
    <n v="344.94"/>
    <m/>
    <m/>
    <x v="2"/>
  </r>
  <r>
    <s v="T951578"/>
    <s v="C9753"/>
    <d v="2023-05-06T00:00:00"/>
    <x v="1"/>
    <x v="1"/>
    <x v="0"/>
    <n v="1750.18"/>
    <n v="9"/>
    <n v="194.46444444444444"/>
    <x v="3"/>
  </r>
  <r>
    <s v="T576006"/>
    <s v="C1228"/>
    <d v="2024-02-08T00:00:00"/>
    <x v="2"/>
    <x v="3"/>
    <x v="2"/>
    <n v="1242.44"/>
    <n v="9"/>
    <n v="138.04888888888888"/>
    <x v="1"/>
  </r>
  <r>
    <s v="T729309"/>
    <s v="C9978"/>
    <d v="2025-08-31T00:00:00"/>
    <x v="0"/>
    <x v="3"/>
    <x v="1"/>
    <n v="1575.82"/>
    <n v="7"/>
    <n v="225.11714285714285"/>
    <x v="3"/>
  </r>
  <r>
    <s v="T173001"/>
    <s v="C9249"/>
    <d v="2024-06-23T00:00:00"/>
    <x v="2"/>
    <x v="3"/>
    <x v="1"/>
    <n v="1532.48"/>
    <n v="4"/>
    <n v="383.12"/>
    <x v="4"/>
  </r>
  <r>
    <s v="T209661"/>
    <s v="C4059"/>
    <d v="2025-05-07T00:00:00"/>
    <x v="0"/>
    <x v="2"/>
    <x v="2"/>
    <m/>
    <n v="2"/>
    <m/>
    <x v="0"/>
  </r>
  <r>
    <s v="T158708"/>
    <s v="C9448"/>
    <d v="2024-09-17T00:00:00"/>
    <x v="2"/>
    <x v="2"/>
    <x v="2"/>
    <n v="1940.24"/>
    <n v="2"/>
    <n v="970.12"/>
    <x v="2"/>
  </r>
  <r>
    <s v="T941568"/>
    <s v="C8112"/>
    <d v="2024-07-06T00:00:00"/>
    <x v="2"/>
    <x v="0"/>
    <x v="1"/>
    <n v="763.93"/>
    <n v="8"/>
    <n v="95.491249999999994"/>
    <x v="2"/>
  </r>
  <r>
    <s v="T790096"/>
    <s v="C1744"/>
    <d v="2023-03-28T00:00:00"/>
    <x v="1"/>
    <x v="2"/>
    <x v="0"/>
    <n v="909.04"/>
    <m/>
    <m/>
    <x v="1"/>
  </r>
  <r>
    <s v="T950016"/>
    <s v="C2849"/>
    <d v="2023-12-07T00:00:00"/>
    <x v="1"/>
    <x v="0"/>
    <x v="3"/>
    <n v="75.23"/>
    <n v="8"/>
    <n v="9.4037500000000005"/>
    <x v="0"/>
  </r>
  <r>
    <s v="T415763"/>
    <s v="C9917"/>
    <d v="2025-07-28T00:00:00"/>
    <x v="0"/>
    <x v="2"/>
    <x v="2"/>
    <n v="1811.6"/>
    <n v="3"/>
    <n v="603.86666666666667"/>
    <x v="0"/>
  </r>
  <r>
    <s v="T371863"/>
    <s v="C4280"/>
    <d v="2024-08-13T00:00:00"/>
    <x v="2"/>
    <x v="0"/>
    <x v="1"/>
    <n v="49.21"/>
    <n v="2"/>
    <n v="24.605"/>
    <x v="0"/>
  </r>
  <r>
    <s v="T309460"/>
    <s v="C7115"/>
    <d v="2025-05-11T00:00:00"/>
    <x v="0"/>
    <x v="1"/>
    <x v="2"/>
    <n v="1104.3900000000001"/>
    <n v="7"/>
    <n v="157.77000000000001"/>
    <x v="2"/>
  </r>
  <r>
    <s v="T360786"/>
    <s v="C8085"/>
    <d v="2024-10-23T00:00:00"/>
    <x v="2"/>
    <x v="0"/>
    <x v="1"/>
    <n v="873.49"/>
    <n v="5"/>
    <n v="174.69800000000001"/>
    <x v="1"/>
  </r>
  <r>
    <s v="T105100"/>
    <s v="C1720"/>
    <d v="2023-01-25T00:00:00"/>
    <x v="1"/>
    <x v="0"/>
    <x v="1"/>
    <n v="563.48"/>
    <n v="10"/>
    <n v="56.347999999999999"/>
    <x v="1"/>
  </r>
  <r>
    <s v="T832943"/>
    <s v="C8922"/>
    <d v="2024-07-30T00:00:00"/>
    <x v="2"/>
    <x v="2"/>
    <x v="1"/>
    <n v="330.8"/>
    <n v="7"/>
    <n v="47.25714285714286"/>
    <x v="0"/>
  </r>
  <r>
    <s v="T607703"/>
    <s v="C1978"/>
    <d v="2025-03-15T00:00:00"/>
    <x v="0"/>
    <x v="1"/>
    <x v="1"/>
    <n v="517.36"/>
    <n v="1"/>
    <n v="517.36"/>
    <x v="3"/>
  </r>
  <r>
    <s v="T718740"/>
    <s v="C9537"/>
    <d v="2024-08-23T00:00:00"/>
    <x v="2"/>
    <x v="3"/>
    <x v="1"/>
    <n v="700.13"/>
    <n v="5"/>
    <n v="140.02600000000001"/>
    <x v="4"/>
  </r>
  <r>
    <s v="T397335"/>
    <s v="C8993"/>
    <d v="2024-04-27T00:00:00"/>
    <x v="2"/>
    <x v="2"/>
    <x v="1"/>
    <n v="1923.43"/>
    <n v="5"/>
    <n v="384.68600000000004"/>
    <x v="1"/>
  </r>
  <r>
    <s v="T492577"/>
    <s v="C2014"/>
    <d v="2023-08-02T00:00:00"/>
    <x v="1"/>
    <x v="0"/>
    <x v="0"/>
    <n v="1787.71"/>
    <n v="4"/>
    <n v="446.92750000000001"/>
    <x v="4"/>
  </r>
  <r>
    <s v="T421173"/>
    <s v="C3468"/>
    <d v="2023-07-14T00:00:00"/>
    <x v="1"/>
    <x v="1"/>
    <x v="0"/>
    <n v="1809.88"/>
    <n v="9"/>
    <n v="201.09777777777779"/>
    <x v="3"/>
  </r>
  <r>
    <s v="T969903"/>
    <s v="C6917"/>
    <d v="2024-06-14T00:00:00"/>
    <x v="2"/>
    <x v="3"/>
    <x v="3"/>
    <n v="675.99"/>
    <n v="8"/>
    <n v="84.498750000000001"/>
    <x v="0"/>
  </r>
  <r>
    <s v="T551276"/>
    <s v="C1234"/>
    <d v="2025-01-12T00:00:00"/>
    <x v="0"/>
    <x v="0"/>
    <x v="1"/>
    <n v="1211.46"/>
    <n v="8"/>
    <n v="151.4325"/>
    <x v="2"/>
  </r>
  <r>
    <s v="T861988"/>
    <s v="C5318"/>
    <d v="2024-11-19T00:00:00"/>
    <x v="2"/>
    <x v="2"/>
    <x v="2"/>
    <n v="1651.39"/>
    <n v="10"/>
    <n v="165.13900000000001"/>
    <x v="4"/>
  </r>
  <r>
    <s v="T256578"/>
    <s v="C9829"/>
    <d v="2024-04-21T00:00:00"/>
    <x v="2"/>
    <x v="0"/>
    <x v="3"/>
    <m/>
    <n v="8"/>
    <m/>
    <x v="2"/>
  </r>
  <r>
    <s v="T568610"/>
    <s v="C6376"/>
    <d v="2023-04-06T00:00:00"/>
    <x v="1"/>
    <x v="2"/>
    <x v="2"/>
    <n v="1086.82"/>
    <n v="8"/>
    <n v="135.85249999999999"/>
    <x v="2"/>
  </r>
  <r>
    <s v="T772260"/>
    <s v="C3955"/>
    <d v="2024-01-31T00:00:00"/>
    <x v="2"/>
    <x v="1"/>
    <x v="1"/>
    <n v="160.51"/>
    <m/>
    <m/>
    <x v="1"/>
  </r>
  <r>
    <s v="T244099"/>
    <s v="C4179"/>
    <d v="2024-01-19T00:00:00"/>
    <x v="2"/>
    <x v="1"/>
    <x v="3"/>
    <n v="1937.6"/>
    <m/>
    <m/>
    <x v="1"/>
  </r>
  <r>
    <s v="T370119"/>
    <s v="C4873"/>
    <d v="2023-07-29T00:00:00"/>
    <x v="1"/>
    <x v="3"/>
    <x v="1"/>
    <n v="488.87"/>
    <n v="3"/>
    <n v="162.95666666666668"/>
    <x v="4"/>
  </r>
  <r>
    <s v="T950729"/>
    <s v="C3605"/>
    <d v="2025-02-14T00:00:00"/>
    <x v="0"/>
    <x v="0"/>
    <x v="2"/>
    <m/>
    <n v="9"/>
    <m/>
    <x v="4"/>
  </r>
  <r>
    <s v="T595921"/>
    <s v="C9799"/>
    <d v="2023-12-01T00:00:00"/>
    <x v="1"/>
    <x v="0"/>
    <x v="2"/>
    <n v="881.91"/>
    <n v="1"/>
    <n v="881.91"/>
    <x v="4"/>
  </r>
  <r>
    <s v="T904216"/>
    <s v="C8191"/>
    <d v="2023-01-13T00:00:00"/>
    <x v="1"/>
    <x v="1"/>
    <x v="2"/>
    <n v="579.5"/>
    <n v="3"/>
    <n v="193.16666666666666"/>
    <x v="4"/>
  </r>
  <r>
    <s v="T570376"/>
    <s v="C3181"/>
    <d v="2024-11-15T00:00:00"/>
    <x v="2"/>
    <x v="2"/>
    <x v="0"/>
    <n v="1136.3800000000001"/>
    <n v="4"/>
    <n v="284.09500000000003"/>
    <x v="2"/>
  </r>
  <r>
    <s v="T248626"/>
    <s v="C3903"/>
    <d v="2024-01-22T00:00:00"/>
    <x v="2"/>
    <x v="3"/>
    <x v="2"/>
    <m/>
    <n v="5"/>
    <m/>
    <x v="1"/>
  </r>
  <r>
    <s v="T322650"/>
    <s v="C6085"/>
    <d v="2023-08-13T00:00:00"/>
    <x v="1"/>
    <x v="0"/>
    <x v="0"/>
    <n v="805.24"/>
    <n v="1"/>
    <n v="805.24"/>
    <x v="3"/>
  </r>
  <r>
    <s v="T266341"/>
    <s v="C2220"/>
    <d v="2025-09-21T00:00:00"/>
    <x v="0"/>
    <x v="1"/>
    <x v="3"/>
    <n v="600.17999999999995"/>
    <n v="7"/>
    <n v="85.74"/>
    <x v="3"/>
  </r>
  <r>
    <s v="T606041"/>
    <s v="C5693"/>
    <d v="2023-01-22T00:00:00"/>
    <x v="1"/>
    <x v="3"/>
    <x v="2"/>
    <n v="371.28"/>
    <n v="7"/>
    <n v="53.04"/>
    <x v="3"/>
  </r>
  <r>
    <s v="T497494"/>
    <s v="C9324"/>
    <d v="2024-03-30T00:00:00"/>
    <x v="2"/>
    <x v="2"/>
    <x v="2"/>
    <n v="96.45"/>
    <n v="3"/>
    <n v="32.15"/>
    <x v="4"/>
  </r>
  <r>
    <s v="T225811"/>
    <s v="C3582"/>
    <d v="2025-09-22T00:00:00"/>
    <x v="0"/>
    <x v="2"/>
    <x v="3"/>
    <n v="658.97"/>
    <n v="4"/>
    <n v="164.74250000000001"/>
    <x v="4"/>
  </r>
  <r>
    <s v="T516529"/>
    <s v="C5371"/>
    <d v="2024-05-01T00:00:00"/>
    <x v="2"/>
    <x v="3"/>
    <x v="3"/>
    <n v="1415.67"/>
    <n v="4"/>
    <n v="353.91750000000002"/>
    <x v="0"/>
  </r>
  <r>
    <s v="T798120"/>
    <s v="C2017"/>
    <d v="2024-05-02T00:00:00"/>
    <x v="2"/>
    <x v="2"/>
    <x v="0"/>
    <m/>
    <n v="7"/>
    <m/>
    <x v="0"/>
  </r>
  <r>
    <s v="T994667"/>
    <s v="C8895"/>
    <d v="2024-02-05T00:00:00"/>
    <x v="2"/>
    <x v="3"/>
    <x v="2"/>
    <n v="14.81"/>
    <n v="3"/>
    <n v="4.9366666666666665"/>
    <x v="0"/>
  </r>
  <r>
    <s v="T270202"/>
    <s v="C4476"/>
    <d v="2024-02-20T00:00:00"/>
    <x v="2"/>
    <x v="2"/>
    <x v="1"/>
    <n v="552.04999999999995"/>
    <n v="4"/>
    <n v="138.01249999999999"/>
    <x v="2"/>
  </r>
  <r>
    <s v="T806530"/>
    <s v="C6039"/>
    <d v="2024-01-03T00:00:00"/>
    <x v="2"/>
    <x v="3"/>
    <x v="1"/>
    <n v="1336.18"/>
    <n v="7"/>
    <n v="190.88285714285715"/>
    <x v="4"/>
  </r>
  <r>
    <s v="T528972"/>
    <s v="C5000"/>
    <d v="2023-05-03T00:00:00"/>
    <x v="1"/>
    <x v="1"/>
    <x v="1"/>
    <n v="1437.72"/>
    <n v="3"/>
    <n v="479.24"/>
    <x v="1"/>
  </r>
  <r>
    <s v="T201770"/>
    <s v="C1206"/>
    <d v="2024-01-25T00:00:00"/>
    <x v="2"/>
    <x v="3"/>
    <x v="1"/>
    <n v="1800.88"/>
    <n v="5"/>
    <n v="360.17600000000004"/>
    <x v="3"/>
  </r>
  <r>
    <s v="T224990"/>
    <s v="C5872"/>
    <d v="2023-01-24T00:00:00"/>
    <x v="1"/>
    <x v="1"/>
    <x v="0"/>
    <n v="720.78"/>
    <n v="6"/>
    <n v="120.13"/>
    <x v="0"/>
  </r>
  <r>
    <s v="T344276"/>
    <s v="C6687"/>
    <d v="2023-11-22T00:00:00"/>
    <x v="1"/>
    <x v="0"/>
    <x v="0"/>
    <n v="1418.42"/>
    <n v="5"/>
    <n v="283.68400000000003"/>
    <x v="0"/>
  </r>
  <r>
    <s v="T558118"/>
    <s v="C4215"/>
    <d v="2025-09-03T00:00:00"/>
    <x v="0"/>
    <x v="2"/>
    <x v="1"/>
    <n v="1372.69"/>
    <n v="10"/>
    <n v="137.26900000000001"/>
    <x v="1"/>
  </r>
  <r>
    <s v="T915100"/>
    <s v="C9802"/>
    <d v="2023-04-03T00:00:00"/>
    <x v="1"/>
    <x v="0"/>
    <x v="3"/>
    <n v="1547.52"/>
    <n v="10"/>
    <n v="154.75200000000001"/>
    <x v="4"/>
  </r>
  <r>
    <s v="T895018"/>
    <s v="C6922"/>
    <d v="2024-09-27T00:00:00"/>
    <x v="2"/>
    <x v="3"/>
    <x v="1"/>
    <n v="410.13"/>
    <n v="10"/>
    <n v="41.012999999999998"/>
    <x v="1"/>
  </r>
  <r>
    <s v="T728043"/>
    <s v="C9702"/>
    <d v="2025-04-04T00:00:00"/>
    <x v="0"/>
    <x v="3"/>
    <x v="0"/>
    <m/>
    <n v="2"/>
    <m/>
    <x v="3"/>
  </r>
  <r>
    <s v="T474377"/>
    <s v="C2527"/>
    <d v="2023-03-25T00:00:00"/>
    <x v="1"/>
    <x v="3"/>
    <x v="0"/>
    <n v="105.04"/>
    <n v="7"/>
    <n v="15.005714285714287"/>
    <x v="3"/>
  </r>
  <r>
    <s v="T703752"/>
    <s v="C8771"/>
    <d v="2023-07-27T00:00:00"/>
    <x v="1"/>
    <x v="0"/>
    <x v="1"/>
    <n v="797.03"/>
    <n v="3"/>
    <n v="265.67666666666668"/>
    <x v="3"/>
  </r>
  <r>
    <s v="T538168"/>
    <s v="C2831"/>
    <d v="2022-10-26T00:00:00"/>
    <x v="3"/>
    <x v="1"/>
    <x v="0"/>
    <n v="298.33"/>
    <n v="7"/>
    <n v="42.618571428571428"/>
    <x v="3"/>
  </r>
  <r>
    <s v="T911055"/>
    <s v="C2765"/>
    <d v="2023-06-24T00:00:00"/>
    <x v="1"/>
    <x v="3"/>
    <x v="2"/>
    <n v="422.65"/>
    <n v="8"/>
    <n v="52.831249999999997"/>
    <x v="2"/>
  </r>
  <r>
    <s v="T870281"/>
    <s v="C2005"/>
    <d v="2023-03-08T00:00:00"/>
    <x v="1"/>
    <x v="0"/>
    <x v="2"/>
    <n v="842.99"/>
    <n v="4"/>
    <n v="210.7475"/>
    <x v="1"/>
  </r>
  <r>
    <s v="T274266"/>
    <s v="C2407"/>
    <d v="2024-09-28T00:00:00"/>
    <x v="2"/>
    <x v="0"/>
    <x v="3"/>
    <m/>
    <n v="6"/>
    <m/>
    <x v="1"/>
  </r>
  <r>
    <s v="T882054"/>
    <s v="C3367"/>
    <d v="2023-06-11T00:00:00"/>
    <x v="1"/>
    <x v="1"/>
    <x v="2"/>
    <n v="868.99"/>
    <n v="7"/>
    <n v="124.14142857142858"/>
    <x v="3"/>
  </r>
  <r>
    <s v="T838357"/>
    <s v="C6268"/>
    <d v="2023-02-16T00:00:00"/>
    <x v="1"/>
    <x v="1"/>
    <x v="1"/>
    <n v="1050.8800000000001"/>
    <n v="1"/>
    <n v="1050.8800000000001"/>
    <x v="0"/>
  </r>
  <r>
    <s v="T688676"/>
    <s v="C7831"/>
    <d v="2024-04-01T00:00:00"/>
    <x v="2"/>
    <x v="2"/>
    <x v="2"/>
    <n v="706.82"/>
    <n v="3"/>
    <n v="235.60666666666668"/>
    <x v="4"/>
  </r>
  <r>
    <s v="T939498"/>
    <s v="C9916"/>
    <d v="2025-02-22T00:00:00"/>
    <x v="0"/>
    <x v="2"/>
    <x v="2"/>
    <n v="1888.07"/>
    <m/>
    <m/>
    <x v="1"/>
  </r>
  <r>
    <s v="T481956"/>
    <s v="C5623"/>
    <d v="2024-11-06T00:00:00"/>
    <x v="2"/>
    <x v="1"/>
    <x v="0"/>
    <n v="1209.79"/>
    <n v="3"/>
    <n v="403.26333333333332"/>
    <x v="3"/>
  </r>
  <r>
    <s v="T985911"/>
    <s v="C7687"/>
    <d v="2025-02-14T00:00:00"/>
    <x v="0"/>
    <x v="3"/>
    <x v="0"/>
    <n v="473.17"/>
    <n v="8"/>
    <n v="59.146250000000002"/>
    <x v="3"/>
  </r>
  <r>
    <s v="T993136"/>
    <s v="C5160"/>
    <d v="2025-03-11T00:00:00"/>
    <x v="0"/>
    <x v="2"/>
    <x v="1"/>
    <n v="1827.74"/>
    <n v="9"/>
    <n v="203.08222222222221"/>
    <x v="3"/>
  </r>
  <r>
    <s v="T107801"/>
    <s v="C7197"/>
    <d v="2023-11-20T00:00:00"/>
    <x v="1"/>
    <x v="0"/>
    <x v="2"/>
    <n v="845.37"/>
    <m/>
    <m/>
    <x v="4"/>
  </r>
  <r>
    <s v="T267909"/>
    <s v="C8622"/>
    <d v="2023-01-17T00:00:00"/>
    <x v="1"/>
    <x v="2"/>
    <x v="1"/>
    <n v="83.66"/>
    <n v="8"/>
    <n v="10.4575"/>
    <x v="2"/>
  </r>
  <r>
    <s v="T325944"/>
    <s v="C2574"/>
    <d v="2023-10-23T00:00:00"/>
    <x v="1"/>
    <x v="2"/>
    <x v="3"/>
    <n v="1419.44"/>
    <n v="7"/>
    <n v="202.77714285714288"/>
    <x v="4"/>
  </r>
  <r>
    <s v="T242735"/>
    <s v="C8097"/>
    <d v="2025-10-05T00:00:00"/>
    <x v="0"/>
    <x v="0"/>
    <x v="2"/>
    <n v="1058.97"/>
    <n v="5"/>
    <n v="211.79400000000001"/>
    <x v="4"/>
  </r>
  <r>
    <s v="T748859"/>
    <s v="C2441"/>
    <d v="2025-07-06T00:00:00"/>
    <x v="0"/>
    <x v="2"/>
    <x v="2"/>
    <n v="1574.37"/>
    <n v="1"/>
    <n v="1574.37"/>
    <x v="1"/>
  </r>
  <r>
    <s v="T611995"/>
    <s v="C1049"/>
    <d v="2025-09-30T00:00:00"/>
    <x v="0"/>
    <x v="2"/>
    <x v="1"/>
    <n v="1884.82"/>
    <n v="4"/>
    <n v="471.20499999999998"/>
    <x v="4"/>
  </r>
  <r>
    <s v="T994136"/>
    <s v="C5210"/>
    <d v="2023-08-07T00:00:00"/>
    <x v="1"/>
    <x v="0"/>
    <x v="2"/>
    <n v="31.85"/>
    <n v="6"/>
    <n v="5.3083333333333336"/>
    <x v="1"/>
  </r>
  <r>
    <s v="T176179"/>
    <s v="C5760"/>
    <d v="2024-01-27T00:00:00"/>
    <x v="2"/>
    <x v="0"/>
    <x v="2"/>
    <n v="586.16"/>
    <n v="2"/>
    <n v="293.08"/>
    <x v="2"/>
  </r>
  <r>
    <s v="T936655"/>
    <s v="C7192"/>
    <d v="2023-07-17T00:00:00"/>
    <x v="1"/>
    <x v="1"/>
    <x v="1"/>
    <n v="1537.88"/>
    <n v="4"/>
    <n v="384.47"/>
    <x v="3"/>
  </r>
  <r>
    <s v="T395161"/>
    <s v="C3350"/>
    <d v="2025-03-07T00:00:00"/>
    <x v="0"/>
    <x v="1"/>
    <x v="1"/>
    <n v="1095.95"/>
    <n v="6"/>
    <n v="182.65833333333333"/>
    <x v="1"/>
  </r>
  <r>
    <s v="T511944"/>
    <s v="C5771"/>
    <d v="2025-07-04T00:00:00"/>
    <x v="0"/>
    <x v="2"/>
    <x v="0"/>
    <n v="1310.07"/>
    <m/>
    <m/>
    <x v="4"/>
  </r>
  <r>
    <s v="T145235"/>
    <s v="C8574"/>
    <d v="2024-04-03T00:00:00"/>
    <x v="2"/>
    <x v="0"/>
    <x v="1"/>
    <n v="311.22000000000003"/>
    <n v="5"/>
    <n v="62.244000000000007"/>
    <x v="2"/>
  </r>
  <r>
    <s v="T215121"/>
    <s v="C6161"/>
    <d v="2024-09-04T00:00:00"/>
    <x v="2"/>
    <x v="3"/>
    <x v="1"/>
    <n v="506.54"/>
    <n v="7"/>
    <n v="72.362857142857152"/>
    <x v="2"/>
  </r>
  <r>
    <s v="T268957"/>
    <s v="C5501"/>
    <d v="2022-11-21T00:00:00"/>
    <x v="3"/>
    <x v="2"/>
    <x v="0"/>
    <n v="1088.94"/>
    <n v="2"/>
    <n v="544.47"/>
    <x v="4"/>
  </r>
  <r>
    <s v="T968065"/>
    <s v="C9031"/>
    <d v="2023-04-18T00:00:00"/>
    <x v="1"/>
    <x v="2"/>
    <x v="1"/>
    <n v="1330.18"/>
    <n v="7"/>
    <n v="190.02571428571429"/>
    <x v="0"/>
  </r>
  <r>
    <s v="T694405"/>
    <s v="C2085"/>
    <d v="2022-11-18T00:00:00"/>
    <x v="3"/>
    <x v="3"/>
    <x v="1"/>
    <n v="41.55"/>
    <n v="4"/>
    <n v="10.387499999999999"/>
    <x v="0"/>
  </r>
  <r>
    <s v="T755708"/>
    <s v="C2418"/>
    <d v="2024-09-02T00:00:00"/>
    <x v="2"/>
    <x v="1"/>
    <x v="3"/>
    <n v="1809.1"/>
    <n v="8"/>
    <n v="226.13749999999999"/>
    <x v="3"/>
  </r>
  <r>
    <s v="T446874"/>
    <s v="C1136"/>
    <d v="2023-03-27T00:00:00"/>
    <x v="1"/>
    <x v="0"/>
    <x v="3"/>
    <m/>
    <n v="1"/>
    <m/>
    <x v="3"/>
  </r>
  <r>
    <s v="T392880"/>
    <s v="C7225"/>
    <d v="2025-02-08T00:00:00"/>
    <x v="0"/>
    <x v="0"/>
    <x v="3"/>
    <n v="987.47"/>
    <n v="8"/>
    <n v="123.43375"/>
    <x v="1"/>
  </r>
  <r>
    <s v="T392014"/>
    <s v="C3466"/>
    <d v="2025-10-04T00:00:00"/>
    <x v="0"/>
    <x v="2"/>
    <x v="2"/>
    <n v="1974.81"/>
    <n v="2"/>
    <n v="987.40499999999997"/>
    <x v="0"/>
  </r>
  <r>
    <s v="T907576"/>
    <s v="C5753"/>
    <d v="2025-05-10T00:00:00"/>
    <x v="0"/>
    <x v="2"/>
    <x v="2"/>
    <n v="678.86"/>
    <n v="2"/>
    <n v="339.43"/>
    <x v="3"/>
  </r>
  <r>
    <s v="T449388"/>
    <s v="C2189"/>
    <d v="2023-08-10T00:00:00"/>
    <x v="1"/>
    <x v="0"/>
    <x v="1"/>
    <n v="1330.96"/>
    <n v="5"/>
    <n v="266.19200000000001"/>
    <x v="1"/>
  </r>
  <r>
    <s v="T910265"/>
    <s v="C8761"/>
    <d v="2025-09-02T00:00:00"/>
    <x v="0"/>
    <x v="2"/>
    <x v="1"/>
    <n v="807.51"/>
    <n v="4"/>
    <n v="201.8775"/>
    <x v="4"/>
  </r>
  <r>
    <s v="T371053"/>
    <s v="C1652"/>
    <d v="2024-02-16T00:00:00"/>
    <x v="2"/>
    <x v="1"/>
    <x v="1"/>
    <n v="527.04"/>
    <n v="7"/>
    <n v="75.291428571428568"/>
    <x v="1"/>
  </r>
  <r>
    <s v="T811437"/>
    <s v="C7378"/>
    <d v="2023-10-10T00:00:00"/>
    <x v="1"/>
    <x v="1"/>
    <x v="2"/>
    <m/>
    <n v="8"/>
    <m/>
    <x v="2"/>
  </r>
  <r>
    <s v="T578000"/>
    <s v="C9862"/>
    <d v="2024-01-29T00:00:00"/>
    <x v="2"/>
    <x v="0"/>
    <x v="0"/>
    <n v="834.68"/>
    <n v="3"/>
    <n v="278.22666666666663"/>
    <x v="0"/>
  </r>
  <r>
    <s v="T298737"/>
    <s v="C5625"/>
    <d v="2023-07-17T00:00:00"/>
    <x v="1"/>
    <x v="3"/>
    <x v="2"/>
    <n v="179.44"/>
    <n v="2"/>
    <n v="89.72"/>
    <x v="1"/>
  </r>
  <r>
    <s v="T780595"/>
    <s v="C7093"/>
    <d v="2023-03-02T00:00:00"/>
    <x v="1"/>
    <x v="0"/>
    <x v="2"/>
    <n v="1610.52"/>
    <n v="4"/>
    <n v="402.63"/>
    <x v="3"/>
  </r>
  <r>
    <s v="T646332"/>
    <s v="C4602"/>
    <d v="2023-06-17T00:00:00"/>
    <x v="1"/>
    <x v="1"/>
    <x v="1"/>
    <n v="1277.25"/>
    <m/>
    <m/>
    <x v="3"/>
  </r>
  <r>
    <s v="T669123"/>
    <s v="C4267"/>
    <d v="2023-06-23T00:00:00"/>
    <x v="1"/>
    <x v="0"/>
    <x v="2"/>
    <n v="270.24"/>
    <n v="4"/>
    <n v="67.56"/>
    <x v="1"/>
  </r>
  <r>
    <s v="T706711"/>
    <s v="C4593"/>
    <d v="2025-06-12T00:00:00"/>
    <x v="0"/>
    <x v="3"/>
    <x v="0"/>
    <m/>
    <n v="6"/>
    <m/>
    <x v="0"/>
  </r>
  <r>
    <s v="T681515"/>
    <s v="C7438"/>
    <d v="2023-08-22T00:00:00"/>
    <x v="1"/>
    <x v="1"/>
    <x v="3"/>
    <n v="975.31"/>
    <n v="10"/>
    <n v="97.530999999999992"/>
    <x v="0"/>
  </r>
  <r>
    <s v="T917597"/>
    <s v="C3309"/>
    <d v="2024-10-26T00:00:00"/>
    <x v="2"/>
    <x v="2"/>
    <x v="1"/>
    <n v="824.06"/>
    <n v="7"/>
    <n v="117.72285714285714"/>
    <x v="3"/>
  </r>
  <r>
    <s v="T794630"/>
    <s v="C2479"/>
    <d v="2022-12-28T00:00:00"/>
    <x v="3"/>
    <x v="1"/>
    <x v="1"/>
    <n v="744.37"/>
    <m/>
    <m/>
    <x v="3"/>
  </r>
  <r>
    <s v="T246764"/>
    <s v="C9389"/>
    <d v="2024-07-11T00:00:00"/>
    <x v="2"/>
    <x v="3"/>
    <x v="1"/>
    <n v="1102.5999999999999"/>
    <n v="2"/>
    <n v="551.29999999999995"/>
    <x v="0"/>
  </r>
  <r>
    <s v="T769474"/>
    <s v="C1304"/>
    <d v="2024-12-28T00:00:00"/>
    <x v="2"/>
    <x v="3"/>
    <x v="2"/>
    <n v="1139.08"/>
    <n v="3"/>
    <n v="379.69333333333333"/>
    <x v="2"/>
  </r>
  <r>
    <s v="T989530"/>
    <s v="C2645"/>
    <d v="2024-03-06T00:00:00"/>
    <x v="2"/>
    <x v="1"/>
    <x v="2"/>
    <m/>
    <n v="7"/>
    <m/>
    <x v="1"/>
  </r>
  <r>
    <s v="T827978"/>
    <s v="C4404"/>
    <d v="2023-11-09T00:00:00"/>
    <x v="1"/>
    <x v="0"/>
    <x v="2"/>
    <n v="1046.73"/>
    <n v="9"/>
    <n v="116.30333333333334"/>
    <x v="2"/>
  </r>
  <r>
    <s v="T431513"/>
    <s v="C5078"/>
    <d v="2025-05-03T00:00:00"/>
    <x v="0"/>
    <x v="1"/>
    <x v="0"/>
    <n v="369.01"/>
    <n v="3"/>
    <n v="123.00333333333333"/>
    <x v="3"/>
  </r>
  <r>
    <s v="T744921"/>
    <s v="C2508"/>
    <d v="2023-01-16T00:00:00"/>
    <x v="1"/>
    <x v="0"/>
    <x v="3"/>
    <n v="1335.88"/>
    <m/>
    <m/>
    <x v="4"/>
  </r>
  <r>
    <s v="T370066"/>
    <s v="C9312"/>
    <d v="2023-12-18T00:00:00"/>
    <x v="1"/>
    <x v="3"/>
    <x v="2"/>
    <n v="1904.71"/>
    <n v="2"/>
    <n v="952.35500000000002"/>
    <x v="3"/>
  </r>
  <r>
    <s v="T242267"/>
    <s v="C6847"/>
    <d v="2025-09-11T00:00:00"/>
    <x v="0"/>
    <x v="3"/>
    <x v="2"/>
    <n v="340.11"/>
    <n v="4"/>
    <n v="85.027500000000003"/>
    <x v="4"/>
  </r>
  <r>
    <s v="T500492"/>
    <s v="C5630"/>
    <d v="2024-04-16T00:00:00"/>
    <x v="2"/>
    <x v="3"/>
    <x v="0"/>
    <n v="1192.0999999999999"/>
    <n v="8"/>
    <n v="149.01249999999999"/>
    <x v="3"/>
  </r>
  <r>
    <s v="T382995"/>
    <s v="C6712"/>
    <d v="2022-11-28T00:00:00"/>
    <x v="3"/>
    <x v="0"/>
    <x v="1"/>
    <n v="1760.9"/>
    <n v="2"/>
    <n v="880.45"/>
    <x v="1"/>
  </r>
  <r>
    <s v="T122060"/>
    <s v="C9407"/>
    <d v="2025-07-10T00:00:00"/>
    <x v="0"/>
    <x v="1"/>
    <x v="2"/>
    <n v="1716.52"/>
    <n v="3"/>
    <n v="572.17333333333329"/>
    <x v="0"/>
  </r>
  <r>
    <s v="T997586"/>
    <s v="C5295"/>
    <d v="2023-01-11T00:00:00"/>
    <x v="1"/>
    <x v="2"/>
    <x v="2"/>
    <n v="1964.07"/>
    <n v="10"/>
    <n v="196.40699999999998"/>
    <x v="0"/>
  </r>
  <r>
    <s v="T410855"/>
    <s v="C2423"/>
    <d v="2023-04-14T00:00:00"/>
    <x v="1"/>
    <x v="0"/>
    <x v="1"/>
    <n v="1843.72"/>
    <n v="7"/>
    <n v="263.38857142857142"/>
    <x v="2"/>
  </r>
  <r>
    <s v="T697441"/>
    <s v="C6757"/>
    <d v="2024-07-21T00:00:00"/>
    <x v="2"/>
    <x v="0"/>
    <x v="3"/>
    <n v="796.37"/>
    <n v="4"/>
    <n v="199.0925"/>
    <x v="3"/>
  </r>
  <r>
    <s v="T576247"/>
    <s v="C8201"/>
    <d v="2025-04-21T00:00:00"/>
    <x v="0"/>
    <x v="0"/>
    <x v="3"/>
    <n v="614.44000000000005"/>
    <n v="10"/>
    <n v="61.444000000000003"/>
    <x v="2"/>
  </r>
  <r>
    <s v="T486705"/>
    <s v="C9895"/>
    <d v="2024-01-29T00:00:00"/>
    <x v="2"/>
    <x v="0"/>
    <x v="2"/>
    <n v="654.41"/>
    <n v="3"/>
    <n v="218.13666666666666"/>
    <x v="0"/>
  </r>
  <r>
    <s v="T137728"/>
    <s v="C1580"/>
    <d v="2022-12-20T00:00:00"/>
    <x v="3"/>
    <x v="0"/>
    <x v="3"/>
    <n v="984.36"/>
    <n v="10"/>
    <n v="98.436000000000007"/>
    <x v="0"/>
  </r>
  <r>
    <s v="T876272"/>
    <s v="C5707"/>
    <d v="2023-02-27T00:00:00"/>
    <x v="1"/>
    <x v="1"/>
    <x v="1"/>
    <n v="1849.65"/>
    <n v="8"/>
    <n v="231.20625000000001"/>
    <x v="1"/>
  </r>
  <r>
    <s v="T496784"/>
    <s v="C7311"/>
    <d v="2025-07-09T00:00:00"/>
    <x v="0"/>
    <x v="2"/>
    <x v="0"/>
    <n v="1464.12"/>
    <n v="10"/>
    <n v="146.41199999999998"/>
    <x v="2"/>
  </r>
  <r>
    <s v="T470341"/>
    <s v="C7308"/>
    <d v="2025-04-06T00:00:00"/>
    <x v="0"/>
    <x v="2"/>
    <x v="1"/>
    <n v="1699.74"/>
    <n v="9"/>
    <n v="188.86"/>
    <x v="4"/>
  </r>
  <r>
    <s v="T623025"/>
    <s v="C3689"/>
    <d v="2024-05-26T00:00:00"/>
    <x v="2"/>
    <x v="0"/>
    <x v="0"/>
    <n v="1638.89"/>
    <n v="1"/>
    <n v="1638.89"/>
    <x v="1"/>
  </r>
  <r>
    <s v="T141944"/>
    <s v="C7547"/>
    <d v="2025-08-29T00:00:00"/>
    <x v="0"/>
    <x v="3"/>
    <x v="3"/>
    <n v="541.11"/>
    <n v="2"/>
    <n v="270.55500000000001"/>
    <x v="2"/>
  </r>
  <r>
    <s v="T808128"/>
    <s v="C3534"/>
    <d v="2025-07-17T00:00:00"/>
    <x v="0"/>
    <x v="0"/>
    <x v="3"/>
    <n v="933.03"/>
    <n v="1"/>
    <n v="933.03"/>
    <x v="4"/>
  </r>
  <r>
    <s v="T505467"/>
    <s v="C2857"/>
    <d v="2023-11-08T00:00:00"/>
    <x v="1"/>
    <x v="1"/>
    <x v="2"/>
    <n v="695.6"/>
    <n v="5"/>
    <n v="139.12"/>
    <x v="1"/>
  </r>
  <r>
    <s v="T339947"/>
    <s v="C4043"/>
    <d v="2023-06-04T00:00:00"/>
    <x v="1"/>
    <x v="2"/>
    <x v="1"/>
    <n v="414.73"/>
    <n v="8"/>
    <n v="51.841250000000002"/>
    <x v="3"/>
  </r>
  <r>
    <s v="T307226"/>
    <s v="C2204"/>
    <d v="2024-06-01T00:00:00"/>
    <x v="2"/>
    <x v="2"/>
    <x v="2"/>
    <m/>
    <n v="3"/>
    <m/>
    <x v="4"/>
  </r>
  <r>
    <s v="T151735"/>
    <s v="C1425"/>
    <d v="2023-09-20T00:00:00"/>
    <x v="1"/>
    <x v="3"/>
    <x v="2"/>
    <n v="1976.35"/>
    <n v="2"/>
    <n v="988.17499999999995"/>
    <x v="4"/>
  </r>
  <r>
    <s v="T141792"/>
    <s v="C5688"/>
    <d v="2023-11-08T00:00:00"/>
    <x v="1"/>
    <x v="1"/>
    <x v="1"/>
    <n v="1738.59"/>
    <n v="2"/>
    <n v="869.29499999999996"/>
    <x v="3"/>
  </r>
  <r>
    <s v="T440034"/>
    <s v="C2196"/>
    <d v="2023-01-23T00:00:00"/>
    <x v="1"/>
    <x v="1"/>
    <x v="2"/>
    <n v="971.47"/>
    <n v="1"/>
    <n v="971.47"/>
    <x v="4"/>
  </r>
  <r>
    <s v="T683631"/>
    <s v="C7802"/>
    <d v="2023-02-25T00:00:00"/>
    <x v="1"/>
    <x v="0"/>
    <x v="1"/>
    <n v="1405.93"/>
    <n v="7"/>
    <n v="200.84714285714287"/>
    <x v="2"/>
  </r>
  <r>
    <s v="T597483"/>
    <s v="C1768"/>
    <d v="2023-12-30T00:00:00"/>
    <x v="1"/>
    <x v="1"/>
    <x v="3"/>
    <n v="1752.57"/>
    <n v="1"/>
    <n v="1752.57"/>
    <x v="1"/>
  </r>
  <r>
    <s v="T933516"/>
    <s v="C4473"/>
    <d v="2023-06-04T00:00:00"/>
    <x v="1"/>
    <x v="1"/>
    <x v="3"/>
    <n v="50.02"/>
    <n v="9"/>
    <n v="5.5577777777777779"/>
    <x v="4"/>
  </r>
  <r>
    <s v="T508016"/>
    <s v="C8909"/>
    <d v="2023-05-03T00:00:00"/>
    <x v="1"/>
    <x v="1"/>
    <x v="0"/>
    <n v="1698.51"/>
    <n v="6"/>
    <n v="283.08499999999998"/>
    <x v="2"/>
  </r>
  <r>
    <s v="T370932"/>
    <s v="C1405"/>
    <d v="2024-08-12T00:00:00"/>
    <x v="2"/>
    <x v="0"/>
    <x v="1"/>
    <n v="1712.62"/>
    <n v="2"/>
    <n v="856.31"/>
    <x v="2"/>
  </r>
  <r>
    <s v="T341163"/>
    <s v="C1091"/>
    <d v="2022-12-28T00:00:00"/>
    <x v="3"/>
    <x v="2"/>
    <x v="0"/>
    <m/>
    <n v="10"/>
    <m/>
    <x v="4"/>
  </r>
  <r>
    <s v="T740024"/>
    <s v="C8315"/>
    <d v="2025-08-02T00:00:00"/>
    <x v="0"/>
    <x v="1"/>
    <x v="2"/>
    <n v="1926.64"/>
    <n v="2"/>
    <n v="963.32"/>
    <x v="1"/>
  </r>
  <r>
    <s v="T737036"/>
    <s v="C7455"/>
    <d v="2024-02-21T00:00:00"/>
    <x v="2"/>
    <x v="1"/>
    <x v="2"/>
    <n v="772.65"/>
    <n v="6"/>
    <n v="128.77500000000001"/>
    <x v="0"/>
  </r>
  <r>
    <s v="T387105"/>
    <s v="C3838"/>
    <d v="2022-10-31T00:00:00"/>
    <x v="3"/>
    <x v="3"/>
    <x v="1"/>
    <n v="81.12"/>
    <n v="9"/>
    <n v="9.0133333333333336"/>
    <x v="4"/>
  </r>
  <r>
    <s v="T596864"/>
    <s v="C5209"/>
    <d v="2024-12-05T00:00:00"/>
    <x v="2"/>
    <x v="0"/>
    <x v="1"/>
    <n v="5.21"/>
    <n v="2"/>
    <n v="2.605"/>
    <x v="2"/>
  </r>
  <r>
    <s v="T924902"/>
    <s v="C1459"/>
    <d v="2024-09-01T00:00:00"/>
    <x v="2"/>
    <x v="2"/>
    <x v="0"/>
    <n v="691.33"/>
    <n v="9"/>
    <n v="76.814444444444447"/>
    <x v="1"/>
  </r>
  <r>
    <s v="T374220"/>
    <s v="C7549"/>
    <d v="2025-03-02T00:00:00"/>
    <x v="0"/>
    <x v="0"/>
    <x v="1"/>
    <n v="197.79"/>
    <n v="9"/>
    <n v="21.976666666666667"/>
    <x v="0"/>
  </r>
  <r>
    <s v="T137015"/>
    <s v="C1706"/>
    <d v="2025-01-27T00:00:00"/>
    <x v="0"/>
    <x v="2"/>
    <x v="1"/>
    <n v="1676.71"/>
    <n v="8"/>
    <n v="209.58875"/>
    <x v="3"/>
  </r>
  <r>
    <s v="T433801"/>
    <s v="C3220"/>
    <d v="2023-05-04T00:00:00"/>
    <x v="1"/>
    <x v="2"/>
    <x v="2"/>
    <n v="374.6"/>
    <n v="6"/>
    <n v="62.433333333333337"/>
    <x v="1"/>
  </r>
  <r>
    <s v="T532995"/>
    <s v="C4643"/>
    <d v="2024-11-15T00:00:00"/>
    <x v="2"/>
    <x v="2"/>
    <x v="0"/>
    <n v="220.23"/>
    <n v="6"/>
    <n v="36.704999999999998"/>
    <x v="0"/>
  </r>
  <r>
    <s v="T938398"/>
    <s v="C4511"/>
    <d v="2023-02-11T00:00:00"/>
    <x v="1"/>
    <x v="0"/>
    <x v="3"/>
    <n v="246.91"/>
    <n v="2"/>
    <n v="123.455"/>
    <x v="4"/>
  </r>
  <r>
    <s v="T966404"/>
    <s v="C7200"/>
    <d v="2023-08-08T00:00:00"/>
    <x v="1"/>
    <x v="0"/>
    <x v="0"/>
    <n v="1323.42"/>
    <n v="8"/>
    <n v="165.42750000000001"/>
    <x v="4"/>
  </r>
  <r>
    <s v="T178505"/>
    <s v="C4369"/>
    <d v="2025-01-04T00:00:00"/>
    <x v="0"/>
    <x v="1"/>
    <x v="2"/>
    <m/>
    <n v="7"/>
    <m/>
    <x v="4"/>
  </r>
  <r>
    <s v="T380053"/>
    <s v="C8252"/>
    <d v="2025-03-08T00:00:00"/>
    <x v="0"/>
    <x v="0"/>
    <x v="1"/>
    <n v="519.04"/>
    <n v="8"/>
    <n v="64.88"/>
    <x v="2"/>
  </r>
  <r>
    <s v="T362627"/>
    <s v="C5008"/>
    <d v="2025-04-22T00:00:00"/>
    <x v="0"/>
    <x v="1"/>
    <x v="2"/>
    <n v="1926.01"/>
    <n v="9"/>
    <n v="214.0011111111111"/>
    <x v="4"/>
  </r>
  <r>
    <s v="T266673"/>
    <s v="C2228"/>
    <d v="2023-01-22T00:00:00"/>
    <x v="1"/>
    <x v="3"/>
    <x v="3"/>
    <n v="611.1"/>
    <n v="1"/>
    <n v="611.1"/>
    <x v="1"/>
  </r>
  <r>
    <s v="T210368"/>
    <s v="C3236"/>
    <d v="2024-05-20T00:00:00"/>
    <x v="2"/>
    <x v="3"/>
    <x v="0"/>
    <n v="1713.12"/>
    <n v="5"/>
    <n v="342.62399999999997"/>
    <x v="0"/>
  </r>
  <r>
    <s v="T846295"/>
    <s v="C1657"/>
    <d v="2023-10-12T00:00:00"/>
    <x v="1"/>
    <x v="1"/>
    <x v="3"/>
    <n v="989.88"/>
    <n v="1"/>
    <n v="989.88"/>
    <x v="2"/>
  </r>
  <r>
    <s v="T343431"/>
    <s v="C7113"/>
    <d v="2024-07-24T00:00:00"/>
    <x v="2"/>
    <x v="3"/>
    <x v="1"/>
    <n v="1032.3"/>
    <n v="5"/>
    <n v="206.45999999999998"/>
    <x v="3"/>
  </r>
  <r>
    <s v="T899958"/>
    <s v="C3882"/>
    <d v="2024-02-09T00:00:00"/>
    <x v="2"/>
    <x v="3"/>
    <x v="0"/>
    <n v="637.92999999999995"/>
    <m/>
    <m/>
    <x v="2"/>
  </r>
  <r>
    <s v="T722735"/>
    <s v="C4149"/>
    <d v="2023-04-27T00:00:00"/>
    <x v="1"/>
    <x v="3"/>
    <x v="1"/>
    <n v="1507.25"/>
    <n v="3"/>
    <n v="502.41666666666669"/>
    <x v="4"/>
  </r>
  <r>
    <s v="T523962"/>
    <s v="C9832"/>
    <d v="2025-05-12T00:00:00"/>
    <x v="0"/>
    <x v="1"/>
    <x v="2"/>
    <n v="422.76"/>
    <m/>
    <m/>
    <x v="1"/>
  </r>
  <r>
    <s v="T407862"/>
    <s v="C5149"/>
    <d v="2024-07-24T00:00:00"/>
    <x v="2"/>
    <x v="0"/>
    <x v="3"/>
    <n v="1852.01"/>
    <n v="4"/>
    <n v="463.0025"/>
    <x v="0"/>
  </r>
  <r>
    <s v="T538425"/>
    <s v="C4493"/>
    <d v="2025-06-16T00:00:00"/>
    <x v="0"/>
    <x v="2"/>
    <x v="2"/>
    <m/>
    <n v="1"/>
    <m/>
    <x v="1"/>
  </r>
  <r>
    <s v="T632134"/>
    <s v="C7433"/>
    <d v="2023-02-01T00:00:00"/>
    <x v="1"/>
    <x v="2"/>
    <x v="3"/>
    <n v="1493.73"/>
    <n v="9"/>
    <n v="165.97"/>
    <x v="0"/>
  </r>
  <r>
    <s v="T526876"/>
    <s v="C2047"/>
    <d v="2023-01-02T00:00:00"/>
    <x v="1"/>
    <x v="3"/>
    <x v="3"/>
    <n v="956.25"/>
    <m/>
    <m/>
    <x v="4"/>
  </r>
  <r>
    <s v="T921208"/>
    <s v="C7156"/>
    <d v="2023-09-15T00:00:00"/>
    <x v="1"/>
    <x v="2"/>
    <x v="1"/>
    <n v="684.43"/>
    <n v="4"/>
    <n v="171.10749999999999"/>
    <x v="2"/>
  </r>
  <r>
    <s v="T107777"/>
    <s v="C2716"/>
    <d v="2025-08-11T00:00:00"/>
    <x v="0"/>
    <x v="3"/>
    <x v="2"/>
    <n v="895.96"/>
    <n v="4"/>
    <n v="223.99"/>
    <x v="1"/>
  </r>
  <r>
    <s v="T278123"/>
    <s v="C4692"/>
    <d v="2023-06-17T00:00:00"/>
    <x v="1"/>
    <x v="1"/>
    <x v="0"/>
    <n v="1824.68"/>
    <n v="3"/>
    <n v="608.22666666666669"/>
    <x v="1"/>
  </r>
  <r>
    <s v="T628211"/>
    <s v="C2225"/>
    <d v="2023-09-02T00:00:00"/>
    <x v="1"/>
    <x v="0"/>
    <x v="0"/>
    <n v="656.62"/>
    <n v="9"/>
    <n v="72.957777777777778"/>
    <x v="3"/>
  </r>
  <r>
    <s v="T363132"/>
    <s v="C9466"/>
    <d v="2025-08-31T00:00:00"/>
    <x v="0"/>
    <x v="3"/>
    <x v="1"/>
    <n v="1498.45"/>
    <n v="8"/>
    <n v="187.30625000000001"/>
    <x v="1"/>
  </r>
  <r>
    <s v="T812351"/>
    <s v="C4869"/>
    <d v="2024-09-18T00:00:00"/>
    <x v="2"/>
    <x v="3"/>
    <x v="2"/>
    <m/>
    <n v="1"/>
    <m/>
    <x v="0"/>
  </r>
  <r>
    <s v="T470937"/>
    <s v="C6424"/>
    <d v="2023-04-19T00:00:00"/>
    <x v="1"/>
    <x v="1"/>
    <x v="1"/>
    <n v="1142.7"/>
    <n v="1"/>
    <n v="1142.7"/>
    <x v="1"/>
  </r>
  <r>
    <s v="T238160"/>
    <s v="C6435"/>
    <d v="2025-07-25T00:00:00"/>
    <x v="0"/>
    <x v="3"/>
    <x v="2"/>
    <n v="1295.6400000000001"/>
    <n v="4"/>
    <n v="323.91000000000003"/>
    <x v="1"/>
  </r>
  <r>
    <s v="T424145"/>
    <s v="C4357"/>
    <d v="2023-05-04T00:00:00"/>
    <x v="1"/>
    <x v="2"/>
    <x v="1"/>
    <m/>
    <n v="3"/>
    <m/>
    <x v="0"/>
  </r>
  <r>
    <s v="T668646"/>
    <s v="C6351"/>
    <d v="2023-07-22T00:00:00"/>
    <x v="1"/>
    <x v="0"/>
    <x v="1"/>
    <n v="379.19"/>
    <n v="4"/>
    <n v="94.797499999999999"/>
    <x v="1"/>
  </r>
  <r>
    <s v="T971393"/>
    <s v="C4104"/>
    <d v="2025-01-10T00:00:00"/>
    <x v="0"/>
    <x v="1"/>
    <x v="1"/>
    <n v="241.46"/>
    <n v="6"/>
    <n v="40.243333333333332"/>
    <x v="0"/>
  </r>
  <r>
    <s v="T665618"/>
    <s v="C5158"/>
    <d v="2023-04-01T00:00:00"/>
    <x v="1"/>
    <x v="3"/>
    <x v="2"/>
    <m/>
    <n v="10"/>
    <m/>
    <x v="4"/>
  </r>
  <r>
    <s v="T755741"/>
    <s v="C3773"/>
    <d v="2025-06-28T00:00:00"/>
    <x v="0"/>
    <x v="2"/>
    <x v="1"/>
    <n v="37.869999999999997"/>
    <n v="3"/>
    <n v="12.623333333333333"/>
    <x v="4"/>
  </r>
  <r>
    <s v="T947710"/>
    <s v="C7938"/>
    <d v="2024-03-10T00:00:00"/>
    <x v="2"/>
    <x v="3"/>
    <x v="3"/>
    <n v="563.9"/>
    <n v="8"/>
    <n v="70.487499999999997"/>
    <x v="1"/>
  </r>
  <r>
    <s v="T167122"/>
    <s v="C3720"/>
    <d v="2024-01-16T00:00:00"/>
    <x v="2"/>
    <x v="2"/>
    <x v="1"/>
    <n v="133.06"/>
    <n v="1"/>
    <n v="133.06"/>
    <x v="4"/>
  </r>
  <r>
    <s v="T480608"/>
    <s v="C7413"/>
    <d v="2022-10-24T00:00:00"/>
    <x v="3"/>
    <x v="2"/>
    <x v="1"/>
    <n v="715.74"/>
    <n v="10"/>
    <n v="71.573999999999998"/>
    <x v="3"/>
  </r>
  <r>
    <s v="T253427"/>
    <s v="C2088"/>
    <d v="2023-10-15T00:00:00"/>
    <x v="1"/>
    <x v="1"/>
    <x v="0"/>
    <n v="570.88"/>
    <m/>
    <m/>
    <x v="3"/>
  </r>
  <r>
    <s v="T717253"/>
    <s v="C5047"/>
    <d v="2023-01-15T00:00:00"/>
    <x v="1"/>
    <x v="0"/>
    <x v="3"/>
    <n v="1339.33"/>
    <n v="4"/>
    <n v="334.83249999999998"/>
    <x v="4"/>
  </r>
  <r>
    <s v="T990077"/>
    <s v="C4938"/>
    <d v="2023-03-28T00:00:00"/>
    <x v="1"/>
    <x v="0"/>
    <x v="2"/>
    <n v="1489.74"/>
    <n v="4"/>
    <n v="372.435"/>
    <x v="3"/>
  </r>
  <r>
    <s v="T699291"/>
    <s v="C9065"/>
    <d v="2023-07-12T00:00:00"/>
    <x v="1"/>
    <x v="0"/>
    <x v="0"/>
    <n v="1698.86"/>
    <n v="6"/>
    <n v="283.14333333333332"/>
    <x v="4"/>
  </r>
  <r>
    <s v="T204765"/>
    <s v="C5136"/>
    <d v="2023-07-11T00:00:00"/>
    <x v="1"/>
    <x v="1"/>
    <x v="0"/>
    <n v="1741.67"/>
    <n v="10"/>
    <n v="174.167"/>
    <x v="4"/>
  </r>
  <r>
    <s v="T491775"/>
    <s v="C5952"/>
    <d v="2023-11-09T00:00:00"/>
    <x v="1"/>
    <x v="0"/>
    <x v="0"/>
    <n v="1035.95"/>
    <m/>
    <m/>
    <x v="4"/>
  </r>
  <r>
    <s v="T376185"/>
    <s v="C3493"/>
    <d v="2025-08-17T00:00:00"/>
    <x v="0"/>
    <x v="1"/>
    <x v="2"/>
    <n v="365.3"/>
    <n v="9"/>
    <n v="40.588888888888889"/>
    <x v="0"/>
  </r>
  <r>
    <s v="T397967"/>
    <s v="C8538"/>
    <d v="2024-12-17T00:00:00"/>
    <x v="2"/>
    <x v="2"/>
    <x v="2"/>
    <n v="251.88"/>
    <n v="8"/>
    <n v="31.484999999999999"/>
    <x v="1"/>
  </r>
  <r>
    <s v="T485878"/>
    <s v="C8262"/>
    <d v="2024-07-23T00:00:00"/>
    <x v="2"/>
    <x v="0"/>
    <x v="1"/>
    <n v="182.82"/>
    <n v="4"/>
    <n v="45.704999999999998"/>
    <x v="4"/>
  </r>
  <r>
    <s v="T962754"/>
    <s v="C7499"/>
    <d v="2023-01-08T00:00:00"/>
    <x v="1"/>
    <x v="0"/>
    <x v="2"/>
    <n v="842.61"/>
    <n v="4"/>
    <n v="210.6525"/>
    <x v="0"/>
  </r>
  <r>
    <s v="T462698"/>
    <s v="C3410"/>
    <d v="2024-05-01T00:00:00"/>
    <x v="2"/>
    <x v="1"/>
    <x v="0"/>
    <m/>
    <n v="8"/>
    <m/>
    <x v="0"/>
  </r>
  <r>
    <s v="T863395"/>
    <s v="C6254"/>
    <d v="2023-06-28T00:00:00"/>
    <x v="1"/>
    <x v="1"/>
    <x v="2"/>
    <n v="89.64"/>
    <n v="9"/>
    <n v="9.9600000000000009"/>
    <x v="4"/>
  </r>
  <r>
    <s v="T771537"/>
    <s v="C2733"/>
    <d v="2023-12-12T00:00:00"/>
    <x v="1"/>
    <x v="0"/>
    <x v="2"/>
    <n v="1476.62"/>
    <n v="2"/>
    <n v="738.31"/>
    <x v="1"/>
  </r>
  <r>
    <s v="T941153"/>
    <s v="C4381"/>
    <d v="2023-02-14T00:00:00"/>
    <x v="1"/>
    <x v="3"/>
    <x v="3"/>
    <n v="947.3"/>
    <n v="10"/>
    <n v="94.72999999999999"/>
    <x v="4"/>
  </r>
  <r>
    <s v="T124197"/>
    <s v="C3956"/>
    <d v="2024-03-01T00:00:00"/>
    <x v="2"/>
    <x v="3"/>
    <x v="0"/>
    <n v="1332"/>
    <n v="3"/>
    <n v="444"/>
    <x v="4"/>
  </r>
  <r>
    <s v="T729411"/>
    <s v="C3819"/>
    <d v="2025-10-17T00:00:00"/>
    <x v="0"/>
    <x v="0"/>
    <x v="3"/>
    <n v="1405.99"/>
    <n v="4"/>
    <n v="351.4975"/>
    <x v="1"/>
  </r>
  <r>
    <s v="T167754"/>
    <s v="C7788"/>
    <d v="2025-08-09T00:00:00"/>
    <x v="0"/>
    <x v="3"/>
    <x v="3"/>
    <n v="1259.3599999999999"/>
    <n v="4"/>
    <n v="314.83999999999997"/>
    <x v="1"/>
  </r>
  <r>
    <s v="T571408"/>
    <s v="C6276"/>
    <d v="2023-01-06T00:00:00"/>
    <x v="1"/>
    <x v="1"/>
    <x v="2"/>
    <n v="1962.98"/>
    <n v="5"/>
    <n v="392.596"/>
    <x v="1"/>
  </r>
  <r>
    <s v="T611018"/>
    <s v="C6395"/>
    <d v="2025-04-08T00:00:00"/>
    <x v="0"/>
    <x v="2"/>
    <x v="1"/>
    <n v="227.39"/>
    <m/>
    <m/>
    <x v="3"/>
  </r>
  <r>
    <s v="T584298"/>
    <s v="C5289"/>
    <d v="2024-04-17T00:00:00"/>
    <x v="2"/>
    <x v="2"/>
    <x v="2"/>
    <n v="709.15"/>
    <n v="1"/>
    <n v="709.15"/>
    <x v="1"/>
  </r>
  <r>
    <s v="T436045"/>
    <s v="C7222"/>
    <d v="2024-01-09T00:00:00"/>
    <x v="2"/>
    <x v="3"/>
    <x v="2"/>
    <n v="1168.48"/>
    <n v="4"/>
    <n v="292.12"/>
    <x v="0"/>
  </r>
  <r>
    <s v="T906971"/>
    <s v="C4189"/>
    <d v="2023-12-02T00:00:00"/>
    <x v="1"/>
    <x v="3"/>
    <x v="0"/>
    <n v="511.25"/>
    <n v="9"/>
    <n v="56.805555555555557"/>
    <x v="2"/>
  </r>
  <r>
    <s v="T211399"/>
    <s v="C5695"/>
    <d v="2024-07-10T00:00:00"/>
    <x v="2"/>
    <x v="0"/>
    <x v="1"/>
    <n v="989.73"/>
    <n v="8"/>
    <n v="123.71625"/>
    <x v="3"/>
  </r>
  <r>
    <s v="T440255"/>
    <s v="C9745"/>
    <d v="2025-05-15T00:00:00"/>
    <x v="0"/>
    <x v="2"/>
    <x v="1"/>
    <n v="1390.1"/>
    <n v="2"/>
    <n v="695.05"/>
    <x v="4"/>
  </r>
  <r>
    <s v="T811628"/>
    <s v="C7874"/>
    <d v="2025-01-07T00:00:00"/>
    <x v="0"/>
    <x v="1"/>
    <x v="0"/>
    <n v="231.17"/>
    <n v="10"/>
    <n v="23.116999999999997"/>
    <x v="4"/>
  </r>
  <r>
    <s v="T759832"/>
    <s v="C4510"/>
    <d v="2025-04-04T00:00:00"/>
    <x v="0"/>
    <x v="3"/>
    <x v="1"/>
    <n v="908.86"/>
    <n v="4"/>
    <n v="227.215"/>
    <x v="1"/>
  </r>
  <r>
    <s v="T261962"/>
    <s v="C6639"/>
    <d v="2024-10-29T00:00:00"/>
    <x v="2"/>
    <x v="2"/>
    <x v="3"/>
    <n v="177.06"/>
    <n v="7"/>
    <n v="25.294285714285714"/>
    <x v="2"/>
  </r>
  <r>
    <s v="T572261"/>
    <s v="C7548"/>
    <d v="2025-09-07T00:00:00"/>
    <x v="0"/>
    <x v="0"/>
    <x v="2"/>
    <n v="1138.22"/>
    <n v="9"/>
    <n v="126.4688888888889"/>
    <x v="1"/>
  </r>
  <r>
    <s v="T616630"/>
    <s v="C7148"/>
    <d v="2023-07-02T00:00:00"/>
    <x v="1"/>
    <x v="0"/>
    <x v="2"/>
    <n v="892.82"/>
    <n v="6"/>
    <n v="148.80333333333334"/>
    <x v="3"/>
  </r>
  <r>
    <s v="T373383"/>
    <s v="C5334"/>
    <d v="2024-03-25T00:00:00"/>
    <x v="2"/>
    <x v="1"/>
    <x v="1"/>
    <n v="541.20000000000005"/>
    <n v="8"/>
    <n v="67.650000000000006"/>
    <x v="2"/>
  </r>
  <r>
    <s v="T125800"/>
    <s v="C7975"/>
    <d v="2022-11-16T00:00:00"/>
    <x v="3"/>
    <x v="0"/>
    <x v="1"/>
    <m/>
    <n v="4"/>
    <m/>
    <x v="3"/>
  </r>
  <r>
    <s v="T307579"/>
    <s v="C7140"/>
    <d v="2025-07-05T00:00:00"/>
    <x v="0"/>
    <x v="1"/>
    <x v="0"/>
    <m/>
    <n v="9"/>
    <m/>
    <x v="1"/>
  </r>
  <r>
    <s v="T816536"/>
    <s v="C6346"/>
    <d v="2024-04-09T00:00:00"/>
    <x v="2"/>
    <x v="3"/>
    <x v="3"/>
    <m/>
    <n v="3"/>
    <m/>
    <x v="1"/>
  </r>
  <r>
    <s v="T121906"/>
    <s v="C1318"/>
    <d v="2024-06-05T00:00:00"/>
    <x v="2"/>
    <x v="0"/>
    <x v="1"/>
    <n v="1172.17"/>
    <n v="6"/>
    <n v="195.36166666666668"/>
    <x v="3"/>
  </r>
  <r>
    <s v="T368696"/>
    <s v="C6112"/>
    <d v="2023-05-17T00:00:00"/>
    <x v="1"/>
    <x v="1"/>
    <x v="0"/>
    <n v="1635.2"/>
    <n v="5"/>
    <n v="327.04000000000002"/>
    <x v="0"/>
  </r>
  <r>
    <s v="T450528"/>
    <s v="C1767"/>
    <d v="2024-12-12T00:00:00"/>
    <x v="2"/>
    <x v="1"/>
    <x v="0"/>
    <m/>
    <n v="7"/>
    <m/>
    <x v="1"/>
  </r>
  <r>
    <s v="T504229"/>
    <s v="C4435"/>
    <d v="2024-05-22T00:00:00"/>
    <x v="2"/>
    <x v="1"/>
    <x v="3"/>
    <n v="1118.6600000000001"/>
    <m/>
    <m/>
    <x v="3"/>
  </r>
  <r>
    <s v="T931406"/>
    <s v="C1816"/>
    <d v="2025-04-06T00:00:00"/>
    <x v="0"/>
    <x v="2"/>
    <x v="2"/>
    <n v="1695.06"/>
    <n v="8"/>
    <n v="211.88249999999999"/>
    <x v="0"/>
  </r>
  <r>
    <s v="T455152"/>
    <s v="C3558"/>
    <d v="2024-05-31T00:00:00"/>
    <x v="2"/>
    <x v="0"/>
    <x v="1"/>
    <n v="1375.9"/>
    <n v="10"/>
    <n v="137.59"/>
    <x v="3"/>
  </r>
  <r>
    <s v="T827304"/>
    <s v="C6343"/>
    <d v="2025-03-07T00:00:00"/>
    <x v="0"/>
    <x v="1"/>
    <x v="1"/>
    <n v="809.35"/>
    <n v="9"/>
    <n v="89.927777777777777"/>
    <x v="0"/>
  </r>
  <r>
    <s v="T444665"/>
    <s v="C6795"/>
    <d v="2025-10-05T00:00:00"/>
    <x v="0"/>
    <x v="3"/>
    <x v="1"/>
    <n v="1908.17"/>
    <n v="1"/>
    <n v="1908.17"/>
    <x v="2"/>
  </r>
  <r>
    <s v="T219998"/>
    <s v="C7824"/>
    <d v="2025-03-25T00:00:00"/>
    <x v="0"/>
    <x v="3"/>
    <x v="3"/>
    <m/>
    <n v="1"/>
    <m/>
    <x v="1"/>
  </r>
  <r>
    <s v="T798729"/>
    <s v="C8922"/>
    <d v="2024-12-14T00:00:00"/>
    <x v="2"/>
    <x v="1"/>
    <x v="3"/>
    <n v="1171.6199999999999"/>
    <n v="7"/>
    <n v="167.37428571428569"/>
    <x v="1"/>
  </r>
  <r>
    <s v="T882094"/>
    <s v="C2208"/>
    <d v="2025-06-23T00:00:00"/>
    <x v="0"/>
    <x v="1"/>
    <x v="1"/>
    <n v="1714.46"/>
    <n v="8"/>
    <n v="214.3075"/>
    <x v="0"/>
  </r>
  <r>
    <s v="T505822"/>
    <s v="C6275"/>
    <d v="2025-05-20T00:00:00"/>
    <x v="0"/>
    <x v="3"/>
    <x v="3"/>
    <n v="508"/>
    <n v="7"/>
    <n v="72.571428571428569"/>
    <x v="1"/>
  </r>
  <r>
    <s v="T612086"/>
    <s v="C5697"/>
    <d v="2024-01-16T00:00:00"/>
    <x v="2"/>
    <x v="1"/>
    <x v="2"/>
    <n v="1709.73"/>
    <n v="5"/>
    <n v="341.94600000000003"/>
    <x v="4"/>
  </r>
  <r>
    <s v="T911151"/>
    <s v="C8898"/>
    <d v="2025-02-13T00:00:00"/>
    <x v="0"/>
    <x v="2"/>
    <x v="0"/>
    <n v="637.77"/>
    <m/>
    <m/>
    <x v="3"/>
  </r>
  <r>
    <s v="T299766"/>
    <s v="C9860"/>
    <d v="2022-11-16T00:00:00"/>
    <x v="3"/>
    <x v="1"/>
    <x v="2"/>
    <m/>
    <n v="6"/>
    <m/>
    <x v="2"/>
  </r>
  <r>
    <s v="T828196"/>
    <s v="C1838"/>
    <d v="2025-03-20T00:00:00"/>
    <x v="0"/>
    <x v="0"/>
    <x v="2"/>
    <n v="275.75"/>
    <n v="4"/>
    <n v="68.9375"/>
    <x v="2"/>
  </r>
  <r>
    <s v="T382560"/>
    <s v="C7840"/>
    <d v="2025-04-25T00:00:00"/>
    <x v="0"/>
    <x v="1"/>
    <x v="2"/>
    <n v="848.14"/>
    <n v="4"/>
    <n v="212.035"/>
    <x v="1"/>
  </r>
  <r>
    <s v="T522452"/>
    <s v="C1387"/>
    <d v="2024-09-18T00:00:00"/>
    <x v="2"/>
    <x v="3"/>
    <x v="3"/>
    <n v="487.15"/>
    <n v="4"/>
    <n v="121.78749999999999"/>
    <x v="0"/>
  </r>
  <r>
    <s v="T786306"/>
    <s v="C5577"/>
    <d v="2024-10-21T00:00:00"/>
    <x v="2"/>
    <x v="1"/>
    <x v="3"/>
    <n v="1806.62"/>
    <m/>
    <m/>
    <x v="2"/>
  </r>
  <r>
    <s v="T655264"/>
    <s v="C9021"/>
    <d v="2024-07-23T00:00:00"/>
    <x v="2"/>
    <x v="3"/>
    <x v="2"/>
    <n v="1688.11"/>
    <n v="3"/>
    <n v="562.70333333333326"/>
    <x v="3"/>
  </r>
  <r>
    <s v="T876775"/>
    <s v="C1329"/>
    <d v="2023-06-14T00:00:00"/>
    <x v="1"/>
    <x v="3"/>
    <x v="1"/>
    <n v="1437.43"/>
    <n v="8"/>
    <n v="179.67875000000001"/>
    <x v="4"/>
  </r>
  <r>
    <s v="T773460"/>
    <s v="C6946"/>
    <d v="2023-12-30T00:00:00"/>
    <x v="1"/>
    <x v="1"/>
    <x v="3"/>
    <n v="1794.93"/>
    <n v="9"/>
    <n v="199.43666666666667"/>
    <x v="1"/>
  </r>
  <r>
    <s v="T795750"/>
    <s v="C1818"/>
    <d v="2023-06-18T00:00:00"/>
    <x v="1"/>
    <x v="1"/>
    <x v="1"/>
    <n v="299.58"/>
    <n v="9"/>
    <n v="33.286666666666662"/>
    <x v="0"/>
  </r>
  <r>
    <s v="T286437"/>
    <s v="C8445"/>
    <d v="2025-05-17T00:00:00"/>
    <x v="0"/>
    <x v="2"/>
    <x v="2"/>
    <n v="1563.43"/>
    <n v="8"/>
    <n v="195.42875000000001"/>
    <x v="0"/>
  </r>
  <r>
    <s v="T438853"/>
    <s v="C1262"/>
    <d v="2023-08-11T00:00:00"/>
    <x v="1"/>
    <x v="3"/>
    <x v="2"/>
    <n v="823.58"/>
    <m/>
    <m/>
    <x v="2"/>
  </r>
  <r>
    <s v="T753981"/>
    <s v="C7872"/>
    <d v="2025-07-07T00:00:00"/>
    <x v="0"/>
    <x v="2"/>
    <x v="1"/>
    <n v="1744.83"/>
    <n v="8"/>
    <n v="218.10374999999999"/>
    <x v="3"/>
  </r>
  <r>
    <s v="T407753"/>
    <s v="C7477"/>
    <d v="2022-11-29T00:00:00"/>
    <x v="3"/>
    <x v="1"/>
    <x v="1"/>
    <n v="216.2"/>
    <n v="5"/>
    <n v="43.239999999999995"/>
    <x v="1"/>
  </r>
  <r>
    <s v="T935016"/>
    <s v="C6832"/>
    <d v="2025-02-24T00:00:00"/>
    <x v="0"/>
    <x v="1"/>
    <x v="3"/>
    <n v="790.05"/>
    <n v="9"/>
    <n v="87.783333333333331"/>
    <x v="1"/>
  </r>
  <r>
    <s v="T144585"/>
    <s v="C6047"/>
    <d v="2023-02-19T00:00:00"/>
    <x v="1"/>
    <x v="1"/>
    <x v="0"/>
    <n v="1943.42"/>
    <n v="6"/>
    <n v="323.90333333333336"/>
    <x v="0"/>
  </r>
  <r>
    <s v="T511770"/>
    <s v="C3305"/>
    <d v="2025-08-07T00:00:00"/>
    <x v="0"/>
    <x v="1"/>
    <x v="0"/>
    <n v="408.39"/>
    <n v="1"/>
    <n v="408.39"/>
    <x v="4"/>
  </r>
  <r>
    <s v="T735774"/>
    <s v="C8133"/>
    <d v="2024-03-27T00:00:00"/>
    <x v="2"/>
    <x v="3"/>
    <x v="1"/>
    <n v="115.79"/>
    <n v="1"/>
    <n v="115.79"/>
    <x v="4"/>
  </r>
  <r>
    <s v="T281838"/>
    <s v="C6852"/>
    <d v="2023-03-04T00:00:00"/>
    <x v="1"/>
    <x v="1"/>
    <x v="0"/>
    <n v="263.47000000000003"/>
    <n v="9"/>
    <n v="29.274444444444448"/>
    <x v="4"/>
  </r>
  <r>
    <s v="T359451"/>
    <s v="C2912"/>
    <d v="2023-07-29T00:00:00"/>
    <x v="1"/>
    <x v="1"/>
    <x v="1"/>
    <n v="1923.52"/>
    <n v="7"/>
    <n v="274.7885714285714"/>
    <x v="1"/>
  </r>
  <r>
    <s v="T536322"/>
    <s v="C4905"/>
    <d v="2024-09-27T00:00:00"/>
    <x v="2"/>
    <x v="2"/>
    <x v="1"/>
    <n v="709.03"/>
    <n v="4"/>
    <n v="177.25749999999999"/>
    <x v="0"/>
  </r>
  <r>
    <s v="T798207"/>
    <s v="C3456"/>
    <d v="2022-12-20T00:00:00"/>
    <x v="3"/>
    <x v="3"/>
    <x v="2"/>
    <m/>
    <n v="5"/>
    <m/>
    <x v="3"/>
  </r>
  <r>
    <s v="T640288"/>
    <s v="C5720"/>
    <d v="2025-02-06T00:00:00"/>
    <x v="0"/>
    <x v="2"/>
    <x v="2"/>
    <n v="988.28"/>
    <n v="7"/>
    <n v="141.18285714285713"/>
    <x v="3"/>
  </r>
  <r>
    <s v="T891207"/>
    <s v="C1134"/>
    <d v="2025-07-16T00:00:00"/>
    <x v="0"/>
    <x v="0"/>
    <x v="3"/>
    <n v="658.42"/>
    <n v="3"/>
    <n v="219.47333333333333"/>
    <x v="2"/>
  </r>
  <r>
    <s v="T522259"/>
    <s v="C9328"/>
    <d v="2023-10-28T00:00:00"/>
    <x v="1"/>
    <x v="0"/>
    <x v="2"/>
    <n v="1484.18"/>
    <n v="2"/>
    <n v="742.09"/>
    <x v="2"/>
  </r>
  <r>
    <s v="T976025"/>
    <s v="C9250"/>
    <d v="2023-02-16T00:00:00"/>
    <x v="1"/>
    <x v="1"/>
    <x v="2"/>
    <n v="759.25"/>
    <m/>
    <m/>
    <x v="3"/>
  </r>
  <r>
    <s v="T895649"/>
    <s v="C8528"/>
    <d v="2022-12-10T00:00:00"/>
    <x v="3"/>
    <x v="0"/>
    <x v="0"/>
    <n v="1186.01"/>
    <n v="8"/>
    <n v="148.25125"/>
    <x v="2"/>
  </r>
  <r>
    <s v="T237702"/>
    <s v="C8961"/>
    <d v="2022-12-21T00:00:00"/>
    <x v="3"/>
    <x v="0"/>
    <x v="0"/>
    <n v="1217.02"/>
    <n v="1"/>
    <n v="1217.02"/>
    <x v="4"/>
  </r>
  <r>
    <s v="T212889"/>
    <s v="C1129"/>
    <d v="2024-12-14T00:00:00"/>
    <x v="2"/>
    <x v="1"/>
    <x v="3"/>
    <n v="860.98"/>
    <n v="7"/>
    <n v="122.99714285714286"/>
    <x v="4"/>
  </r>
  <r>
    <s v="T816367"/>
    <s v="C9010"/>
    <d v="2023-10-29T00:00:00"/>
    <x v="1"/>
    <x v="0"/>
    <x v="3"/>
    <n v="945.16"/>
    <n v="4"/>
    <n v="236.29"/>
    <x v="1"/>
  </r>
  <r>
    <s v="T255161"/>
    <s v="C5718"/>
    <d v="2023-12-22T00:00:00"/>
    <x v="1"/>
    <x v="2"/>
    <x v="3"/>
    <n v="1626.69"/>
    <n v="8"/>
    <n v="203.33625000000001"/>
    <x v="0"/>
  </r>
  <r>
    <s v="T643375"/>
    <s v="C4496"/>
    <d v="2023-02-24T00:00:00"/>
    <x v="1"/>
    <x v="1"/>
    <x v="0"/>
    <m/>
    <n v="1"/>
    <m/>
    <x v="1"/>
  </r>
  <r>
    <s v="T122239"/>
    <s v="C8297"/>
    <d v="2023-11-20T00:00:00"/>
    <x v="1"/>
    <x v="3"/>
    <x v="3"/>
    <n v="1918.64"/>
    <n v="3"/>
    <n v="639.54666666666674"/>
    <x v="0"/>
  </r>
  <r>
    <s v="T593884"/>
    <s v="C7767"/>
    <d v="2024-02-19T00:00:00"/>
    <x v="2"/>
    <x v="3"/>
    <x v="0"/>
    <n v="597.42999999999995"/>
    <n v="4"/>
    <n v="149.35749999999999"/>
    <x v="4"/>
  </r>
  <r>
    <s v="T734035"/>
    <s v="C1032"/>
    <d v="2023-10-17T00:00:00"/>
    <x v="1"/>
    <x v="3"/>
    <x v="3"/>
    <n v="96.75"/>
    <n v="2"/>
    <n v="48.375"/>
    <x v="2"/>
  </r>
  <r>
    <s v="T690966"/>
    <s v="C5957"/>
    <d v="2023-10-06T00:00:00"/>
    <x v="1"/>
    <x v="2"/>
    <x v="2"/>
    <n v="1529.33"/>
    <n v="7"/>
    <n v="218.47571428571428"/>
    <x v="1"/>
  </r>
  <r>
    <s v="T248387"/>
    <s v="C5136"/>
    <d v="2024-12-20T00:00:00"/>
    <x v="2"/>
    <x v="3"/>
    <x v="1"/>
    <n v="889.74"/>
    <n v="4"/>
    <n v="222.435"/>
    <x v="0"/>
  </r>
  <r>
    <s v="T369414"/>
    <s v="C8297"/>
    <d v="2024-09-08T00:00:00"/>
    <x v="2"/>
    <x v="3"/>
    <x v="2"/>
    <n v="1551.72"/>
    <n v="9"/>
    <n v="172.41333333333333"/>
    <x v="2"/>
  </r>
  <r>
    <s v="T730198"/>
    <s v="C3657"/>
    <d v="2025-02-28T00:00:00"/>
    <x v="0"/>
    <x v="2"/>
    <x v="0"/>
    <n v="217.59"/>
    <n v="4"/>
    <n v="54.397500000000001"/>
    <x v="3"/>
  </r>
  <r>
    <s v="T817484"/>
    <s v="C2359"/>
    <d v="2023-09-13T00:00:00"/>
    <x v="1"/>
    <x v="0"/>
    <x v="1"/>
    <n v="866.62"/>
    <n v="6"/>
    <n v="144.43666666666667"/>
    <x v="4"/>
  </r>
  <r>
    <s v="T318698"/>
    <s v="C3554"/>
    <d v="2023-06-06T00:00:00"/>
    <x v="1"/>
    <x v="2"/>
    <x v="2"/>
    <n v="1380.5"/>
    <n v="8"/>
    <n v="172.5625"/>
    <x v="1"/>
  </r>
  <r>
    <s v="T300616"/>
    <s v="C8954"/>
    <d v="2023-12-22T00:00:00"/>
    <x v="1"/>
    <x v="3"/>
    <x v="3"/>
    <n v="453.77"/>
    <n v="1"/>
    <n v="453.77"/>
    <x v="4"/>
  </r>
  <r>
    <s v="T797882"/>
    <s v="C4898"/>
    <d v="2025-10-08T00:00:00"/>
    <x v="0"/>
    <x v="3"/>
    <x v="0"/>
    <n v="515.86"/>
    <n v="8"/>
    <n v="64.482500000000002"/>
    <x v="1"/>
  </r>
  <r>
    <s v="T457105"/>
    <s v="C6368"/>
    <d v="2024-12-22T00:00:00"/>
    <x v="2"/>
    <x v="1"/>
    <x v="2"/>
    <n v="480.92"/>
    <n v="5"/>
    <n v="96.183999999999997"/>
    <x v="3"/>
  </r>
  <r>
    <s v="T843114"/>
    <s v="C8506"/>
    <d v="2024-01-28T00:00:00"/>
    <x v="2"/>
    <x v="0"/>
    <x v="3"/>
    <m/>
    <n v="10"/>
    <m/>
    <x v="2"/>
  </r>
  <r>
    <s v="T292137"/>
    <s v="C7868"/>
    <d v="2025-06-06T00:00:00"/>
    <x v="0"/>
    <x v="2"/>
    <x v="1"/>
    <n v="1830.3"/>
    <n v="1"/>
    <n v="1830.3"/>
    <x v="3"/>
  </r>
  <r>
    <s v="T694704"/>
    <s v="C5930"/>
    <d v="2023-02-01T00:00:00"/>
    <x v="1"/>
    <x v="3"/>
    <x v="3"/>
    <n v="1224.1400000000001"/>
    <n v="10"/>
    <n v="122.41400000000002"/>
    <x v="0"/>
  </r>
  <r>
    <s v="T774624"/>
    <s v="C5218"/>
    <d v="2025-10-09T00:00:00"/>
    <x v="0"/>
    <x v="0"/>
    <x v="2"/>
    <n v="1311.79"/>
    <n v="5"/>
    <n v="262.358"/>
    <x v="2"/>
  </r>
  <r>
    <s v="T825875"/>
    <s v="C3255"/>
    <d v="2024-09-23T00:00:00"/>
    <x v="2"/>
    <x v="2"/>
    <x v="2"/>
    <n v="1056.9100000000001"/>
    <n v="4"/>
    <n v="264.22750000000002"/>
    <x v="1"/>
  </r>
  <r>
    <s v="T482993"/>
    <s v="C9515"/>
    <d v="2024-01-24T00:00:00"/>
    <x v="2"/>
    <x v="0"/>
    <x v="1"/>
    <n v="858.61"/>
    <n v="4"/>
    <n v="214.6525"/>
    <x v="1"/>
  </r>
  <r>
    <s v="T782452"/>
    <s v="C8399"/>
    <d v="2024-03-02T00:00:00"/>
    <x v="2"/>
    <x v="0"/>
    <x v="2"/>
    <m/>
    <n v="4"/>
    <m/>
    <x v="2"/>
  </r>
  <r>
    <s v="T615643"/>
    <s v="C1946"/>
    <d v="2023-01-19T00:00:00"/>
    <x v="1"/>
    <x v="0"/>
    <x v="2"/>
    <n v="17.850000000000001"/>
    <n v="9"/>
    <n v="1.9833333333333334"/>
    <x v="3"/>
  </r>
  <r>
    <s v="T278887"/>
    <s v="C2265"/>
    <d v="2024-05-22T00:00:00"/>
    <x v="2"/>
    <x v="1"/>
    <x v="2"/>
    <n v="1404.93"/>
    <n v="2"/>
    <n v="702.46500000000003"/>
    <x v="1"/>
  </r>
  <r>
    <s v="T658658"/>
    <s v="C5699"/>
    <d v="2024-02-09T00:00:00"/>
    <x v="2"/>
    <x v="0"/>
    <x v="2"/>
    <n v="1564.04"/>
    <n v="10"/>
    <n v="156.404"/>
    <x v="2"/>
  </r>
  <r>
    <s v="T222039"/>
    <s v="C4190"/>
    <d v="2023-04-09T00:00:00"/>
    <x v="1"/>
    <x v="3"/>
    <x v="1"/>
    <n v="1846.59"/>
    <n v="10"/>
    <n v="184.65899999999999"/>
    <x v="2"/>
  </r>
  <r>
    <s v="T108799"/>
    <s v="C2885"/>
    <d v="2024-11-26T00:00:00"/>
    <x v="2"/>
    <x v="2"/>
    <x v="1"/>
    <n v="371.79"/>
    <m/>
    <m/>
    <x v="3"/>
  </r>
  <r>
    <s v="T470570"/>
    <s v="C8893"/>
    <d v="2023-01-30T00:00:00"/>
    <x v="1"/>
    <x v="0"/>
    <x v="2"/>
    <n v="203.08"/>
    <n v="4"/>
    <n v="50.77"/>
    <x v="3"/>
  </r>
  <r>
    <s v="T926176"/>
    <s v="C9081"/>
    <d v="2024-09-14T00:00:00"/>
    <x v="2"/>
    <x v="1"/>
    <x v="0"/>
    <n v="322.77999999999997"/>
    <n v="7"/>
    <n v="46.111428571428569"/>
    <x v="0"/>
  </r>
  <r>
    <s v="T849121"/>
    <s v="C4027"/>
    <d v="2023-08-05T00:00:00"/>
    <x v="1"/>
    <x v="3"/>
    <x v="1"/>
    <n v="746.44"/>
    <n v="7"/>
    <n v="106.63428571428572"/>
    <x v="1"/>
  </r>
  <r>
    <s v="T420116"/>
    <s v="C6489"/>
    <d v="2023-01-03T00:00:00"/>
    <x v="1"/>
    <x v="2"/>
    <x v="3"/>
    <n v="1209.55"/>
    <n v="5"/>
    <n v="241.91"/>
    <x v="3"/>
  </r>
  <r>
    <s v="T674058"/>
    <s v="C3512"/>
    <d v="2025-09-19T00:00:00"/>
    <x v="0"/>
    <x v="3"/>
    <x v="0"/>
    <n v="485.86"/>
    <m/>
    <m/>
    <x v="2"/>
  </r>
  <r>
    <s v="T795251"/>
    <s v="C1435"/>
    <d v="2023-06-04T00:00:00"/>
    <x v="1"/>
    <x v="3"/>
    <x v="2"/>
    <n v="1091.1400000000001"/>
    <n v="3"/>
    <n v="363.71333333333337"/>
    <x v="0"/>
  </r>
  <r>
    <s v="T869504"/>
    <s v="C5750"/>
    <d v="2024-02-08T00:00:00"/>
    <x v="2"/>
    <x v="1"/>
    <x v="1"/>
    <n v="389.87"/>
    <n v="2"/>
    <n v="194.935"/>
    <x v="3"/>
  </r>
  <r>
    <s v="T860381"/>
    <s v="C3191"/>
    <d v="2025-02-09T00:00:00"/>
    <x v="0"/>
    <x v="0"/>
    <x v="0"/>
    <n v="522.04999999999995"/>
    <n v="3"/>
    <n v="174.01666666666665"/>
    <x v="4"/>
  </r>
  <r>
    <s v="T600366"/>
    <s v="C7497"/>
    <d v="2025-03-16T00:00:00"/>
    <x v="0"/>
    <x v="2"/>
    <x v="1"/>
    <m/>
    <n v="1"/>
    <m/>
    <x v="0"/>
  </r>
  <r>
    <s v="T830620"/>
    <s v="C9154"/>
    <d v="2025-10-07T00:00:00"/>
    <x v="0"/>
    <x v="0"/>
    <x v="2"/>
    <n v="1528.8"/>
    <n v="8"/>
    <n v="191.1"/>
    <x v="3"/>
  </r>
  <r>
    <s v="T703305"/>
    <s v="C7445"/>
    <d v="2022-10-23T00:00:00"/>
    <x v="3"/>
    <x v="3"/>
    <x v="3"/>
    <n v="155.52000000000001"/>
    <n v="1"/>
    <n v="155.52000000000001"/>
    <x v="3"/>
  </r>
  <r>
    <s v="T941356"/>
    <s v="C5275"/>
    <d v="2022-10-24T00:00:00"/>
    <x v="3"/>
    <x v="3"/>
    <x v="2"/>
    <n v="1625.83"/>
    <n v="2"/>
    <n v="812.91499999999996"/>
    <x v="4"/>
  </r>
  <r>
    <s v="T591389"/>
    <s v="C9734"/>
    <d v="2024-04-10T00:00:00"/>
    <x v="2"/>
    <x v="0"/>
    <x v="2"/>
    <n v="382.53"/>
    <n v="5"/>
    <n v="76.506"/>
    <x v="0"/>
  </r>
  <r>
    <s v="T836460"/>
    <s v="C6091"/>
    <d v="2024-03-24T00:00:00"/>
    <x v="2"/>
    <x v="3"/>
    <x v="0"/>
    <n v="1299.1600000000001"/>
    <n v="7"/>
    <n v="185.59428571428572"/>
    <x v="4"/>
  </r>
  <r>
    <s v="T152838"/>
    <s v="C2584"/>
    <d v="2023-01-01T00:00:00"/>
    <x v="1"/>
    <x v="1"/>
    <x v="0"/>
    <n v="687.13"/>
    <n v="9"/>
    <n v="76.347777777777779"/>
    <x v="1"/>
  </r>
  <r>
    <s v="T958845"/>
    <s v="C8140"/>
    <d v="2023-02-12T00:00:00"/>
    <x v="1"/>
    <x v="0"/>
    <x v="2"/>
    <n v="975.19"/>
    <n v="5"/>
    <n v="195.03800000000001"/>
    <x v="4"/>
  </r>
  <r>
    <s v="T664012"/>
    <s v="C7330"/>
    <d v="2025-07-17T00:00:00"/>
    <x v="0"/>
    <x v="3"/>
    <x v="1"/>
    <m/>
    <n v="4"/>
    <m/>
    <x v="4"/>
  </r>
  <r>
    <s v="T531960"/>
    <s v="C3709"/>
    <d v="2024-01-30T00:00:00"/>
    <x v="2"/>
    <x v="3"/>
    <x v="0"/>
    <m/>
    <n v="6"/>
    <m/>
    <x v="2"/>
  </r>
  <r>
    <s v="T309179"/>
    <s v="C3426"/>
    <d v="2023-03-21T00:00:00"/>
    <x v="1"/>
    <x v="2"/>
    <x v="1"/>
    <n v="443.1"/>
    <n v="7"/>
    <n v="63.300000000000004"/>
    <x v="4"/>
  </r>
  <r>
    <s v="T779214"/>
    <s v="C7017"/>
    <d v="2024-07-29T00:00:00"/>
    <x v="2"/>
    <x v="1"/>
    <x v="0"/>
    <m/>
    <n v="9"/>
    <m/>
    <x v="2"/>
  </r>
  <r>
    <s v="T378575"/>
    <s v="C8595"/>
    <d v="2025-07-14T00:00:00"/>
    <x v="0"/>
    <x v="3"/>
    <x v="3"/>
    <n v="1470.47"/>
    <n v="7"/>
    <n v="210.06714285714287"/>
    <x v="2"/>
  </r>
  <r>
    <s v="T679358"/>
    <s v="C3175"/>
    <d v="2023-05-12T00:00:00"/>
    <x v="1"/>
    <x v="0"/>
    <x v="1"/>
    <n v="242.29"/>
    <n v="3"/>
    <n v="80.763333333333335"/>
    <x v="1"/>
  </r>
  <r>
    <s v="T103644"/>
    <s v="C4478"/>
    <d v="2025-05-20T00:00:00"/>
    <x v="0"/>
    <x v="2"/>
    <x v="2"/>
    <n v="1861.59"/>
    <n v="2"/>
    <n v="930.79499999999996"/>
    <x v="0"/>
  </r>
  <r>
    <s v="T925434"/>
    <s v="C2186"/>
    <d v="2025-08-29T00:00:00"/>
    <x v="0"/>
    <x v="2"/>
    <x v="0"/>
    <m/>
    <n v="3"/>
    <m/>
    <x v="0"/>
  </r>
  <r>
    <s v="T256867"/>
    <s v="C3496"/>
    <d v="2025-08-09T00:00:00"/>
    <x v="0"/>
    <x v="1"/>
    <x v="2"/>
    <n v="1040.8699999999999"/>
    <n v="5"/>
    <n v="208.17399999999998"/>
    <x v="4"/>
  </r>
  <r>
    <s v="T681229"/>
    <s v="C4700"/>
    <d v="2025-09-05T00:00:00"/>
    <x v="0"/>
    <x v="3"/>
    <x v="2"/>
    <n v="1627.3"/>
    <n v="5"/>
    <n v="325.45999999999998"/>
    <x v="4"/>
  </r>
  <r>
    <s v="T400805"/>
    <s v="C1475"/>
    <d v="2023-07-01T00:00:00"/>
    <x v="1"/>
    <x v="1"/>
    <x v="2"/>
    <n v="493.98"/>
    <n v="8"/>
    <n v="61.747500000000002"/>
    <x v="4"/>
  </r>
  <r>
    <s v="T256266"/>
    <s v="C6369"/>
    <d v="2025-06-08T00:00:00"/>
    <x v="0"/>
    <x v="1"/>
    <x v="3"/>
    <n v="1021.51"/>
    <n v="5"/>
    <n v="204.30199999999999"/>
    <x v="1"/>
  </r>
  <r>
    <s v="T524709"/>
    <s v="C3628"/>
    <d v="2023-05-04T00:00:00"/>
    <x v="1"/>
    <x v="0"/>
    <x v="0"/>
    <n v="565.1"/>
    <n v="8"/>
    <n v="70.637500000000003"/>
    <x v="0"/>
  </r>
  <r>
    <s v="T338940"/>
    <s v="C9119"/>
    <d v="2025-06-20T00:00:00"/>
    <x v="0"/>
    <x v="1"/>
    <x v="0"/>
    <n v="1988.82"/>
    <n v="9"/>
    <n v="220.98"/>
    <x v="3"/>
  </r>
  <r>
    <s v="T318835"/>
    <s v="C2359"/>
    <d v="2025-07-29T00:00:00"/>
    <x v="0"/>
    <x v="0"/>
    <x v="1"/>
    <n v="159.55000000000001"/>
    <n v="1"/>
    <n v="159.55000000000001"/>
    <x v="2"/>
  </r>
  <r>
    <s v="T966753"/>
    <s v="C2821"/>
    <d v="2025-06-17T00:00:00"/>
    <x v="0"/>
    <x v="3"/>
    <x v="1"/>
    <n v="1695.67"/>
    <n v="2"/>
    <n v="847.83500000000004"/>
    <x v="0"/>
  </r>
  <r>
    <s v="T997816"/>
    <s v="C9403"/>
    <d v="2024-03-18T00:00:00"/>
    <x v="2"/>
    <x v="2"/>
    <x v="2"/>
    <n v="626.92999999999995"/>
    <n v="2"/>
    <n v="313.46499999999997"/>
    <x v="1"/>
  </r>
  <r>
    <s v="T184564"/>
    <s v="C5120"/>
    <d v="2024-04-13T00:00:00"/>
    <x v="2"/>
    <x v="1"/>
    <x v="0"/>
    <n v="1773.39"/>
    <n v="9"/>
    <n v="197.04333333333335"/>
    <x v="0"/>
  </r>
  <r>
    <s v="T303051"/>
    <s v="C8206"/>
    <d v="2025-06-10T00:00:00"/>
    <x v="0"/>
    <x v="1"/>
    <x v="3"/>
    <n v="831.59"/>
    <n v="10"/>
    <n v="83.159000000000006"/>
    <x v="1"/>
  </r>
  <r>
    <s v="T886037"/>
    <s v="C4451"/>
    <d v="2024-09-22T00:00:00"/>
    <x v="2"/>
    <x v="0"/>
    <x v="0"/>
    <n v="795.89"/>
    <n v="2"/>
    <n v="397.94499999999999"/>
    <x v="1"/>
  </r>
  <r>
    <s v="T198198"/>
    <s v="C8750"/>
    <d v="2025-07-20T00:00:00"/>
    <x v="0"/>
    <x v="1"/>
    <x v="2"/>
    <n v="981.91"/>
    <n v="4"/>
    <n v="245.47749999999999"/>
    <x v="2"/>
  </r>
  <r>
    <s v="T155438"/>
    <s v="C6106"/>
    <d v="2023-12-28T00:00:00"/>
    <x v="1"/>
    <x v="2"/>
    <x v="2"/>
    <n v="889.59"/>
    <n v="6"/>
    <n v="148.26500000000001"/>
    <x v="1"/>
  </r>
  <r>
    <s v="T375349"/>
    <s v="C2704"/>
    <d v="2024-07-20T00:00:00"/>
    <x v="2"/>
    <x v="3"/>
    <x v="2"/>
    <m/>
    <n v="9"/>
    <m/>
    <x v="0"/>
  </r>
  <r>
    <s v="T343502"/>
    <s v="C3279"/>
    <d v="2025-02-16T00:00:00"/>
    <x v="0"/>
    <x v="2"/>
    <x v="1"/>
    <n v="466.55"/>
    <n v="9"/>
    <n v="51.838888888888889"/>
    <x v="0"/>
  </r>
  <r>
    <s v="T464917"/>
    <s v="C8909"/>
    <d v="2023-03-08T00:00:00"/>
    <x v="1"/>
    <x v="2"/>
    <x v="2"/>
    <n v="756.96"/>
    <n v="6"/>
    <n v="126.16000000000001"/>
    <x v="3"/>
  </r>
  <r>
    <s v="T116690"/>
    <s v="C6924"/>
    <d v="2025-04-03T00:00:00"/>
    <x v="0"/>
    <x v="0"/>
    <x v="3"/>
    <n v="1189.42"/>
    <n v="1"/>
    <n v="1189.42"/>
    <x v="4"/>
  </r>
  <r>
    <s v="T775228"/>
    <s v="C1759"/>
    <d v="2024-11-29T00:00:00"/>
    <x v="2"/>
    <x v="0"/>
    <x v="0"/>
    <n v="292.33999999999997"/>
    <n v="10"/>
    <n v="29.233999999999998"/>
    <x v="2"/>
  </r>
  <r>
    <s v="T991983"/>
    <s v="C5565"/>
    <d v="2023-04-05T00:00:00"/>
    <x v="1"/>
    <x v="0"/>
    <x v="2"/>
    <n v="1968.2"/>
    <n v="3"/>
    <n v="656.06666666666672"/>
    <x v="2"/>
  </r>
  <r>
    <s v="T122773"/>
    <s v="C9330"/>
    <d v="2023-12-16T00:00:00"/>
    <x v="1"/>
    <x v="0"/>
    <x v="2"/>
    <n v="1158.8399999999999"/>
    <n v="4"/>
    <n v="289.70999999999998"/>
    <x v="1"/>
  </r>
  <r>
    <s v="T288939"/>
    <s v="C3847"/>
    <d v="2025-01-27T00:00:00"/>
    <x v="0"/>
    <x v="1"/>
    <x v="2"/>
    <n v="1019.21"/>
    <m/>
    <m/>
    <x v="2"/>
  </r>
  <r>
    <s v="T800258"/>
    <s v="C4543"/>
    <d v="2024-07-31T00:00:00"/>
    <x v="2"/>
    <x v="2"/>
    <x v="3"/>
    <n v="1343.95"/>
    <n v="1"/>
    <n v="1343.95"/>
    <x v="4"/>
  </r>
  <r>
    <s v="T893444"/>
    <s v="C7363"/>
    <d v="2023-03-08T00:00:00"/>
    <x v="1"/>
    <x v="3"/>
    <x v="1"/>
    <m/>
    <n v="8"/>
    <m/>
    <x v="4"/>
  </r>
  <r>
    <s v="T793412"/>
    <s v="C2922"/>
    <d v="2024-02-01T00:00:00"/>
    <x v="2"/>
    <x v="3"/>
    <x v="1"/>
    <n v="399.41"/>
    <n v="5"/>
    <n v="79.882000000000005"/>
    <x v="1"/>
  </r>
  <r>
    <s v="T278115"/>
    <s v="C3940"/>
    <d v="2025-07-24T00:00:00"/>
    <x v="0"/>
    <x v="3"/>
    <x v="0"/>
    <n v="607.42999999999995"/>
    <m/>
    <m/>
    <x v="1"/>
  </r>
  <r>
    <s v="T294943"/>
    <s v="C6765"/>
    <d v="2024-04-09T00:00:00"/>
    <x v="2"/>
    <x v="3"/>
    <x v="1"/>
    <n v="631.64"/>
    <n v="1"/>
    <n v="631.64"/>
    <x v="0"/>
  </r>
  <r>
    <s v="T930888"/>
    <s v="C8091"/>
    <d v="2022-11-04T00:00:00"/>
    <x v="3"/>
    <x v="2"/>
    <x v="2"/>
    <n v="1545.58"/>
    <m/>
    <m/>
    <x v="1"/>
  </r>
  <r>
    <s v="T881056"/>
    <s v="C5756"/>
    <d v="2025-10-03T00:00:00"/>
    <x v="0"/>
    <x v="2"/>
    <x v="2"/>
    <n v="400.61"/>
    <n v="10"/>
    <n v="40.061"/>
    <x v="0"/>
  </r>
  <r>
    <s v="T618902"/>
    <s v="C5177"/>
    <d v="2024-01-25T00:00:00"/>
    <x v="2"/>
    <x v="2"/>
    <x v="2"/>
    <n v="1147.8"/>
    <n v="1"/>
    <n v="1147.8"/>
    <x v="1"/>
  </r>
  <r>
    <s v="T813012"/>
    <s v="C7689"/>
    <d v="2025-01-02T00:00:00"/>
    <x v="0"/>
    <x v="0"/>
    <x v="2"/>
    <n v="103.38"/>
    <n v="5"/>
    <n v="20.675999999999998"/>
    <x v="2"/>
  </r>
  <r>
    <s v="T584103"/>
    <s v="C6955"/>
    <d v="2022-12-04T00:00:00"/>
    <x v="3"/>
    <x v="0"/>
    <x v="1"/>
    <n v="1448.11"/>
    <m/>
    <m/>
    <x v="3"/>
  </r>
  <r>
    <s v="T744555"/>
    <s v="C9526"/>
    <d v="2024-10-22T00:00:00"/>
    <x v="2"/>
    <x v="2"/>
    <x v="3"/>
    <n v="1599.89"/>
    <n v="6"/>
    <n v="266.64833333333337"/>
    <x v="1"/>
  </r>
  <r>
    <s v="T899336"/>
    <s v="C2649"/>
    <d v="2023-03-26T00:00:00"/>
    <x v="1"/>
    <x v="2"/>
    <x v="3"/>
    <n v="383.7"/>
    <n v="7"/>
    <n v="54.81428571428571"/>
    <x v="4"/>
  </r>
  <r>
    <s v="T654751"/>
    <s v="C8220"/>
    <d v="2022-10-24T00:00:00"/>
    <x v="3"/>
    <x v="3"/>
    <x v="2"/>
    <n v="976.08"/>
    <n v="3"/>
    <n v="325.36"/>
    <x v="0"/>
  </r>
  <r>
    <s v="T192757"/>
    <s v="C1186"/>
    <d v="2023-09-17T00:00:00"/>
    <x v="1"/>
    <x v="0"/>
    <x v="2"/>
    <n v="965.92"/>
    <n v="2"/>
    <n v="482.96"/>
    <x v="1"/>
  </r>
  <r>
    <s v="T920537"/>
    <s v="C8874"/>
    <d v="2023-03-02T00:00:00"/>
    <x v="1"/>
    <x v="2"/>
    <x v="0"/>
    <n v="618.61"/>
    <n v="7"/>
    <n v="88.372857142857143"/>
    <x v="3"/>
  </r>
  <r>
    <s v="T716687"/>
    <s v="C4554"/>
    <d v="2024-08-19T00:00:00"/>
    <x v="2"/>
    <x v="1"/>
    <x v="1"/>
    <n v="1618.04"/>
    <m/>
    <m/>
    <x v="1"/>
  </r>
  <r>
    <s v="T237394"/>
    <s v="C7254"/>
    <d v="2024-08-10T00:00:00"/>
    <x v="2"/>
    <x v="3"/>
    <x v="2"/>
    <m/>
    <n v="3"/>
    <m/>
    <x v="4"/>
  </r>
  <r>
    <s v="T890850"/>
    <s v="C4976"/>
    <d v="2024-04-09T00:00:00"/>
    <x v="2"/>
    <x v="2"/>
    <x v="3"/>
    <n v="1537.82"/>
    <n v="4"/>
    <n v="384.45499999999998"/>
    <x v="1"/>
  </r>
  <r>
    <s v="T843883"/>
    <s v="C7466"/>
    <d v="2024-06-23T00:00:00"/>
    <x v="2"/>
    <x v="2"/>
    <x v="1"/>
    <n v="1392.54"/>
    <n v="1"/>
    <n v="1392.54"/>
    <x v="0"/>
  </r>
  <r>
    <s v="T959828"/>
    <s v="C3049"/>
    <d v="2025-09-07T00:00:00"/>
    <x v="0"/>
    <x v="2"/>
    <x v="2"/>
    <n v="1501.28"/>
    <n v="7"/>
    <n v="214.46857142857144"/>
    <x v="4"/>
  </r>
  <r>
    <s v="T190146"/>
    <s v="C6062"/>
    <d v="2024-06-28T00:00:00"/>
    <x v="2"/>
    <x v="1"/>
    <x v="1"/>
    <n v="1440.77"/>
    <n v="5"/>
    <n v="288.154"/>
    <x v="2"/>
  </r>
  <r>
    <s v="T403717"/>
    <s v="C8536"/>
    <d v="2023-04-28T00:00:00"/>
    <x v="1"/>
    <x v="0"/>
    <x v="3"/>
    <n v="669.77"/>
    <n v="5"/>
    <n v="133.95400000000001"/>
    <x v="1"/>
  </r>
  <r>
    <s v="T899144"/>
    <s v="C9832"/>
    <d v="2025-10-22T00:00:00"/>
    <x v="0"/>
    <x v="1"/>
    <x v="0"/>
    <m/>
    <n v="7"/>
    <m/>
    <x v="0"/>
  </r>
  <r>
    <s v="T575102"/>
    <s v="C1229"/>
    <d v="2025-03-19T00:00:00"/>
    <x v="0"/>
    <x v="2"/>
    <x v="0"/>
    <n v="260.87"/>
    <m/>
    <m/>
    <x v="0"/>
  </r>
  <r>
    <s v="T520585"/>
    <s v="C1763"/>
    <d v="2025-05-30T00:00:00"/>
    <x v="0"/>
    <x v="0"/>
    <x v="2"/>
    <n v="1776.21"/>
    <n v="7"/>
    <n v="253.74428571428572"/>
    <x v="2"/>
  </r>
  <r>
    <s v="T742385"/>
    <s v="C3920"/>
    <d v="2023-12-25T00:00:00"/>
    <x v="1"/>
    <x v="0"/>
    <x v="3"/>
    <n v="463.96"/>
    <n v="4"/>
    <n v="115.99"/>
    <x v="2"/>
  </r>
  <r>
    <s v="T656169"/>
    <s v="C4015"/>
    <d v="2023-08-20T00:00:00"/>
    <x v="1"/>
    <x v="2"/>
    <x v="1"/>
    <n v="936.55"/>
    <n v="7"/>
    <n v="133.79285714285714"/>
    <x v="3"/>
  </r>
  <r>
    <s v="T198324"/>
    <s v="C4976"/>
    <d v="2023-05-08T00:00:00"/>
    <x v="1"/>
    <x v="2"/>
    <x v="0"/>
    <n v="1158.28"/>
    <n v="3"/>
    <n v="386.09333333333331"/>
    <x v="4"/>
  </r>
  <r>
    <s v="T433949"/>
    <s v="C3056"/>
    <d v="2022-12-22T00:00:00"/>
    <x v="3"/>
    <x v="0"/>
    <x v="0"/>
    <n v="1038.68"/>
    <n v="3"/>
    <n v="346.22666666666669"/>
    <x v="4"/>
  </r>
  <r>
    <s v="T717605"/>
    <s v="C2411"/>
    <d v="2023-11-13T00:00:00"/>
    <x v="1"/>
    <x v="2"/>
    <x v="1"/>
    <n v="1068.3"/>
    <n v="5"/>
    <n v="213.66"/>
    <x v="1"/>
  </r>
  <r>
    <s v="T849875"/>
    <s v="C8508"/>
    <d v="2023-01-15T00:00:00"/>
    <x v="1"/>
    <x v="3"/>
    <x v="3"/>
    <n v="1628.57"/>
    <n v="5"/>
    <n v="325.714"/>
    <x v="2"/>
  </r>
  <r>
    <s v="T539610"/>
    <s v="C1059"/>
    <d v="2024-11-11T00:00:00"/>
    <x v="2"/>
    <x v="1"/>
    <x v="2"/>
    <n v="1541.45"/>
    <n v="5"/>
    <n v="308.29000000000002"/>
    <x v="0"/>
  </r>
  <r>
    <s v="T405007"/>
    <s v="C8870"/>
    <d v="2023-07-21T00:00:00"/>
    <x v="1"/>
    <x v="0"/>
    <x v="0"/>
    <n v="558.92999999999995"/>
    <m/>
    <m/>
    <x v="4"/>
  </r>
  <r>
    <s v="T963856"/>
    <s v="C3588"/>
    <d v="2024-01-20T00:00:00"/>
    <x v="2"/>
    <x v="2"/>
    <x v="3"/>
    <n v="1662.09"/>
    <n v="7"/>
    <n v="237.44142857142856"/>
    <x v="3"/>
  </r>
  <r>
    <s v="T343061"/>
    <s v="C7680"/>
    <d v="2023-05-15T00:00:00"/>
    <x v="1"/>
    <x v="3"/>
    <x v="1"/>
    <m/>
    <n v="6"/>
    <m/>
    <x v="0"/>
  </r>
  <r>
    <s v="T418923"/>
    <s v="C2838"/>
    <d v="2023-02-16T00:00:00"/>
    <x v="1"/>
    <x v="3"/>
    <x v="1"/>
    <n v="524.61"/>
    <n v="8"/>
    <n v="65.576250000000002"/>
    <x v="2"/>
  </r>
  <r>
    <s v="T960302"/>
    <s v="C5355"/>
    <d v="2025-09-08T00:00:00"/>
    <x v="0"/>
    <x v="2"/>
    <x v="0"/>
    <n v="1181.8900000000001"/>
    <n v="6"/>
    <n v="196.98166666666668"/>
    <x v="1"/>
  </r>
  <r>
    <s v="T911326"/>
    <s v="C7024"/>
    <d v="2025-07-11T00:00:00"/>
    <x v="0"/>
    <x v="0"/>
    <x v="0"/>
    <n v="574.03"/>
    <n v="9"/>
    <n v="63.781111111111109"/>
    <x v="2"/>
  </r>
  <r>
    <s v="T529790"/>
    <s v="C3525"/>
    <d v="2023-01-10T00:00:00"/>
    <x v="1"/>
    <x v="0"/>
    <x v="1"/>
    <n v="280.77999999999997"/>
    <n v="7"/>
    <n v="40.111428571428569"/>
    <x v="3"/>
  </r>
  <r>
    <s v="T402744"/>
    <s v="C9551"/>
    <d v="2024-11-18T00:00:00"/>
    <x v="2"/>
    <x v="2"/>
    <x v="3"/>
    <m/>
    <n v="8"/>
    <m/>
    <x v="3"/>
  </r>
  <r>
    <s v="T188950"/>
    <s v="C2203"/>
    <d v="2023-04-20T00:00:00"/>
    <x v="1"/>
    <x v="3"/>
    <x v="1"/>
    <n v="1373.52"/>
    <n v="2"/>
    <n v="686.76"/>
    <x v="1"/>
  </r>
  <r>
    <s v="T568900"/>
    <s v="C9434"/>
    <d v="2024-03-13T00:00:00"/>
    <x v="2"/>
    <x v="1"/>
    <x v="0"/>
    <n v="1844.44"/>
    <n v="2"/>
    <n v="922.22"/>
    <x v="1"/>
  </r>
  <r>
    <s v="T271249"/>
    <s v="C5631"/>
    <d v="2023-07-17T00:00:00"/>
    <x v="1"/>
    <x v="1"/>
    <x v="2"/>
    <n v="632.22"/>
    <n v="1"/>
    <n v="632.22"/>
    <x v="3"/>
  </r>
  <r>
    <s v="T917152"/>
    <s v="C4982"/>
    <d v="2024-05-09T00:00:00"/>
    <x v="2"/>
    <x v="2"/>
    <x v="1"/>
    <n v="322.42"/>
    <n v="3"/>
    <n v="107.47333333333334"/>
    <x v="1"/>
  </r>
  <r>
    <s v="T659551"/>
    <s v="C4232"/>
    <d v="2024-07-18T00:00:00"/>
    <x v="2"/>
    <x v="0"/>
    <x v="2"/>
    <n v="39.200000000000003"/>
    <n v="4"/>
    <n v="9.8000000000000007"/>
    <x v="2"/>
  </r>
  <r>
    <s v="T681059"/>
    <s v="C8723"/>
    <d v="2023-03-10T00:00:00"/>
    <x v="1"/>
    <x v="2"/>
    <x v="3"/>
    <n v="1895.69"/>
    <n v="5"/>
    <n v="379.13800000000003"/>
    <x v="1"/>
  </r>
  <r>
    <s v="T238175"/>
    <s v="C1957"/>
    <d v="2025-01-12T00:00:00"/>
    <x v="0"/>
    <x v="0"/>
    <x v="3"/>
    <n v="1170.02"/>
    <n v="6"/>
    <n v="195.00333333333333"/>
    <x v="4"/>
  </r>
  <r>
    <s v="T929739"/>
    <s v="C8609"/>
    <d v="2024-09-22T00:00:00"/>
    <x v="2"/>
    <x v="1"/>
    <x v="2"/>
    <n v="1390.35"/>
    <m/>
    <m/>
    <x v="4"/>
  </r>
  <r>
    <s v="T271243"/>
    <s v="C4100"/>
    <d v="2023-10-30T00:00:00"/>
    <x v="1"/>
    <x v="3"/>
    <x v="2"/>
    <n v="181.24"/>
    <n v="2"/>
    <n v="90.62"/>
    <x v="3"/>
  </r>
  <r>
    <s v="T655968"/>
    <s v="C7389"/>
    <d v="2024-04-17T00:00:00"/>
    <x v="2"/>
    <x v="2"/>
    <x v="3"/>
    <n v="375.96"/>
    <n v="8"/>
    <n v="46.994999999999997"/>
    <x v="3"/>
  </r>
  <r>
    <s v="T368767"/>
    <s v="C2237"/>
    <d v="2025-09-14T00:00:00"/>
    <x v="0"/>
    <x v="3"/>
    <x v="2"/>
    <n v="1486.81"/>
    <n v="2"/>
    <n v="743.40499999999997"/>
    <x v="4"/>
  </r>
  <r>
    <s v="T543849"/>
    <s v="C8513"/>
    <d v="2025-07-22T00:00:00"/>
    <x v="0"/>
    <x v="3"/>
    <x v="2"/>
    <n v="504.11"/>
    <n v="1"/>
    <n v="504.11"/>
    <x v="0"/>
  </r>
  <r>
    <s v="T501143"/>
    <s v="C2273"/>
    <d v="2023-04-07T00:00:00"/>
    <x v="1"/>
    <x v="2"/>
    <x v="2"/>
    <n v="151.47"/>
    <n v="5"/>
    <n v="30.294"/>
    <x v="0"/>
  </r>
  <r>
    <s v="T239582"/>
    <s v="C3795"/>
    <d v="2023-01-07T00:00:00"/>
    <x v="1"/>
    <x v="2"/>
    <x v="0"/>
    <n v="1823.39"/>
    <n v="8"/>
    <n v="227.92375000000001"/>
    <x v="2"/>
  </r>
  <r>
    <s v="T251187"/>
    <s v="C5795"/>
    <d v="2023-03-29T00:00:00"/>
    <x v="1"/>
    <x v="3"/>
    <x v="0"/>
    <n v="1871.97"/>
    <m/>
    <m/>
    <x v="0"/>
  </r>
  <r>
    <s v="T117667"/>
    <s v="C2035"/>
    <d v="2025-07-23T00:00:00"/>
    <x v="0"/>
    <x v="3"/>
    <x v="1"/>
    <n v="800.45"/>
    <n v="2"/>
    <n v="400.22500000000002"/>
    <x v="0"/>
  </r>
  <r>
    <s v="T761349"/>
    <s v="C4477"/>
    <d v="2025-01-14T00:00:00"/>
    <x v="0"/>
    <x v="3"/>
    <x v="2"/>
    <n v="1344.01"/>
    <n v="1"/>
    <n v="1344.01"/>
    <x v="0"/>
  </r>
  <r>
    <s v="T850606"/>
    <s v="C7329"/>
    <d v="2025-10-05T00:00:00"/>
    <x v="0"/>
    <x v="3"/>
    <x v="3"/>
    <n v="1403.89"/>
    <n v="8"/>
    <n v="175.48625000000001"/>
    <x v="0"/>
  </r>
  <r>
    <s v="T562534"/>
    <s v="C7739"/>
    <d v="2024-02-02T00:00:00"/>
    <x v="2"/>
    <x v="0"/>
    <x v="1"/>
    <n v="1246.32"/>
    <n v="9"/>
    <n v="138.47999999999999"/>
    <x v="0"/>
  </r>
  <r>
    <s v="T147835"/>
    <s v="C2249"/>
    <d v="2024-12-21T00:00:00"/>
    <x v="2"/>
    <x v="0"/>
    <x v="2"/>
    <n v="1131.46"/>
    <n v="10"/>
    <n v="113.146"/>
    <x v="1"/>
  </r>
  <r>
    <s v="T491326"/>
    <s v="C6261"/>
    <d v="2023-12-13T00:00:00"/>
    <x v="1"/>
    <x v="1"/>
    <x v="1"/>
    <n v="1637.65"/>
    <n v="1"/>
    <n v="1637.65"/>
    <x v="3"/>
  </r>
  <r>
    <s v="T539162"/>
    <s v="C6222"/>
    <d v="2023-02-27T00:00:00"/>
    <x v="1"/>
    <x v="2"/>
    <x v="1"/>
    <n v="472.08"/>
    <n v="8"/>
    <n v="59.01"/>
    <x v="1"/>
  </r>
  <r>
    <s v="T781082"/>
    <s v="C1133"/>
    <d v="2023-05-19T00:00:00"/>
    <x v="1"/>
    <x v="0"/>
    <x v="3"/>
    <m/>
    <n v="6"/>
    <m/>
    <x v="3"/>
  </r>
  <r>
    <s v="T961321"/>
    <s v="C9442"/>
    <d v="2023-02-15T00:00:00"/>
    <x v="1"/>
    <x v="1"/>
    <x v="1"/>
    <n v="1090.1400000000001"/>
    <n v="4"/>
    <n v="272.53500000000003"/>
    <x v="2"/>
  </r>
  <r>
    <s v="T141933"/>
    <s v="C5555"/>
    <d v="2025-02-02T00:00:00"/>
    <x v="0"/>
    <x v="1"/>
    <x v="1"/>
    <n v="1037.79"/>
    <n v="4"/>
    <n v="259.44749999999999"/>
    <x v="1"/>
  </r>
  <r>
    <s v="T461360"/>
    <s v="C1046"/>
    <d v="2024-12-09T00:00:00"/>
    <x v="2"/>
    <x v="3"/>
    <x v="2"/>
    <n v="529.30999999999995"/>
    <n v="10"/>
    <n v="52.930999999999997"/>
    <x v="4"/>
  </r>
  <r>
    <s v="T568395"/>
    <s v="C3779"/>
    <d v="2025-02-27T00:00:00"/>
    <x v="0"/>
    <x v="0"/>
    <x v="2"/>
    <n v="1181.72"/>
    <n v="5"/>
    <n v="236.34399999999999"/>
    <x v="1"/>
  </r>
  <r>
    <s v="T470193"/>
    <s v="C5182"/>
    <d v="2025-03-28T00:00:00"/>
    <x v="0"/>
    <x v="3"/>
    <x v="0"/>
    <n v="1787.37"/>
    <n v="4"/>
    <n v="446.84249999999997"/>
    <x v="2"/>
  </r>
  <r>
    <s v="T729342"/>
    <s v="C1643"/>
    <d v="2024-12-25T00:00:00"/>
    <x v="2"/>
    <x v="0"/>
    <x v="2"/>
    <n v="1552.09"/>
    <m/>
    <m/>
    <x v="4"/>
  </r>
  <r>
    <s v="T126134"/>
    <s v="C6155"/>
    <d v="2023-08-27T00:00:00"/>
    <x v="1"/>
    <x v="0"/>
    <x v="1"/>
    <n v="1579.23"/>
    <n v="8"/>
    <n v="197.40375"/>
    <x v="3"/>
  </r>
  <r>
    <s v="T430317"/>
    <s v="C6675"/>
    <d v="2024-03-10T00:00:00"/>
    <x v="2"/>
    <x v="0"/>
    <x v="1"/>
    <n v="1755.23"/>
    <n v="5"/>
    <n v="351.04599999999999"/>
    <x v="1"/>
  </r>
  <r>
    <s v="T195778"/>
    <s v="C3441"/>
    <d v="2025-01-03T00:00:00"/>
    <x v="0"/>
    <x v="0"/>
    <x v="2"/>
    <m/>
    <n v="6"/>
    <m/>
    <x v="0"/>
  </r>
  <r>
    <s v="T696135"/>
    <s v="C9418"/>
    <d v="2025-06-04T00:00:00"/>
    <x v="0"/>
    <x v="3"/>
    <x v="0"/>
    <m/>
    <n v="10"/>
    <m/>
    <x v="1"/>
  </r>
  <r>
    <s v="T131076"/>
    <s v="C6867"/>
    <d v="2023-08-14T00:00:00"/>
    <x v="1"/>
    <x v="2"/>
    <x v="0"/>
    <n v="1299.2"/>
    <n v="4"/>
    <n v="324.8"/>
    <x v="4"/>
  </r>
  <r>
    <s v="T540615"/>
    <s v="C1249"/>
    <d v="2024-11-30T00:00:00"/>
    <x v="2"/>
    <x v="2"/>
    <x v="2"/>
    <n v="954.11"/>
    <n v="7"/>
    <n v="136.30142857142857"/>
    <x v="1"/>
  </r>
  <r>
    <s v="T384558"/>
    <s v="C2971"/>
    <d v="2024-05-12T00:00:00"/>
    <x v="2"/>
    <x v="0"/>
    <x v="3"/>
    <n v="1807.96"/>
    <n v="7"/>
    <n v="258.28000000000003"/>
    <x v="4"/>
  </r>
  <r>
    <s v="T577897"/>
    <s v="C5043"/>
    <d v="2023-12-22T00:00:00"/>
    <x v="1"/>
    <x v="3"/>
    <x v="0"/>
    <n v="216.78"/>
    <n v="3"/>
    <n v="72.260000000000005"/>
    <x v="4"/>
  </r>
  <r>
    <s v="T505313"/>
    <s v="C7385"/>
    <d v="2024-12-09T00:00:00"/>
    <x v="2"/>
    <x v="2"/>
    <x v="2"/>
    <n v="1042.49"/>
    <n v="3"/>
    <n v="347.49666666666667"/>
    <x v="1"/>
  </r>
  <r>
    <s v="T265474"/>
    <s v="C5157"/>
    <d v="2023-11-16T00:00:00"/>
    <x v="1"/>
    <x v="1"/>
    <x v="1"/>
    <n v="1533.56"/>
    <n v="4"/>
    <n v="383.39"/>
    <x v="3"/>
  </r>
  <r>
    <s v="T243016"/>
    <s v="C5574"/>
    <d v="2024-12-25T00:00:00"/>
    <x v="2"/>
    <x v="1"/>
    <x v="0"/>
    <n v="289.60000000000002"/>
    <n v="4"/>
    <n v="72.400000000000006"/>
    <x v="1"/>
  </r>
  <r>
    <s v="T373817"/>
    <s v="C3979"/>
    <d v="2023-03-13T00:00:00"/>
    <x v="1"/>
    <x v="0"/>
    <x v="3"/>
    <m/>
    <n v="10"/>
    <m/>
    <x v="2"/>
  </r>
  <r>
    <s v="T409320"/>
    <s v="C2146"/>
    <d v="2025-03-15T00:00:00"/>
    <x v="0"/>
    <x v="2"/>
    <x v="1"/>
    <n v="37.5"/>
    <n v="1"/>
    <n v="37.5"/>
    <x v="4"/>
  </r>
  <r>
    <s v="T485528"/>
    <s v="C1881"/>
    <d v="2024-09-23T00:00:00"/>
    <x v="2"/>
    <x v="2"/>
    <x v="1"/>
    <m/>
    <n v="8"/>
    <m/>
    <x v="0"/>
  </r>
  <r>
    <s v="T101585"/>
    <s v="C6632"/>
    <d v="2023-06-02T00:00:00"/>
    <x v="1"/>
    <x v="1"/>
    <x v="0"/>
    <n v="1256.6500000000001"/>
    <m/>
    <m/>
    <x v="2"/>
  </r>
  <r>
    <s v="T588870"/>
    <s v="C3768"/>
    <d v="2024-10-14T00:00:00"/>
    <x v="2"/>
    <x v="2"/>
    <x v="2"/>
    <n v="1561.57"/>
    <n v="4"/>
    <n v="390.39249999999998"/>
    <x v="0"/>
  </r>
  <r>
    <s v="T594079"/>
    <s v="C9651"/>
    <d v="2022-11-12T00:00:00"/>
    <x v="3"/>
    <x v="1"/>
    <x v="2"/>
    <n v="1551.26"/>
    <n v="10"/>
    <n v="155.126"/>
    <x v="0"/>
  </r>
  <r>
    <s v="T240471"/>
    <s v="C1587"/>
    <d v="2024-03-19T00:00:00"/>
    <x v="2"/>
    <x v="3"/>
    <x v="2"/>
    <n v="1285.53"/>
    <n v="6"/>
    <n v="214.255"/>
    <x v="1"/>
  </r>
  <r>
    <s v="T831036"/>
    <s v="C4066"/>
    <d v="2023-08-03T00:00:00"/>
    <x v="1"/>
    <x v="0"/>
    <x v="2"/>
    <n v="395.61"/>
    <n v="10"/>
    <n v="39.561"/>
    <x v="4"/>
  </r>
  <r>
    <s v="T574222"/>
    <s v="C1902"/>
    <d v="2023-11-08T00:00:00"/>
    <x v="1"/>
    <x v="0"/>
    <x v="2"/>
    <m/>
    <n v="7"/>
    <m/>
    <x v="0"/>
  </r>
  <r>
    <s v="T753322"/>
    <s v="C1258"/>
    <d v="2024-08-16T00:00:00"/>
    <x v="2"/>
    <x v="2"/>
    <x v="2"/>
    <m/>
    <n v="8"/>
    <m/>
    <x v="4"/>
  </r>
  <r>
    <s v="T893113"/>
    <s v="C9865"/>
    <d v="2025-08-02T00:00:00"/>
    <x v="0"/>
    <x v="0"/>
    <x v="0"/>
    <n v="411.81"/>
    <n v="3"/>
    <n v="137.27000000000001"/>
    <x v="4"/>
  </r>
  <r>
    <s v="T922772"/>
    <s v="C9544"/>
    <d v="2024-03-28T00:00:00"/>
    <x v="2"/>
    <x v="3"/>
    <x v="0"/>
    <n v="1664.88"/>
    <n v="1"/>
    <n v="1664.88"/>
    <x v="4"/>
  </r>
  <r>
    <s v="T968116"/>
    <s v="C5633"/>
    <d v="2024-04-06T00:00:00"/>
    <x v="2"/>
    <x v="3"/>
    <x v="1"/>
    <n v="238.49"/>
    <n v="6"/>
    <n v="39.748333333333335"/>
    <x v="0"/>
  </r>
  <r>
    <s v="T890011"/>
    <s v="C8098"/>
    <d v="2025-10-15T00:00:00"/>
    <x v="0"/>
    <x v="1"/>
    <x v="0"/>
    <n v="1482.77"/>
    <n v="9"/>
    <n v="164.75222222222223"/>
    <x v="3"/>
  </r>
  <r>
    <s v="T992491"/>
    <s v="C6111"/>
    <d v="2025-07-22T00:00:00"/>
    <x v="0"/>
    <x v="2"/>
    <x v="1"/>
    <n v="1771.01"/>
    <n v="4"/>
    <n v="442.7525"/>
    <x v="2"/>
  </r>
  <r>
    <s v="T101413"/>
    <s v="C2869"/>
    <d v="2024-10-27T00:00:00"/>
    <x v="2"/>
    <x v="2"/>
    <x v="2"/>
    <n v="617.27"/>
    <n v="3"/>
    <n v="205.75666666666666"/>
    <x v="4"/>
  </r>
  <r>
    <s v="T285690"/>
    <s v="C9809"/>
    <d v="2025-01-25T00:00:00"/>
    <x v="0"/>
    <x v="0"/>
    <x v="2"/>
    <n v="1874.96"/>
    <m/>
    <m/>
    <x v="1"/>
  </r>
  <r>
    <s v="T444001"/>
    <s v="C9990"/>
    <d v="2023-01-21T00:00:00"/>
    <x v="1"/>
    <x v="3"/>
    <x v="3"/>
    <n v="1210.58"/>
    <n v="9"/>
    <n v="134.50888888888889"/>
    <x v="2"/>
  </r>
  <r>
    <s v="T966699"/>
    <s v="C6093"/>
    <d v="2024-02-26T00:00:00"/>
    <x v="2"/>
    <x v="0"/>
    <x v="3"/>
    <m/>
    <n v="8"/>
    <m/>
    <x v="4"/>
  </r>
  <r>
    <s v="T160968"/>
    <s v="C7594"/>
    <d v="2024-09-29T00:00:00"/>
    <x v="2"/>
    <x v="2"/>
    <x v="1"/>
    <n v="755.55"/>
    <n v="5"/>
    <n v="151.10999999999999"/>
    <x v="4"/>
  </r>
  <r>
    <s v="T936956"/>
    <s v="C5616"/>
    <d v="2023-01-24T00:00:00"/>
    <x v="1"/>
    <x v="3"/>
    <x v="0"/>
    <m/>
    <n v="3"/>
    <m/>
    <x v="4"/>
  </r>
  <r>
    <s v="T906670"/>
    <s v="C6039"/>
    <d v="2022-11-03T00:00:00"/>
    <x v="3"/>
    <x v="0"/>
    <x v="1"/>
    <n v="52.5"/>
    <n v="2"/>
    <n v="26.25"/>
    <x v="3"/>
  </r>
  <r>
    <s v="T733990"/>
    <s v="C2897"/>
    <d v="2025-03-18T00:00:00"/>
    <x v="0"/>
    <x v="0"/>
    <x v="3"/>
    <n v="503.77"/>
    <n v="3"/>
    <n v="167.92333333333332"/>
    <x v="0"/>
  </r>
  <r>
    <s v="T453758"/>
    <s v="C9686"/>
    <d v="2024-06-21T00:00:00"/>
    <x v="2"/>
    <x v="2"/>
    <x v="3"/>
    <m/>
    <n v="2"/>
    <m/>
    <x v="3"/>
  </r>
  <r>
    <s v="T680523"/>
    <s v="C1918"/>
    <d v="2022-12-01T00:00:00"/>
    <x v="3"/>
    <x v="1"/>
    <x v="3"/>
    <n v="1242.82"/>
    <m/>
    <m/>
    <x v="0"/>
  </r>
  <r>
    <s v="T355664"/>
    <s v="C7273"/>
    <d v="2023-04-08T00:00:00"/>
    <x v="1"/>
    <x v="1"/>
    <x v="3"/>
    <m/>
    <n v="6"/>
    <m/>
    <x v="1"/>
  </r>
  <r>
    <s v="T404455"/>
    <s v="C9548"/>
    <d v="2023-10-03T00:00:00"/>
    <x v="1"/>
    <x v="0"/>
    <x v="3"/>
    <n v="426.54"/>
    <n v="4"/>
    <n v="106.63500000000001"/>
    <x v="0"/>
  </r>
  <r>
    <s v="T200576"/>
    <s v="C4241"/>
    <d v="2025-03-10T00:00:00"/>
    <x v="0"/>
    <x v="1"/>
    <x v="2"/>
    <n v="824.98"/>
    <n v="7"/>
    <n v="117.85428571428572"/>
    <x v="0"/>
  </r>
  <r>
    <s v="T720678"/>
    <s v="C2335"/>
    <d v="2023-07-31T00:00:00"/>
    <x v="1"/>
    <x v="3"/>
    <x v="1"/>
    <n v="442.05"/>
    <m/>
    <m/>
    <x v="2"/>
  </r>
  <r>
    <s v="T814434"/>
    <s v="C2116"/>
    <d v="2023-01-31T00:00:00"/>
    <x v="1"/>
    <x v="2"/>
    <x v="0"/>
    <m/>
    <n v="2"/>
    <m/>
    <x v="2"/>
  </r>
  <r>
    <s v="T144196"/>
    <s v="C4692"/>
    <d v="2024-07-07T00:00:00"/>
    <x v="2"/>
    <x v="3"/>
    <x v="0"/>
    <n v="1845.77"/>
    <m/>
    <m/>
    <x v="1"/>
  </r>
  <r>
    <s v="T222016"/>
    <s v="C9788"/>
    <d v="2023-07-11T00:00:00"/>
    <x v="1"/>
    <x v="1"/>
    <x v="2"/>
    <n v="1392.1"/>
    <n v="7"/>
    <n v="198.87142857142857"/>
    <x v="3"/>
  </r>
  <r>
    <s v="T874539"/>
    <s v="C7686"/>
    <d v="2025-08-25T00:00:00"/>
    <x v="0"/>
    <x v="0"/>
    <x v="0"/>
    <n v="1030.82"/>
    <m/>
    <m/>
    <x v="2"/>
  </r>
  <r>
    <s v="T991994"/>
    <s v="C3811"/>
    <d v="2024-08-09T00:00:00"/>
    <x v="2"/>
    <x v="2"/>
    <x v="3"/>
    <n v="1163.22"/>
    <n v="6"/>
    <n v="193.87"/>
    <x v="1"/>
  </r>
  <r>
    <s v="T970415"/>
    <s v="C2364"/>
    <d v="2025-06-01T00:00:00"/>
    <x v="0"/>
    <x v="1"/>
    <x v="1"/>
    <n v="1502.06"/>
    <n v="8"/>
    <n v="187.75749999999999"/>
    <x v="4"/>
  </r>
  <r>
    <s v="T275138"/>
    <s v="C4772"/>
    <d v="2022-12-30T00:00:00"/>
    <x v="3"/>
    <x v="0"/>
    <x v="1"/>
    <n v="1435.88"/>
    <n v="9"/>
    <n v="159.54222222222222"/>
    <x v="0"/>
  </r>
  <r>
    <s v="T712641"/>
    <s v="C8401"/>
    <d v="2023-03-14T00:00:00"/>
    <x v="1"/>
    <x v="2"/>
    <x v="1"/>
    <n v="35.19"/>
    <n v="2"/>
    <n v="17.594999999999999"/>
    <x v="1"/>
  </r>
  <r>
    <s v="T931983"/>
    <s v="C3776"/>
    <d v="2024-03-30T00:00:00"/>
    <x v="2"/>
    <x v="3"/>
    <x v="2"/>
    <m/>
    <n v="1"/>
    <m/>
    <x v="2"/>
  </r>
  <r>
    <s v="T788572"/>
    <s v="C6678"/>
    <d v="2024-12-13T00:00:00"/>
    <x v="2"/>
    <x v="3"/>
    <x v="1"/>
    <n v="1082.54"/>
    <n v="4"/>
    <n v="270.63499999999999"/>
    <x v="4"/>
  </r>
  <r>
    <s v="T201067"/>
    <s v="C8338"/>
    <d v="2024-07-29T00:00:00"/>
    <x v="2"/>
    <x v="0"/>
    <x v="2"/>
    <n v="923.88"/>
    <n v="5"/>
    <n v="184.77600000000001"/>
    <x v="3"/>
  </r>
  <r>
    <s v="T792727"/>
    <s v="C4501"/>
    <d v="2023-12-30T00:00:00"/>
    <x v="1"/>
    <x v="3"/>
    <x v="1"/>
    <n v="1820.06"/>
    <n v="5"/>
    <n v="364.012"/>
    <x v="4"/>
  </r>
  <r>
    <s v="T940521"/>
    <s v="C2964"/>
    <d v="2025-03-27T00:00:00"/>
    <x v="0"/>
    <x v="1"/>
    <x v="1"/>
    <n v="848.68"/>
    <n v="5"/>
    <n v="169.73599999999999"/>
    <x v="0"/>
  </r>
  <r>
    <s v="T596969"/>
    <s v="C8839"/>
    <d v="2024-10-07T00:00:00"/>
    <x v="2"/>
    <x v="1"/>
    <x v="1"/>
    <n v="479.34"/>
    <n v="8"/>
    <n v="59.917499999999997"/>
    <x v="2"/>
  </r>
  <r>
    <s v="T471897"/>
    <s v="C2421"/>
    <d v="2023-09-15T00:00:00"/>
    <x v="1"/>
    <x v="0"/>
    <x v="3"/>
    <n v="1327.69"/>
    <n v="7"/>
    <n v="189.67000000000002"/>
    <x v="3"/>
  </r>
  <r>
    <s v="T882525"/>
    <s v="C7373"/>
    <d v="2025-08-06T00:00:00"/>
    <x v="0"/>
    <x v="0"/>
    <x v="1"/>
    <n v="1640.02"/>
    <n v="4"/>
    <n v="410.005"/>
    <x v="3"/>
  </r>
  <r>
    <s v="T608545"/>
    <s v="C8584"/>
    <d v="2022-11-12T00:00:00"/>
    <x v="3"/>
    <x v="2"/>
    <x v="2"/>
    <m/>
    <n v="7"/>
    <m/>
    <x v="4"/>
  </r>
  <r>
    <s v="T463287"/>
    <s v="C9721"/>
    <d v="2025-02-04T00:00:00"/>
    <x v="0"/>
    <x v="0"/>
    <x v="0"/>
    <n v="1731.49"/>
    <n v="1"/>
    <n v="1731.49"/>
    <x v="0"/>
  </r>
  <r>
    <s v="T380098"/>
    <s v="C3181"/>
    <d v="2023-01-08T00:00:00"/>
    <x v="1"/>
    <x v="2"/>
    <x v="3"/>
    <m/>
    <n v="2"/>
    <m/>
    <x v="2"/>
  </r>
  <r>
    <s v="T904883"/>
    <s v="C1184"/>
    <d v="2025-08-04T00:00:00"/>
    <x v="0"/>
    <x v="2"/>
    <x v="1"/>
    <n v="581.13"/>
    <n v="2"/>
    <n v="290.565"/>
    <x v="4"/>
  </r>
  <r>
    <s v="T602801"/>
    <s v="C9233"/>
    <d v="2023-11-26T00:00:00"/>
    <x v="1"/>
    <x v="0"/>
    <x v="3"/>
    <m/>
    <n v="3"/>
    <m/>
    <x v="4"/>
  </r>
  <r>
    <s v="T684103"/>
    <s v="C5819"/>
    <d v="2023-08-30T00:00:00"/>
    <x v="1"/>
    <x v="0"/>
    <x v="1"/>
    <n v="1190.1300000000001"/>
    <n v="2"/>
    <n v="595.06500000000005"/>
    <x v="0"/>
  </r>
  <r>
    <s v="T211758"/>
    <s v="C1022"/>
    <d v="2024-08-25T00:00:00"/>
    <x v="2"/>
    <x v="2"/>
    <x v="2"/>
    <n v="689.31"/>
    <n v="5"/>
    <n v="137.86199999999999"/>
    <x v="0"/>
  </r>
  <r>
    <s v="T259667"/>
    <s v="C2076"/>
    <d v="2023-03-24T00:00:00"/>
    <x v="1"/>
    <x v="2"/>
    <x v="0"/>
    <n v="534.1"/>
    <n v="4"/>
    <n v="133.52500000000001"/>
    <x v="3"/>
  </r>
  <r>
    <s v="T971150"/>
    <s v="C4819"/>
    <d v="2025-03-10T00:00:00"/>
    <x v="0"/>
    <x v="2"/>
    <x v="1"/>
    <m/>
    <n v="1"/>
    <m/>
    <x v="0"/>
  </r>
  <r>
    <s v="T571860"/>
    <s v="C3913"/>
    <d v="2024-06-24T00:00:00"/>
    <x v="2"/>
    <x v="1"/>
    <x v="1"/>
    <n v="1621.45"/>
    <n v="4"/>
    <n v="405.36250000000001"/>
    <x v="1"/>
  </r>
  <r>
    <s v="T714324"/>
    <s v="C6514"/>
    <d v="2023-07-27T00:00:00"/>
    <x v="1"/>
    <x v="0"/>
    <x v="3"/>
    <n v="634.84"/>
    <n v="7"/>
    <n v="90.691428571428574"/>
    <x v="0"/>
  </r>
  <r>
    <s v="T134387"/>
    <s v="C3589"/>
    <d v="2024-04-23T00:00:00"/>
    <x v="2"/>
    <x v="2"/>
    <x v="3"/>
    <n v="1083.6400000000001"/>
    <n v="10"/>
    <n v="108.364"/>
    <x v="3"/>
  </r>
  <r>
    <s v="T678502"/>
    <s v="C2796"/>
    <d v="2025-09-12T00:00:00"/>
    <x v="0"/>
    <x v="0"/>
    <x v="2"/>
    <n v="1249.8599999999999"/>
    <n v="8"/>
    <n v="156.23249999999999"/>
    <x v="0"/>
  </r>
  <r>
    <s v="T348742"/>
    <s v="C8979"/>
    <d v="2023-09-29T00:00:00"/>
    <x v="1"/>
    <x v="3"/>
    <x v="2"/>
    <n v="305.32"/>
    <n v="7"/>
    <n v="43.617142857142859"/>
    <x v="0"/>
  </r>
  <r>
    <s v="T303246"/>
    <s v="C6257"/>
    <d v="2024-08-24T00:00:00"/>
    <x v="2"/>
    <x v="1"/>
    <x v="1"/>
    <n v="355.03"/>
    <n v="8"/>
    <n v="44.378749999999997"/>
    <x v="2"/>
  </r>
  <r>
    <s v="T498562"/>
    <s v="C8635"/>
    <d v="2023-05-21T00:00:00"/>
    <x v="1"/>
    <x v="3"/>
    <x v="2"/>
    <n v="1625.64"/>
    <n v="5"/>
    <n v="325.12800000000004"/>
    <x v="4"/>
  </r>
  <r>
    <s v="T181335"/>
    <s v="C8405"/>
    <d v="2022-11-03T00:00:00"/>
    <x v="3"/>
    <x v="2"/>
    <x v="1"/>
    <n v="223.35"/>
    <n v="6"/>
    <n v="37.225000000000001"/>
    <x v="3"/>
  </r>
  <r>
    <s v="T177081"/>
    <s v="C1908"/>
    <d v="2024-02-09T00:00:00"/>
    <x v="2"/>
    <x v="2"/>
    <x v="2"/>
    <n v="1375.48"/>
    <n v="10"/>
    <n v="137.548"/>
    <x v="3"/>
  </r>
  <r>
    <s v="T479740"/>
    <s v="C1977"/>
    <d v="2023-10-29T00:00:00"/>
    <x v="1"/>
    <x v="0"/>
    <x v="3"/>
    <n v="508.98"/>
    <n v="4"/>
    <n v="127.245"/>
    <x v="0"/>
  </r>
  <r>
    <s v="T368435"/>
    <s v="C7129"/>
    <d v="2023-06-03T00:00:00"/>
    <x v="1"/>
    <x v="3"/>
    <x v="3"/>
    <n v="797.54"/>
    <n v="6"/>
    <n v="132.92333333333332"/>
    <x v="4"/>
  </r>
  <r>
    <s v="T330842"/>
    <s v="C5852"/>
    <d v="2023-06-18T00:00:00"/>
    <x v="1"/>
    <x v="3"/>
    <x v="2"/>
    <n v="1648.43"/>
    <m/>
    <m/>
    <x v="0"/>
  </r>
  <r>
    <s v="T426390"/>
    <s v="C3608"/>
    <d v="2023-02-07T00:00:00"/>
    <x v="1"/>
    <x v="1"/>
    <x v="1"/>
    <n v="1753.6"/>
    <n v="10"/>
    <n v="175.35999999999999"/>
    <x v="3"/>
  </r>
  <r>
    <s v="T893312"/>
    <s v="C6301"/>
    <d v="2023-01-10T00:00:00"/>
    <x v="1"/>
    <x v="1"/>
    <x v="0"/>
    <n v="510.72"/>
    <n v="4"/>
    <n v="127.68"/>
    <x v="3"/>
  </r>
  <r>
    <s v="T478016"/>
    <s v="C4750"/>
    <d v="2024-06-05T00:00:00"/>
    <x v="2"/>
    <x v="2"/>
    <x v="3"/>
    <n v="428.13"/>
    <n v="2"/>
    <n v="214.065"/>
    <x v="4"/>
  </r>
  <r>
    <s v="T580714"/>
    <s v="C3549"/>
    <d v="2024-09-19T00:00:00"/>
    <x v="2"/>
    <x v="3"/>
    <x v="2"/>
    <n v="1200.7"/>
    <n v="4"/>
    <n v="300.17500000000001"/>
    <x v="0"/>
  </r>
  <r>
    <s v="T109083"/>
    <s v="C2575"/>
    <d v="2022-12-26T00:00:00"/>
    <x v="3"/>
    <x v="2"/>
    <x v="0"/>
    <n v="1482.35"/>
    <n v="7"/>
    <n v="211.76428571428571"/>
    <x v="2"/>
  </r>
  <r>
    <s v="T294038"/>
    <s v="C5639"/>
    <d v="2023-04-26T00:00:00"/>
    <x v="1"/>
    <x v="0"/>
    <x v="2"/>
    <n v="844.03"/>
    <n v="5"/>
    <n v="168.80599999999998"/>
    <x v="4"/>
  </r>
  <r>
    <s v="T855324"/>
    <s v="C8216"/>
    <d v="2024-05-03T00:00:00"/>
    <x v="2"/>
    <x v="0"/>
    <x v="2"/>
    <n v="728.09"/>
    <n v="7"/>
    <n v="104.01285714285714"/>
    <x v="4"/>
  </r>
  <r>
    <s v="T732272"/>
    <s v="C2493"/>
    <d v="2023-10-07T00:00:00"/>
    <x v="1"/>
    <x v="0"/>
    <x v="1"/>
    <n v="1697.35"/>
    <m/>
    <m/>
    <x v="1"/>
  </r>
  <r>
    <s v="T681357"/>
    <s v="C8382"/>
    <d v="2024-10-18T00:00:00"/>
    <x v="2"/>
    <x v="1"/>
    <x v="0"/>
    <n v="1351.39"/>
    <n v="9"/>
    <n v="150.15444444444447"/>
    <x v="1"/>
  </r>
  <r>
    <s v="T573362"/>
    <s v="C2724"/>
    <d v="2024-03-01T00:00:00"/>
    <x v="2"/>
    <x v="1"/>
    <x v="3"/>
    <n v="956.02"/>
    <n v="6"/>
    <n v="159.33666666666667"/>
    <x v="4"/>
  </r>
  <r>
    <s v="T452474"/>
    <s v="C7843"/>
    <d v="2023-07-21T00:00:00"/>
    <x v="1"/>
    <x v="1"/>
    <x v="1"/>
    <n v="998.95"/>
    <n v="4"/>
    <n v="249.73750000000001"/>
    <x v="2"/>
  </r>
  <r>
    <s v="T640611"/>
    <s v="C6105"/>
    <d v="2025-04-24T00:00:00"/>
    <x v="0"/>
    <x v="2"/>
    <x v="2"/>
    <m/>
    <n v="9"/>
    <m/>
    <x v="1"/>
  </r>
  <r>
    <s v="T558204"/>
    <s v="C1739"/>
    <d v="2025-06-15T00:00:00"/>
    <x v="0"/>
    <x v="2"/>
    <x v="1"/>
    <m/>
    <n v="10"/>
    <m/>
    <x v="2"/>
  </r>
  <r>
    <s v="T747286"/>
    <s v="C4102"/>
    <d v="2025-04-28T00:00:00"/>
    <x v="0"/>
    <x v="2"/>
    <x v="2"/>
    <n v="374.06"/>
    <n v="1"/>
    <n v="374.06"/>
    <x v="2"/>
  </r>
  <r>
    <s v="T826466"/>
    <s v="C8072"/>
    <d v="2023-07-18T00:00:00"/>
    <x v="1"/>
    <x v="0"/>
    <x v="3"/>
    <n v="1690.19"/>
    <m/>
    <m/>
    <x v="3"/>
  </r>
  <r>
    <s v="T760568"/>
    <s v="C6740"/>
    <d v="2023-05-23T00:00:00"/>
    <x v="1"/>
    <x v="2"/>
    <x v="3"/>
    <n v="1040.58"/>
    <m/>
    <m/>
    <x v="0"/>
  </r>
  <r>
    <s v="T881682"/>
    <s v="C5578"/>
    <d v="2023-03-25T00:00:00"/>
    <x v="1"/>
    <x v="2"/>
    <x v="2"/>
    <n v="335.57"/>
    <m/>
    <m/>
    <x v="1"/>
  </r>
  <r>
    <s v="T888268"/>
    <s v="C1359"/>
    <d v="2025-07-08T00:00:00"/>
    <x v="0"/>
    <x v="3"/>
    <x v="2"/>
    <n v="1770.12"/>
    <n v="3"/>
    <n v="590.04"/>
    <x v="4"/>
  </r>
  <r>
    <s v="T605338"/>
    <s v="C5463"/>
    <d v="2025-02-27T00:00:00"/>
    <x v="0"/>
    <x v="1"/>
    <x v="2"/>
    <n v="1461.87"/>
    <n v="4"/>
    <n v="365.46749999999997"/>
    <x v="2"/>
  </r>
  <r>
    <s v="T228406"/>
    <s v="C7685"/>
    <d v="2024-05-17T00:00:00"/>
    <x v="2"/>
    <x v="0"/>
    <x v="1"/>
    <n v="586.78"/>
    <n v="9"/>
    <n v="65.197777777777773"/>
    <x v="1"/>
  </r>
  <r>
    <s v="T393715"/>
    <s v="C9228"/>
    <d v="2024-09-04T00:00:00"/>
    <x v="2"/>
    <x v="3"/>
    <x v="0"/>
    <n v="1315.4"/>
    <n v="1"/>
    <n v="1315.4"/>
    <x v="4"/>
  </r>
  <r>
    <s v="T475340"/>
    <s v="C6423"/>
    <d v="2023-02-02T00:00:00"/>
    <x v="1"/>
    <x v="0"/>
    <x v="2"/>
    <n v="440.85"/>
    <n v="6"/>
    <n v="73.475000000000009"/>
    <x v="3"/>
  </r>
  <r>
    <s v="T957362"/>
    <s v="C7361"/>
    <d v="2023-06-10T00:00:00"/>
    <x v="1"/>
    <x v="1"/>
    <x v="3"/>
    <n v="252.13"/>
    <n v="9"/>
    <n v="28.014444444444443"/>
    <x v="1"/>
  </r>
  <r>
    <s v="T844095"/>
    <s v="C7868"/>
    <d v="2022-12-10T00:00:00"/>
    <x v="3"/>
    <x v="1"/>
    <x v="3"/>
    <m/>
    <n v="3"/>
    <m/>
    <x v="2"/>
  </r>
  <r>
    <s v="T293492"/>
    <s v="C8693"/>
    <d v="2023-11-13T00:00:00"/>
    <x v="1"/>
    <x v="1"/>
    <x v="3"/>
    <m/>
    <n v="9"/>
    <m/>
    <x v="4"/>
  </r>
  <r>
    <s v="T871884"/>
    <s v="C5397"/>
    <d v="2024-09-14T00:00:00"/>
    <x v="2"/>
    <x v="3"/>
    <x v="0"/>
    <n v="756.04"/>
    <n v="8"/>
    <n v="94.504999999999995"/>
    <x v="2"/>
  </r>
  <r>
    <s v="T748406"/>
    <s v="C7475"/>
    <d v="2023-11-29T00:00:00"/>
    <x v="1"/>
    <x v="1"/>
    <x v="3"/>
    <n v="630.94000000000005"/>
    <n v="3"/>
    <n v="210.31333333333336"/>
    <x v="0"/>
  </r>
  <r>
    <s v="T915568"/>
    <s v="C1643"/>
    <d v="2023-05-03T00:00:00"/>
    <x v="1"/>
    <x v="0"/>
    <x v="2"/>
    <n v="640.71"/>
    <n v="10"/>
    <n v="64.070999999999998"/>
    <x v="4"/>
  </r>
  <r>
    <s v="T166740"/>
    <s v="C9754"/>
    <d v="2025-08-21T00:00:00"/>
    <x v="0"/>
    <x v="3"/>
    <x v="1"/>
    <n v="972.01"/>
    <n v="5"/>
    <n v="194.40199999999999"/>
    <x v="3"/>
  </r>
  <r>
    <s v="T667972"/>
    <s v="C5229"/>
    <d v="2025-08-24T00:00:00"/>
    <x v="0"/>
    <x v="0"/>
    <x v="0"/>
    <n v="780.65"/>
    <n v="7"/>
    <n v="111.52142857142857"/>
    <x v="3"/>
  </r>
  <r>
    <s v="T825220"/>
    <s v="C7863"/>
    <d v="2023-08-26T00:00:00"/>
    <x v="1"/>
    <x v="3"/>
    <x v="2"/>
    <n v="1858.66"/>
    <n v="8"/>
    <n v="232.33250000000001"/>
    <x v="4"/>
  </r>
  <r>
    <s v="T352739"/>
    <s v="C9004"/>
    <d v="2024-07-06T00:00:00"/>
    <x v="2"/>
    <x v="0"/>
    <x v="0"/>
    <n v="376.33"/>
    <n v="2"/>
    <n v="188.16499999999999"/>
    <x v="2"/>
  </r>
  <r>
    <s v="T476734"/>
    <s v="C9853"/>
    <d v="2024-01-09T00:00:00"/>
    <x v="2"/>
    <x v="3"/>
    <x v="0"/>
    <n v="920.32"/>
    <n v="4"/>
    <n v="230.08"/>
    <x v="3"/>
  </r>
  <r>
    <s v="T389794"/>
    <s v="C5057"/>
    <d v="2024-03-26T00:00:00"/>
    <x v="2"/>
    <x v="3"/>
    <x v="1"/>
    <n v="701.52"/>
    <n v="4"/>
    <n v="175.38"/>
    <x v="2"/>
  </r>
  <r>
    <s v="T641128"/>
    <s v="C3192"/>
    <d v="2024-11-06T00:00:00"/>
    <x v="2"/>
    <x v="1"/>
    <x v="2"/>
    <m/>
    <n v="6"/>
    <m/>
    <x v="3"/>
  </r>
  <r>
    <s v="T576029"/>
    <s v="C7554"/>
    <d v="2024-01-16T00:00:00"/>
    <x v="2"/>
    <x v="1"/>
    <x v="2"/>
    <n v="1733.7"/>
    <n v="5"/>
    <n v="346.74"/>
    <x v="1"/>
  </r>
  <r>
    <s v="T738355"/>
    <s v="C8430"/>
    <d v="2024-07-03T00:00:00"/>
    <x v="2"/>
    <x v="2"/>
    <x v="3"/>
    <n v="1428.17"/>
    <m/>
    <m/>
    <x v="3"/>
  </r>
  <r>
    <s v="T553180"/>
    <s v="C2219"/>
    <d v="2023-02-03T00:00:00"/>
    <x v="1"/>
    <x v="0"/>
    <x v="1"/>
    <n v="1691.08"/>
    <n v="8"/>
    <n v="211.38499999999999"/>
    <x v="4"/>
  </r>
  <r>
    <s v="T753345"/>
    <s v="C9024"/>
    <d v="2025-10-01T00:00:00"/>
    <x v="0"/>
    <x v="1"/>
    <x v="1"/>
    <m/>
    <n v="8"/>
    <m/>
    <x v="1"/>
  </r>
  <r>
    <s v="T740717"/>
    <s v="C5604"/>
    <d v="2023-09-18T00:00:00"/>
    <x v="1"/>
    <x v="1"/>
    <x v="0"/>
    <n v="70.599999999999994"/>
    <n v="2"/>
    <n v="35.299999999999997"/>
    <x v="2"/>
  </r>
  <r>
    <s v="T303831"/>
    <s v="C9699"/>
    <d v="2024-05-20T00:00:00"/>
    <x v="2"/>
    <x v="2"/>
    <x v="0"/>
    <n v="1950.66"/>
    <n v="3"/>
    <n v="650.22"/>
    <x v="1"/>
  </r>
  <r>
    <s v="T447237"/>
    <s v="C1815"/>
    <d v="2025-06-05T00:00:00"/>
    <x v="0"/>
    <x v="0"/>
    <x v="1"/>
    <n v="131.1"/>
    <n v="6"/>
    <n v="21.849999999999998"/>
    <x v="1"/>
  </r>
  <r>
    <s v="T900449"/>
    <s v="C5042"/>
    <d v="2023-03-04T00:00:00"/>
    <x v="1"/>
    <x v="3"/>
    <x v="2"/>
    <n v="1123.82"/>
    <n v="5"/>
    <n v="224.76399999999998"/>
    <x v="2"/>
  </r>
  <r>
    <s v="T824650"/>
    <s v="C4283"/>
    <d v="2025-08-08T00:00:00"/>
    <x v="0"/>
    <x v="3"/>
    <x v="2"/>
    <n v="33.229999999999997"/>
    <n v="7"/>
    <n v="4.7471428571428564"/>
    <x v="1"/>
  </r>
  <r>
    <s v="T964232"/>
    <s v="C4923"/>
    <d v="2023-02-12T00:00:00"/>
    <x v="1"/>
    <x v="3"/>
    <x v="0"/>
    <n v="1071.6199999999999"/>
    <n v="7"/>
    <n v="153.08857142857141"/>
    <x v="3"/>
  </r>
  <r>
    <s v="T863586"/>
    <s v="C1244"/>
    <d v="2025-06-29T00:00:00"/>
    <x v="0"/>
    <x v="2"/>
    <x v="2"/>
    <n v="111.71"/>
    <n v="6"/>
    <n v="18.618333333333332"/>
    <x v="3"/>
  </r>
  <r>
    <s v="T683383"/>
    <s v="C3990"/>
    <d v="2023-06-29T00:00:00"/>
    <x v="1"/>
    <x v="1"/>
    <x v="0"/>
    <m/>
    <n v="1"/>
    <m/>
    <x v="0"/>
  </r>
  <r>
    <s v="T967701"/>
    <s v="C3096"/>
    <d v="2023-01-28T00:00:00"/>
    <x v="1"/>
    <x v="2"/>
    <x v="0"/>
    <m/>
    <n v="9"/>
    <m/>
    <x v="4"/>
  </r>
  <r>
    <s v="T671392"/>
    <s v="C6300"/>
    <d v="2022-10-26T00:00:00"/>
    <x v="3"/>
    <x v="3"/>
    <x v="2"/>
    <n v="1209.26"/>
    <n v="4"/>
    <n v="302.315"/>
    <x v="1"/>
  </r>
  <r>
    <s v="T836645"/>
    <s v="C6512"/>
    <d v="2022-12-02T00:00:00"/>
    <x v="3"/>
    <x v="3"/>
    <x v="3"/>
    <n v="1979.08"/>
    <n v="10"/>
    <n v="197.90799999999999"/>
    <x v="0"/>
  </r>
  <r>
    <s v="T368972"/>
    <s v="C1299"/>
    <d v="2024-11-09T00:00:00"/>
    <x v="2"/>
    <x v="3"/>
    <x v="3"/>
    <n v="1643.12"/>
    <n v="2"/>
    <n v="821.56"/>
    <x v="1"/>
  </r>
  <r>
    <s v="T940722"/>
    <s v="C9372"/>
    <d v="2023-12-30T00:00:00"/>
    <x v="1"/>
    <x v="0"/>
    <x v="0"/>
    <n v="532.66"/>
    <n v="1"/>
    <n v="532.66"/>
    <x v="2"/>
  </r>
  <r>
    <s v="T130364"/>
    <s v="C1567"/>
    <d v="2022-11-18T00:00:00"/>
    <x v="3"/>
    <x v="1"/>
    <x v="1"/>
    <m/>
    <n v="8"/>
    <m/>
    <x v="1"/>
  </r>
  <r>
    <s v="T202404"/>
    <s v="C2637"/>
    <d v="2024-06-12T00:00:00"/>
    <x v="2"/>
    <x v="3"/>
    <x v="0"/>
    <m/>
    <n v="6"/>
    <m/>
    <x v="1"/>
  </r>
  <r>
    <s v="T671630"/>
    <s v="C6013"/>
    <d v="2023-12-13T00:00:00"/>
    <x v="1"/>
    <x v="0"/>
    <x v="1"/>
    <n v="1598.77"/>
    <n v="1"/>
    <n v="1598.77"/>
    <x v="4"/>
  </r>
  <r>
    <s v="T999362"/>
    <s v="C4646"/>
    <d v="2023-01-06T00:00:00"/>
    <x v="1"/>
    <x v="2"/>
    <x v="2"/>
    <n v="714.82"/>
    <n v="1"/>
    <n v="714.82"/>
    <x v="4"/>
  </r>
  <r>
    <s v="T267674"/>
    <s v="C7337"/>
    <d v="2023-04-01T00:00:00"/>
    <x v="1"/>
    <x v="2"/>
    <x v="2"/>
    <n v="1523.23"/>
    <n v="9"/>
    <n v="169.24777777777777"/>
    <x v="1"/>
  </r>
  <r>
    <s v="T276870"/>
    <s v="C2563"/>
    <d v="2024-11-01T00:00:00"/>
    <x v="2"/>
    <x v="3"/>
    <x v="3"/>
    <m/>
    <n v="7"/>
    <m/>
    <x v="4"/>
  </r>
  <r>
    <s v="T643352"/>
    <s v="C4908"/>
    <d v="2023-07-03T00:00:00"/>
    <x v="1"/>
    <x v="1"/>
    <x v="1"/>
    <n v="1324.84"/>
    <n v="3"/>
    <n v="441.61333333333329"/>
    <x v="4"/>
  </r>
  <r>
    <s v="T733981"/>
    <s v="C8167"/>
    <d v="2024-02-05T00:00:00"/>
    <x v="2"/>
    <x v="2"/>
    <x v="2"/>
    <n v="176.83"/>
    <n v="10"/>
    <n v="17.683"/>
    <x v="2"/>
  </r>
  <r>
    <s v="T483407"/>
    <s v="C8535"/>
    <d v="2024-11-24T00:00:00"/>
    <x v="2"/>
    <x v="3"/>
    <x v="2"/>
    <n v="698.5"/>
    <n v="8"/>
    <n v="87.3125"/>
    <x v="0"/>
  </r>
  <r>
    <s v="T883687"/>
    <s v="C8214"/>
    <d v="2023-04-18T00:00:00"/>
    <x v="1"/>
    <x v="3"/>
    <x v="0"/>
    <n v="1358.85"/>
    <n v="1"/>
    <n v="1358.85"/>
    <x v="2"/>
  </r>
  <r>
    <s v="T574823"/>
    <s v="C7963"/>
    <d v="2024-07-18T00:00:00"/>
    <x v="2"/>
    <x v="2"/>
    <x v="0"/>
    <n v="1011.35"/>
    <n v="3"/>
    <n v="337.11666666666667"/>
    <x v="3"/>
  </r>
  <r>
    <s v="T516027"/>
    <s v="C6497"/>
    <d v="2023-06-16T00:00:00"/>
    <x v="1"/>
    <x v="2"/>
    <x v="1"/>
    <n v="1329.38"/>
    <n v="7"/>
    <n v="189.91142857142859"/>
    <x v="4"/>
  </r>
  <r>
    <s v="T517980"/>
    <s v="C1430"/>
    <d v="2023-12-20T00:00:00"/>
    <x v="1"/>
    <x v="0"/>
    <x v="1"/>
    <m/>
    <n v="1"/>
    <m/>
    <x v="4"/>
  </r>
  <r>
    <s v="T324645"/>
    <s v="C4092"/>
    <d v="2023-07-09T00:00:00"/>
    <x v="1"/>
    <x v="0"/>
    <x v="2"/>
    <n v="1396.82"/>
    <n v="6"/>
    <n v="232.80333333333331"/>
    <x v="4"/>
  </r>
  <r>
    <s v="T908672"/>
    <s v="C1664"/>
    <d v="2023-08-23T00:00:00"/>
    <x v="1"/>
    <x v="1"/>
    <x v="1"/>
    <n v="921.75"/>
    <n v="9"/>
    <n v="102.41666666666667"/>
    <x v="4"/>
  </r>
  <r>
    <s v="T566501"/>
    <s v="C9155"/>
    <d v="2023-04-25T00:00:00"/>
    <x v="1"/>
    <x v="3"/>
    <x v="1"/>
    <n v="1352.05"/>
    <n v="7"/>
    <n v="193.15"/>
    <x v="2"/>
  </r>
  <r>
    <s v="T235061"/>
    <s v="C2338"/>
    <d v="2024-10-10T00:00:00"/>
    <x v="2"/>
    <x v="0"/>
    <x v="1"/>
    <n v="1158.21"/>
    <n v="9"/>
    <n v="128.69"/>
    <x v="4"/>
  </r>
  <r>
    <s v="T403300"/>
    <s v="C9441"/>
    <d v="2024-12-22T00:00:00"/>
    <x v="2"/>
    <x v="3"/>
    <x v="0"/>
    <m/>
    <n v="9"/>
    <m/>
    <x v="4"/>
  </r>
  <r>
    <s v="T963251"/>
    <s v="C6274"/>
    <d v="2024-04-12T00:00:00"/>
    <x v="2"/>
    <x v="2"/>
    <x v="2"/>
    <n v="166.45"/>
    <n v="2"/>
    <n v="83.224999999999994"/>
    <x v="4"/>
  </r>
  <r>
    <s v="T724043"/>
    <s v="C5045"/>
    <d v="2024-12-30T00:00:00"/>
    <x v="2"/>
    <x v="2"/>
    <x v="0"/>
    <n v="426.96"/>
    <n v="4"/>
    <n v="106.74"/>
    <x v="3"/>
  </r>
  <r>
    <s v="T799251"/>
    <s v="C8135"/>
    <d v="2023-11-10T00:00:00"/>
    <x v="1"/>
    <x v="3"/>
    <x v="1"/>
    <n v="202.53"/>
    <n v="2"/>
    <n v="101.265"/>
    <x v="3"/>
  </r>
  <r>
    <s v="T914892"/>
    <s v="C6974"/>
    <d v="2024-09-01T00:00:00"/>
    <x v="2"/>
    <x v="1"/>
    <x v="2"/>
    <m/>
    <n v="8"/>
    <m/>
    <x v="3"/>
  </r>
  <r>
    <s v="T262603"/>
    <s v="C2490"/>
    <d v="2022-12-27T00:00:00"/>
    <x v="3"/>
    <x v="1"/>
    <x v="1"/>
    <n v="513.79999999999995"/>
    <n v="2"/>
    <n v="256.89999999999998"/>
    <x v="1"/>
  </r>
  <r>
    <s v="T681887"/>
    <s v="C6485"/>
    <d v="2024-07-15T00:00:00"/>
    <x v="2"/>
    <x v="1"/>
    <x v="3"/>
    <n v="626.21"/>
    <n v="8"/>
    <n v="78.276250000000005"/>
    <x v="4"/>
  </r>
  <r>
    <s v="T536996"/>
    <s v="C4958"/>
    <d v="2023-10-22T00:00:00"/>
    <x v="1"/>
    <x v="0"/>
    <x v="1"/>
    <n v="680.1"/>
    <n v="9"/>
    <n v="75.566666666666663"/>
    <x v="3"/>
  </r>
  <r>
    <s v="T428617"/>
    <s v="C7362"/>
    <d v="2023-11-03T00:00:00"/>
    <x v="1"/>
    <x v="2"/>
    <x v="0"/>
    <n v="1567.41"/>
    <n v="1"/>
    <n v="1567.41"/>
    <x v="2"/>
  </r>
  <r>
    <s v="T969365"/>
    <s v="C9961"/>
    <d v="2023-02-17T00:00:00"/>
    <x v="1"/>
    <x v="0"/>
    <x v="0"/>
    <n v="549.19000000000005"/>
    <n v="4"/>
    <n v="137.29750000000001"/>
    <x v="1"/>
  </r>
  <r>
    <s v="T494474"/>
    <s v="C2507"/>
    <d v="2022-11-01T00:00:00"/>
    <x v="3"/>
    <x v="0"/>
    <x v="1"/>
    <n v="178.92"/>
    <n v="5"/>
    <n v="35.783999999999999"/>
    <x v="4"/>
  </r>
  <r>
    <s v="T284136"/>
    <s v="C1714"/>
    <d v="2025-08-23T00:00:00"/>
    <x v="0"/>
    <x v="3"/>
    <x v="1"/>
    <m/>
    <n v="6"/>
    <m/>
    <x v="2"/>
  </r>
  <r>
    <s v="T583292"/>
    <s v="C1660"/>
    <d v="2024-07-10T00:00:00"/>
    <x v="2"/>
    <x v="1"/>
    <x v="1"/>
    <n v="1493.68"/>
    <n v="7"/>
    <n v="213.38285714285715"/>
    <x v="2"/>
  </r>
  <r>
    <s v="T570938"/>
    <s v="C1410"/>
    <d v="2023-05-29T00:00:00"/>
    <x v="1"/>
    <x v="2"/>
    <x v="2"/>
    <n v="470.86"/>
    <n v="6"/>
    <n v="78.476666666666674"/>
    <x v="0"/>
  </r>
  <r>
    <s v="T387398"/>
    <s v="C5381"/>
    <d v="2023-10-21T00:00:00"/>
    <x v="1"/>
    <x v="1"/>
    <x v="1"/>
    <n v="654.89"/>
    <n v="3"/>
    <n v="218.29666666666665"/>
    <x v="2"/>
  </r>
  <r>
    <s v="T515187"/>
    <s v="C1260"/>
    <d v="2024-09-27T00:00:00"/>
    <x v="2"/>
    <x v="3"/>
    <x v="3"/>
    <m/>
    <n v="7"/>
    <m/>
    <x v="3"/>
  </r>
  <r>
    <s v="T438501"/>
    <s v="C1408"/>
    <d v="2022-11-13T00:00:00"/>
    <x v="3"/>
    <x v="2"/>
    <x v="3"/>
    <m/>
    <n v="6"/>
    <m/>
    <x v="2"/>
  </r>
  <r>
    <s v="T984266"/>
    <s v="C6006"/>
    <d v="2022-12-26T00:00:00"/>
    <x v="3"/>
    <x v="3"/>
    <x v="2"/>
    <m/>
    <n v="1"/>
    <m/>
    <x v="4"/>
  </r>
  <r>
    <s v="T599657"/>
    <s v="C6420"/>
    <d v="2025-09-29T00:00:00"/>
    <x v="0"/>
    <x v="2"/>
    <x v="2"/>
    <n v="88.29"/>
    <m/>
    <m/>
    <x v="4"/>
  </r>
  <r>
    <s v="T222844"/>
    <s v="C8319"/>
    <d v="2025-10-21T00:00:00"/>
    <x v="0"/>
    <x v="2"/>
    <x v="2"/>
    <n v="372.53"/>
    <m/>
    <m/>
    <x v="3"/>
  </r>
  <r>
    <s v="T226086"/>
    <s v="C1120"/>
    <d v="2023-12-23T00:00:00"/>
    <x v="1"/>
    <x v="3"/>
    <x v="1"/>
    <n v="716.46"/>
    <n v="5"/>
    <n v="143.292"/>
    <x v="2"/>
  </r>
  <r>
    <s v="T133787"/>
    <s v="C6908"/>
    <d v="2024-08-10T00:00:00"/>
    <x v="2"/>
    <x v="2"/>
    <x v="2"/>
    <n v="1142.9000000000001"/>
    <n v="9"/>
    <n v="126.98888888888889"/>
    <x v="1"/>
  </r>
  <r>
    <s v="T118079"/>
    <s v="C3865"/>
    <d v="2024-03-14T00:00:00"/>
    <x v="2"/>
    <x v="2"/>
    <x v="1"/>
    <n v="115.25"/>
    <n v="7"/>
    <n v="16.464285714285715"/>
    <x v="0"/>
  </r>
  <r>
    <s v="T493077"/>
    <s v="C6429"/>
    <d v="2025-01-29T00:00:00"/>
    <x v="0"/>
    <x v="3"/>
    <x v="2"/>
    <n v="1372.26"/>
    <n v="10"/>
    <n v="137.226"/>
    <x v="4"/>
  </r>
  <r>
    <s v="T328506"/>
    <s v="C6241"/>
    <d v="2025-03-01T00:00:00"/>
    <x v="0"/>
    <x v="3"/>
    <x v="3"/>
    <n v="156.05000000000001"/>
    <n v="1"/>
    <n v="156.05000000000001"/>
    <x v="2"/>
  </r>
  <r>
    <s v="T794759"/>
    <s v="C4703"/>
    <d v="2023-04-04T00:00:00"/>
    <x v="1"/>
    <x v="3"/>
    <x v="3"/>
    <n v="923.25"/>
    <n v="2"/>
    <n v="461.625"/>
    <x v="4"/>
  </r>
  <r>
    <s v="T336349"/>
    <s v="C9591"/>
    <d v="2024-09-03T00:00:00"/>
    <x v="2"/>
    <x v="1"/>
    <x v="3"/>
    <n v="1895.2"/>
    <n v="9"/>
    <n v="210.57777777777778"/>
    <x v="3"/>
  </r>
  <r>
    <s v="T195224"/>
    <s v="C4949"/>
    <d v="2023-12-18T00:00:00"/>
    <x v="1"/>
    <x v="2"/>
    <x v="0"/>
    <n v="1387.42"/>
    <n v="2"/>
    <n v="693.71"/>
    <x v="0"/>
  </r>
  <r>
    <s v="T432373"/>
    <s v="C5181"/>
    <d v="2024-04-28T00:00:00"/>
    <x v="2"/>
    <x v="2"/>
    <x v="1"/>
    <n v="1040.29"/>
    <n v="5"/>
    <n v="208.05799999999999"/>
    <x v="1"/>
  </r>
  <r>
    <s v="T133189"/>
    <s v="C6920"/>
    <d v="2024-07-12T00:00:00"/>
    <x v="2"/>
    <x v="0"/>
    <x v="1"/>
    <n v="1747.66"/>
    <n v="3"/>
    <n v="582.5533333333334"/>
    <x v="3"/>
  </r>
  <r>
    <s v="T990812"/>
    <s v="C4262"/>
    <d v="2025-02-12T00:00:00"/>
    <x v="0"/>
    <x v="1"/>
    <x v="1"/>
    <n v="1706.45"/>
    <n v="6"/>
    <n v="284.40833333333336"/>
    <x v="1"/>
  </r>
  <r>
    <s v="T873413"/>
    <s v="C3390"/>
    <d v="2024-05-20T00:00:00"/>
    <x v="2"/>
    <x v="2"/>
    <x v="1"/>
    <m/>
    <n v="7"/>
    <m/>
    <x v="1"/>
  </r>
  <r>
    <s v="T267436"/>
    <s v="C2421"/>
    <d v="2024-06-04T00:00:00"/>
    <x v="2"/>
    <x v="3"/>
    <x v="1"/>
    <n v="411.9"/>
    <n v="1"/>
    <n v="411.9"/>
    <x v="0"/>
  </r>
  <r>
    <s v="T569959"/>
    <s v="C6259"/>
    <d v="2025-07-16T00:00:00"/>
    <x v="0"/>
    <x v="3"/>
    <x v="1"/>
    <n v="1968.9"/>
    <m/>
    <m/>
    <x v="4"/>
  </r>
  <r>
    <s v="T448032"/>
    <s v="C4459"/>
    <d v="2023-11-29T00:00:00"/>
    <x v="1"/>
    <x v="3"/>
    <x v="2"/>
    <n v="1098.71"/>
    <n v="9"/>
    <n v="122.0788888888889"/>
    <x v="2"/>
  </r>
  <r>
    <s v="T254707"/>
    <s v="C7713"/>
    <d v="2023-09-10T00:00:00"/>
    <x v="1"/>
    <x v="2"/>
    <x v="2"/>
    <n v="461.21"/>
    <n v="9"/>
    <n v="51.245555555555555"/>
    <x v="0"/>
  </r>
  <r>
    <s v="T685319"/>
    <s v="C6890"/>
    <d v="2023-05-19T00:00:00"/>
    <x v="1"/>
    <x v="3"/>
    <x v="2"/>
    <n v="1529.65"/>
    <n v="8"/>
    <n v="191.20625000000001"/>
    <x v="3"/>
  </r>
  <r>
    <s v="T876802"/>
    <s v="C4767"/>
    <d v="2024-07-05T00:00:00"/>
    <x v="2"/>
    <x v="3"/>
    <x v="2"/>
    <n v="1994.81"/>
    <n v="7"/>
    <n v="284.97285714285715"/>
    <x v="0"/>
  </r>
  <r>
    <s v="T734590"/>
    <s v="C3640"/>
    <d v="2024-05-14T00:00:00"/>
    <x v="2"/>
    <x v="1"/>
    <x v="1"/>
    <n v="1516.06"/>
    <n v="10"/>
    <n v="151.60599999999999"/>
    <x v="2"/>
  </r>
  <r>
    <s v="T171307"/>
    <s v="C1430"/>
    <d v="2024-12-29T00:00:00"/>
    <x v="2"/>
    <x v="3"/>
    <x v="3"/>
    <n v="718.52"/>
    <n v="4"/>
    <n v="179.63"/>
    <x v="2"/>
  </r>
  <r>
    <s v="T429478"/>
    <s v="C1140"/>
    <d v="2024-03-06T00:00:00"/>
    <x v="2"/>
    <x v="0"/>
    <x v="1"/>
    <n v="1784.52"/>
    <m/>
    <m/>
    <x v="1"/>
  </r>
  <r>
    <s v="T627498"/>
    <s v="C6869"/>
    <d v="2023-04-09T00:00:00"/>
    <x v="1"/>
    <x v="2"/>
    <x v="1"/>
    <n v="1306.51"/>
    <n v="10"/>
    <n v="130.65100000000001"/>
    <x v="2"/>
  </r>
  <r>
    <s v="T978537"/>
    <s v="C8411"/>
    <d v="2024-11-27T00:00:00"/>
    <x v="2"/>
    <x v="3"/>
    <x v="2"/>
    <n v="490.77"/>
    <n v="6"/>
    <n v="81.795000000000002"/>
    <x v="4"/>
  </r>
  <r>
    <s v="T618376"/>
    <s v="C5120"/>
    <d v="2025-04-16T00:00:00"/>
    <x v="0"/>
    <x v="3"/>
    <x v="1"/>
    <n v="278.77999999999997"/>
    <n v="3"/>
    <n v="92.926666666666662"/>
    <x v="0"/>
  </r>
  <r>
    <s v="T151557"/>
    <s v="C6883"/>
    <d v="2024-07-16T00:00:00"/>
    <x v="2"/>
    <x v="3"/>
    <x v="1"/>
    <n v="1848.18"/>
    <n v="10"/>
    <n v="184.81800000000001"/>
    <x v="0"/>
  </r>
  <r>
    <s v="T315039"/>
    <s v="C6359"/>
    <d v="2024-04-23T00:00:00"/>
    <x v="2"/>
    <x v="2"/>
    <x v="1"/>
    <n v="1247.99"/>
    <n v="2"/>
    <n v="623.995"/>
    <x v="4"/>
  </r>
  <r>
    <s v="T362369"/>
    <s v="C3299"/>
    <d v="2023-07-30T00:00:00"/>
    <x v="1"/>
    <x v="0"/>
    <x v="1"/>
    <m/>
    <n v="3"/>
    <m/>
    <x v="4"/>
  </r>
  <r>
    <s v="T384839"/>
    <s v="C1796"/>
    <d v="2025-09-25T00:00:00"/>
    <x v="0"/>
    <x v="3"/>
    <x v="2"/>
    <n v="1320.76"/>
    <n v="5"/>
    <n v="264.15199999999999"/>
    <x v="1"/>
  </r>
  <r>
    <s v="T507554"/>
    <s v="C2588"/>
    <d v="2025-06-11T00:00:00"/>
    <x v="0"/>
    <x v="1"/>
    <x v="3"/>
    <n v="680.47"/>
    <n v="3"/>
    <n v="226.82333333333335"/>
    <x v="3"/>
  </r>
  <r>
    <s v="T240080"/>
    <s v="C4343"/>
    <d v="2024-07-07T00:00:00"/>
    <x v="2"/>
    <x v="2"/>
    <x v="3"/>
    <n v="1682.89"/>
    <n v="4"/>
    <n v="420.72250000000003"/>
    <x v="4"/>
  </r>
  <r>
    <s v="T211588"/>
    <s v="C2559"/>
    <d v="2024-01-05T00:00:00"/>
    <x v="2"/>
    <x v="0"/>
    <x v="2"/>
    <n v="1790.48"/>
    <n v="10"/>
    <n v="179.048"/>
    <x v="2"/>
  </r>
  <r>
    <s v="T138832"/>
    <s v="C3628"/>
    <d v="2024-12-09T00:00:00"/>
    <x v="2"/>
    <x v="1"/>
    <x v="1"/>
    <n v="1690.55"/>
    <n v="5"/>
    <n v="338.11"/>
    <x v="4"/>
  </r>
  <r>
    <s v="T648564"/>
    <s v="C6476"/>
    <d v="2023-09-05T00:00:00"/>
    <x v="1"/>
    <x v="1"/>
    <x v="0"/>
    <n v="1810.26"/>
    <n v="2"/>
    <n v="905.13"/>
    <x v="0"/>
  </r>
  <r>
    <s v="T770373"/>
    <s v="C9032"/>
    <d v="2023-10-06T00:00:00"/>
    <x v="1"/>
    <x v="3"/>
    <x v="3"/>
    <n v="462.03"/>
    <n v="3"/>
    <n v="154.01"/>
    <x v="4"/>
  </r>
  <r>
    <s v="T930774"/>
    <s v="C4350"/>
    <d v="2023-09-06T00:00:00"/>
    <x v="1"/>
    <x v="3"/>
    <x v="1"/>
    <n v="738.07"/>
    <n v="5"/>
    <n v="147.614"/>
    <x v="0"/>
  </r>
  <r>
    <s v="T463707"/>
    <s v="C7651"/>
    <d v="2024-08-12T00:00:00"/>
    <x v="2"/>
    <x v="3"/>
    <x v="1"/>
    <n v="252.05"/>
    <n v="2"/>
    <n v="126.02500000000001"/>
    <x v="1"/>
  </r>
  <r>
    <s v="T650862"/>
    <s v="C6114"/>
    <d v="2025-01-11T00:00:00"/>
    <x v="0"/>
    <x v="2"/>
    <x v="3"/>
    <n v="129.37"/>
    <n v="4"/>
    <n v="32.342500000000001"/>
    <x v="3"/>
  </r>
  <r>
    <s v="T549758"/>
    <s v="C9263"/>
    <d v="2025-07-10T00:00:00"/>
    <x v="0"/>
    <x v="1"/>
    <x v="3"/>
    <n v="1785.38"/>
    <n v="7"/>
    <n v="255.05428571428573"/>
    <x v="4"/>
  </r>
  <r>
    <s v="T157994"/>
    <s v="C2065"/>
    <d v="2024-09-07T00:00:00"/>
    <x v="2"/>
    <x v="1"/>
    <x v="0"/>
    <n v="1080.3599999999999"/>
    <n v="7"/>
    <n v="154.33714285714285"/>
    <x v="0"/>
  </r>
  <r>
    <s v="T361312"/>
    <s v="C2381"/>
    <d v="2025-05-20T00:00:00"/>
    <x v="0"/>
    <x v="1"/>
    <x v="0"/>
    <n v="1898.99"/>
    <n v="3"/>
    <n v="632.99666666666667"/>
    <x v="4"/>
  </r>
  <r>
    <s v="T349327"/>
    <s v="C4156"/>
    <d v="2024-12-07T00:00:00"/>
    <x v="2"/>
    <x v="3"/>
    <x v="0"/>
    <n v="1277.82"/>
    <n v="7"/>
    <n v="182.54571428571427"/>
    <x v="1"/>
  </r>
  <r>
    <s v="T918292"/>
    <s v="C2449"/>
    <d v="2025-09-30T00:00:00"/>
    <x v="0"/>
    <x v="2"/>
    <x v="0"/>
    <m/>
    <n v="9"/>
    <m/>
    <x v="3"/>
  </r>
  <r>
    <s v="T740383"/>
    <s v="C4244"/>
    <d v="2024-12-11T00:00:00"/>
    <x v="2"/>
    <x v="1"/>
    <x v="2"/>
    <m/>
    <n v="9"/>
    <m/>
    <x v="0"/>
  </r>
  <r>
    <s v="T637609"/>
    <s v="C2788"/>
    <d v="2023-06-17T00:00:00"/>
    <x v="1"/>
    <x v="1"/>
    <x v="0"/>
    <n v="713.01"/>
    <n v="5"/>
    <n v="142.602"/>
    <x v="0"/>
  </r>
  <r>
    <s v="T758511"/>
    <s v="C5982"/>
    <d v="2023-07-26T00:00:00"/>
    <x v="1"/>
    <x v="1"/>
    <x v="2"/>
    <n v="1275.18"/>
    <n v="8"/>
    <n v="159.39750000000001"/>
    <x v="1"/>
  </r>
  <r>
    <s v="T322283"/>
    <s v="C8023"/>
    <d v="2023-07-25T00:00:00"/>
    <x v="1"/>
    <x v="0"/>
    <x v="1"/>
    <n v="1281.1500000000001"/>
    <n v="6"/>
    <n v="213.52500000000001"/>
    <x v="2"/>
  </r>
  <r>
    <s v="T720160"/>
    <s v="C5763"/>
    <d v="2024-10-18T00:00:00"/>
    <x v="2"/>
    <x v="3"/>
    <x v="3"/>
    <n v="1790.01"/>
    <n v="8"/>
    <n v="223.75125"/>
    <x v="1"/>
  </r>
  <r>
    <s v="T423723"/>
    <s v="C5974"/>
    <d v="2024-07-10T00:00:00"/>
    <x v="2"/>
    <x v="1"/>
    <x v="0"/>
    <n v="463.69"/>
    <n v="8"/>
    <n v="57.96125"/>
    <x v="0"/>
  </r>
  <r>
    <s v="T972138"/>
    <s v="C8212"/>
    <d v="2023-07-25T00:00:00"/>
    <x v="1"/>
    <x v="1"/>
    <x v="0"/>
    <n v="1363.91"/>
    <n v="9"/>
    <n v="151.54555555555555"/>
    <x v="1"/>
  </r>
  <r>
    <s v="T964407"/>
    <s v="C5659"/>
    <d v="2024-09-28T00:00:00"/>
    <x v="2"/>
    <x v="2"/>
    <x v="2"/>
    <n v="1781.9"/>
    <n v="10"/>
    <n v="178.19"/>
    <x v="0"/>
  </r>
  <r>
    <s v="T592962"/>
    <s v="C7701"/>
    <d v="2024-11-06T00:00:00"/>
    <x v="2"/>
    <x v="0"/>
    <x v="1"/>
    <n v="908.66"/>
    <n v="4"/>
    <n v="227.16499999999999"/>
    <x v="1"/>
  </r>
  <r>
    <s v="T822707"/>
    <s v="C8320"/>
    <d v="2024-11-09T00:00:00"/>
    <x v="2"/>
    <x v="3"/>
    <x v="3"/>
    <n v="805.97"/>
    <n v="9"/>
    <n v="89.552222222222227"/>
    <x v="0"/>
  </r>
  <r>
    <s v="T965757"/>
    <s v="C8207"/>
    <d v="2022-12-31T00:00:00"/>
    <x v="3"/>
    <x v="0"/>
    <x v="3"/>
    <m/>
    <n v="2"/>
    <m/>
    <x v="3"/>
  </r>
  <r>
    <s v="T243742"/>
    <s v="C7192"/>
    <d v="2024-01-08T00:00:00"/>
    <x v="2"/>
    <x v="0"/>
    <x v="1"/>
    <n v="625.35"/>
    <n v="7"/>
    <n v="89.335714285714289"/>
    <x v="0"/>
  </r>
  <r>
    <s v="T187276"/>
    <s v="C1885"/>
    <d v="2023-04-05T00:00:00"/>
    <x v="1"/>
    <x v="0"/>
    <x v="2"/>
    <n v="1858.71"/>
    <n v="1"/>
    <n v="1858.71"/>
    <x v="4"/>
  </r>
  <r>
    <s v="T530798"/>
    <s v="C5492"/>
    <d v="2024-01-25T00:00:00"/>
    <x v="2"/>
    <x v="0"/>
    <x v="3"/>
    <n v="1102.9000000000001"/>
    <m/>
    <m/>
    <x v="4"/>
  </r>
  <r>
    <s v="T956567"/>
    <s v="C1254"/>
    <d v="2025-06-30T00:00:00"/>
    <x v="0"/>
    <x v="3"/>
    <x v="1"/>
    <n v="956.51"/>
    <n v="8"/>
    <n v="119.56375"/>
    <x v="2"/>
  </r>
  <r>
    <s v="T508276"/>
    <s v="C7210"/>
    <d v="2024-03-26T00:00:00"/>
    <x v="2"/>
    <x v="3"/>
    <x v="2"/>
    <n v="395.67"/>
    <n v="1"/>
    <n v="395.67"/>
    <x v="4"/>
  </r>
  <r>
    <s v="T362271"/>
    <s v="C9403"/>
    <d v="2022-10-28T00:00:00"/>
    <x v="3"/>
    <x v="1"/>
    <x v="2"/>
    <n v="319.14"/>
    <n v="2"/>
    <n v="159.57"/>
    <x v="1"/>
  </r>
  <r>
    <s v="T623697"/>
    <s v="C4170"/>
    <d v="2023-10-03T00:00:00"/>
    <x v="1"/>
    <x v="1"/>
    <x v="2"/>
    <n v="1126.1199999999999"/>
    <n v="10"/>
    <n v="112.61199999999999"/>
    <x v="1"/>
  </r>
  <r>
    <s v="T332917"/>
    <s v="C6207"/>
    <d v="2024-07-19T00:00:00"/>
    <x v="2"/>
    <x v="1"/>
    <x v="2"/>
    <m/>
    <n v="3"/>
    <m/>
    <x v="1"/>
  </r>
  <r>
    <s v="T263267"/>
    <s v="C9751"/>
    <d v="2024-03-30T00:00:00"/>
    <x v="2"/>
    <x v="0"/>
    <x v="3"/>
    <m/>
    <n v="5"/>
    <m/>
    <x v="1"/>
  </r>
  <r>
    <s v="T553297"/>
    <s v="C2777"/>
    <d v="2023-03-19T00:00:00"/>
    <x v="1"/>
    <x v="1"/>
    <x v="2"/>
    <n v="1859.31"/>
    <n v="2"/>
    <n v="929.65499999999997"/>
    <x v="4"/>
  </r>
  <r>
    <s v="T806882"/>
    <s v="C7239"/>
    <d v="2023-11-17T00:00:00"/>
    <x v="1"/>
    <x v="2"/>
    <x v="1"/>
    <n v="514.09"/>
    <n v="8"/>
    <n v="64.261250000000004"/>
    <x v="0"/>
  </r>
  <r>
    <s v="T888502"/>
    <s v="C9926"/>
    <d v="2025-06-13T00:00:00"/>
    <x v="0"/>
    <x v="2"/>
    <x v="0"/>
    <n v="1397.24"/>
    <n v="5"/>
    <n v="279.44799999999998"/>
    <x v="3"/>
  </r>
  <r>
    <s v="T619530"/>
    <s v="C8201"/>
    <d v="2022-12-22T00:00:00"/>
    <x v="3"/>
    <x v="1"/>
    <x v="1"/>
    <m/>
    <n v="5"/>
    <m/>
    <x v="1"/>
  </r>
  <r>
    <s v="T298936"/>
    <s v="C9327"/>
    <d v="2023-10-18T00:00:00"/>
    <x v="1"/>
    <x v="3"/>
    <x v="1"/>
    <n v="126.32"/>
    <n v="1"/>
    <n v="126.32"/>
    <x v="3"/>
  </r>
  <r>
    <s v="T204673"/>
    <s v="C4420"/>
    <d v="2024-04-19T00:00:00"/>
    <x v="2"/>
    <x v="0"/>
    <x v="1"/>
    <n v="1818.95"/>
    <n v="1"/>
    <n v="1818.95"/>
    <x v="1"/>
  </r>
  <r>
    <s v="T851528"/>
    <s v="C7211"/>
    <d v="2024-12-02T00:00:00"/>
    <x v="2"/>
    <x v="1"/>
    <x v="3"/>
    <n v="1892.97"/>
    <n v="9"/>
    <n v="210.33"/>
    <x v="0"/>
  </r>
  <r>
    <s v="T646238"/>
    <s v="C2751"/>
    <d v="2025-07-23T00:00:00"/>
    <x v="0"/>
    <x v="0"/>
    <x v="2"/>
    <n v="1081.0999999999999"/>
    <n v="4"/>
    <n v="270.27499999999998"/>
    <x v="3"/>
  </r>
  <r>
    <s v="T274655"/>
    <s v="C8060"/>
    <d v="2023-04-26T00:00:00"/>
    <x v="1"/>
    <x v="0"/>
    <x v="3"/>
    <n v="1680.33"/>
    <n v="6"/>
    <n v="280.05500000000001"/>
    <x v="0"/>
  </r>
  <r>
    <s v="T772666"/>
    <s v="C7606"/>
    <d v="2023-08-07T00:00:00"/>
    <x v="1"/>
    <x v="3"/>
    <x v="0"/>
    <n v="977.92"/>
    <n v="7"/>
    <n v="139.70285714285714"/>
    <x v="4"/>
  </r>
  <r>
    <s v="T475655"/>
    <s v="C9873"/>
    <d v="2025-10-13T00:00:00"/>
    <x v="0"/>
    <x v="1"/>
    <x v="2"/>
    <n v="1207.03"/>
    <n v="9"/>
    <n v="134.11444444444444"/>
    <x v="3"/>
  </r>
  <r>
    <s v="T214629"/>
    <s v="C9683"/>
    <d v="2025-08-02T00:00:00"/>
    <x v="0"/>
    <x v="0"/>
    <x v="1"/>
    <m/>
    <n v="10"/>
    <m/>
    <x v="2"/>
  </r>
  <r>
    <s v="T936861"/>
    <s v="C2315"/>
    <d v="2025-02-27T00:00:00"/>
    <x v="0"/>
    <x v="1"/>
    <x v="1"/>
    <n v="1187.8599999999999"/>
    <n v="9"/>
    <n v="131.98444444444442"/>
    <x v="4"/>
  </r>
  <r>
    <s v="T923504"/>
    <s v="C3813"/>
    <d v="2023-11-14T00:00:00"/>
    <x v="1"/>
    <x v="1"/>
    <x v="1"/>
    <n v="1613.95"/>
    <n v="9"/>
    <n v="179.32777777777778"/>
    <x v="3"/>
  </r>
  <r>
    <s v="T734026"/>
    <s v="C7238"/>
    <d v="2025-09-26T00:00:00"/>
    <x v="0"/>
    <x v="0"/>
    <x v="2"/>
    <n v="296.85000000000002"/>
    <n v="2"/>
    <n v="148.42500000000001"/>
    <x v="3"/>
  </r>
  <r>
    <s v="T217697"/>
    <s v="C6416"/>
    <d v="2025-09-06T00:00:00"/>
    <x v="0"/>
    <x v="0"/>
    <x v="3"/>
    <n v="1099.58"/>
    <n v="7"/>
    <n v="157.08285714285714"/>
    <x v="2"/>
  </r>
  <r>
    <s v="T437854"/>
    <s v="C5210"/>
    <d v="2025-03-23T00:00:00"/>
    <x v="0"/>
    <x v="2"/>
    <x v="3"/>
    <n v="1527.22"/>
    <n v="10"/>
    <n v="152.72200000000001"/>
    <x v="3"/>
  </r>
  <r>
    <s v="T758996"/>
    <s v="C3395"/>
    <d v="2024-08-01T00:00:00"/>
    <x v="2"/>
    <x v="1"/>
    <x v="1"/>
    <n v="1848.53"/>
    <n v="5"/>
    <n v="369.70600000000002"/>
    <x v="1"/>
  </r>
  <r>
    <s v="T839490"/>
    <s v="C2075"/>
    <d v="2022-12-19T00:00:00"/>
    <x v="3"/>
    <x v="0"/>
    <x v="0"/>
    <n v="776.61"/>
    <n v="10"/>
    <n v="77.661000000000001"/>
    <x v="3"/>
  </r>
  <r>
    <s v="T722319"/>
    <s v="C8839"/>
    <d v="2023-03-26T00:00:00"/>
    <x v="1"/>
    <x v="0"/>
    <x v="0"/>
    <n v="1453.47"/>
    <n v="7"/>
    <n v="207.63857142857142"/>
    <x v="1"/>
  </r>
  <r>
    <s v="T881813"/>
    <s v="C9831"/>
    <d v="2025-04-06T00:00:00"/>
    <x v="0"/>
    <x v="1"/>
    <x v="0"/>
    <n v="1429.63"/>
    <n v="7"/>
    <n v="204.23285714285717"/>
    <x v="0"/>
  </r>
  <r>
    <s v="T367433"/>
    <s v="C6661"/>
    <d v="2023-12-04T00:00:00"/>
    <x v="1"/>
    <x v="1"/>
    <x v="3"/>
    <n v="1048.6300000000001"/>
    <n v="3"/>
    <n v="349.54333333333335"/>
    <x v="4"/>
  </r>
  <r>
    <s v="T942853"/>
    <s v="C2388"/>
    <d v="2025-08-31T00:00:00"/>
    <x v="0"/>
    <x v="1"/>
    <x v="3"/>
    <n v="1323.48"/>
    <n v="2"/>
    <n v="661.74"/>
    <x v="1"/>
  </r>
  <r>
    <s v="T863966"/>
    <s v="C5602"/>
    <d v="2023-08-13T00:00:00"/>
    <x v="1"/>
    <x v="3"/>
    <x v="0"/>
    <n v="1209.46"/>
    <n v="1"/>
    <n v="1209.46"/>
    <x v="2"/>
  </r>
  <r>
    <s v="T839331"/>
    <s v="C5397"/>
    <d v="2023-06-18T00:00:00"/>
    <x v="1"/>
    <x v="3"/>
    <x v="2"/>
    <n v="1378.75"/>
    <n v="6"/>
    <n v="229.79166666666666"/>
    <x v="1"/>
  </r>
  <r>
    <s v="T939511"/>
    <s v="C5639"/>
    <d v="2023-02-23T00:00:00"/>
    <x v="1"/>
    <x v="2"/>
    <x v="3"/>
    <n v="852.12"/>
    <n v="7"/>
    <n v="121.73142857142857"/>
    <x v="4"/>
  </r>
  <r>
    <s v="T268418"/>
    <s v="C3011"/>
    <d v="2024-11-13T00:00:00"/>
    <x v="2"/>
    <x v="1"/>
    <x v="3"/>
    <n v="1816.86"/>
    <n v="2"/>
    <n v="908.43"/>
    <x v="2"/>
  </r>
  <r>
    <s v="T198791"/>
    <s v="C4839"/>
    <d v="2024-11-26T00:00:00"/>
    <x v="2"/>
    <x v="3"/>
    <x v="1"/>
    <n v="1237.02"/>
    <n v="4"/>
    <n v="309.255"/>
    <x v="0"/>
  </r>
  <r>
    <s v="T490723"/>
    <s v="C1234"/>
    <d v="2025-04-16T00:00:00"/>
    <x v="0"/>
    <x v="1"/>
    <x v="1"/>
    <n v="164.78"/>
    <n v="3"/>
    <n v="54.926666666666669"/>
    <x v="2"/>
  </r>
  <r>
    <s v="T350397"/>
    <s v="C9336"/>
    <d v="2023-06-05T00:00:00"/>
    <x v="1"/>
    <x v="3"/>
    <x v="3"/>
    <n v="610.70000000000005"/>
    <n v="8"/>
    <n v="76.337500000000006"/>
    <x v="1"/>
  </r>
  <r>
    <s v="T552533"/>
    <s v="C4709"/>
    <d v="2025-06-19T00:00:00"/>
    <x v="0"/>
    <x v="0"/>
    <x v="2"/>
    <n v="12.05"/>
    <n v="2"/>
    <n v="6.0250000000000004"/>
    <x v="1"/>
  </r>
  <r>
    <s v="T443299"/>
    <s v="C7526"/>
    <d v="2023-08-22T00:00:00"/>
    <x v="1"/>
    <x v="0"/>
    <x v="0"/>
    <n v="1912.4"/>
    <n v="2"/>
    <n v="956.2"/>
    <x v="4"/>
  </r>
  <r>
    <s v="T980108"/>
    <s v="C6174"/>
    <d v="2024-06-07T00:00:00"/>
    <x v="2"/>
    <x v="3"/>
    <x v="1"/>
    <n v="1993.99"/>
    <n v="1"/>
    <n v="1993.99"/>
    <x v="2"/>
  </r>
  <r>
    <s v="T118495"/>
    <s v="C6803"/>
    <d v="2023-09-04T00:00:00"/>
    <x v="1"/>
    <x v="1"/>
    <x v="3"/>
    <n v="1386.56"/>
    <m/>
    <m/>
    <x v="2"/>
  </r>
  <r>
    <s v="T430135"/>
    <s v="C9675"/>
    <d v="2024-09-15T00:00:00"/>
    <x v="2"/>
    <x v="2"/>
    <x v="1"/>
    <n v="1776.6"/>
    <n v="3"/>
    <n v="592.19999999999993"/>
    <x v="2"/>
  </r>
  <r>
    <s v="T810800"/>
    <s v="C1753"/>
    <d v="2023-12-16T00:00:00"/>
    <x v="1"/>
    <x v="2"/>
    <x v="1"/>
    <n v="1975.95"/>
    <n v="5"/>
    <n v="395.19"/>
    <x v="0"/>
  </r>
  <r>
    <s v="T644931"/>
    <s v="C1819"/>
    <d v="2025-04-06T00:00:00"/>
    <x v="0"/>
    <x v="0"/>
    <x v="0"/>
    <n v="730.55"/>
    <n v="6"/>
    <n v="121.75833333333333"/>
    <x v="3"/>
  </r>
  <r>
    <s v="T433683"/>
    <s v="C4554"/>
    <d v="2024-02-28T00:00:00"/>
    <x v="2"/>
    <x v="1"/>
    <x v="0"/>
    <m/>
    <n v="4"/>
    <m/>
    <x v="4"/>
  </r>
  <r>
    <s v="T254958"/>
    <s v="C1093"/>
    <d v="2024-08-13T00:00:00"/>
    <x v="2"/>
    <x v="0"/>
    <x v="1"/>
    <n v="1924.1"/>
    <n v="2"/>
    <n v="962.05"/>
    <x v="2"/>
  </r>
  <r>
    <s v="T387823"/>
    <s v="C9892"/>
    <d v="2023-09-14T00:00:00"/>
    <x v="1"/>
    <x v="2"/>
    <x v="2"/>
    <n v="1714.56"/>
    <n v="6"/>
    <n v="285.76"/>
    <x v="1"/>
  </r>
  <r>
    <s v="T846573"/>
    <s v="C4965"/>
    <d v="2025-10-01T00:00:00"/>
    <x v="0"/>
    <x v="3"/>
    <x v="1"/>
    <n v="547.34"/>
    <n v="7"/>
    <n v="78.191428571428574"/>
    <x v="1"/>
  </r>
  <r>
    <s v="T813773"/>
    <s v="C9412"/>
    <d v="2024-04-06T00:00:00"/>
    <x v="2"/>
    <x v="2"/>
    <x v="3"/>
    <n v="871.29"/>
    <n v="4"/>
    <n v="217.82249999999999"/>
    <x v="2"/>
  </r>
  <r>
    <s v="T344763"/>
    <s v="C4699"/>
    <d v="2023-05-10T00:00:00"/>
    <x v="1"/>
    <x v="0"/>
    <x v="1"/>
    <n v="1143.9000000000001"/>
    <n v="4"/>
    <n v="285.97500000000002"/>
    <x v="0"/>
  </r>
  <r>
    <s v="T978152"/>
    <s v="C8050"/>
    <d v="2023-09-13T00:00:00"/>
    <x v="1"/>
    <x v="2"/>
    <x v="3"/>
    <n v="199.91"/>
    <n v="7"/>
    <n v="28.55857142857143"/>
    <x v="3"/>
  </r>
  <r>
    <s v="T807093"/>
    <s v="C9116"/>
    <d v="2025-02-16T00:00:00"/>
    <x v="0"/>
    <x v="3"/>
    <x v="3"/>
    <n v="1974.79"/>
    <m/>
    <m/>
    <x v="2"/>
  </r>
  <r>
    <s v="T131302"/>
    <s v="C9820"/>
    <d v="2025-10-08T00:00:00"/>
    <x v="0"/>
    <x v="2"/>
    <x v="3"/>
    <n v="135.61000000000001"/>
    <n v="6"/>
    <n v="22.60166666666667"/>
    <x v="4"/>
  </r>
  <r>
    <s v="T916985"/>
    <s v="C3667"/>
    <d v="2024-09-21T00:00:00"/>
    <x v="2"/>
    <x v="3"/>
    <x v="2"/>
    <n v="1817.88"/>
    <n v="3"/>
    <n v="605.96"/>
    <x v="1"/>
  </r>
  <r>
    <s v="T561711"/>
    <s v="C8700"/>
    <d v="2024-10-05T00:00:00"/>
    <x v="2"/>
    <x v="1"/>
    <x v="2"/>
    <n v="39.840000000000003"/>
    <n v="10"/>
    <n v="3.9840000000000004"/>
    <x v="0"/>
  </r>
  <r>
    <s v="T245098"/>
    <s v="C7816"/>
    <d v="2025-02-09T00:00:00"/>
    <x v="0"/>
    <x v="1"/>
    <x v="2"/>
    <n v="1608.61"/>
    <n v="1"/>
    <n v="1608.61"/>
    <x v="4"/>
  </r>
  <r>
    <s v="T297567"/>
    <s v="C1812"/>
    <d v="2025-09-13T00:00:00"/>
    <x v="0"/>
    <x v="1"/>
    <x v="2"/>
    <n v="856.37"/>
    <n v="6"/>
    <n v="142.72833333333332"/>
    <x v="3"/>
  </r>
  <r>
    <s v="T124131"/>
    <s v="C3026"/>
    <d v="2025-05-30T00:00:00"/>
    <x v="0"/>
    <x v="1"/>
    <x v="1"/>
    <n v="1919.54"/>
    <n v="2"/>
    <n v="959.77"/>
    <x v="2"/>
  </r>
  <r>
    <s v="T511266"/>
    <s v="C1034"/>
    <d v="2023-04-26T00:00:00"/>
    <x v="1"/>
    <x v="2"/>
    <x v="0"/>
    <n v="1623.76"/>
    <n v="4"/>
    <n v="405.94"/>
    <x v="4"/>
  </r>
  <r>
    <s v="T874223"/>
    <s v="C7143"/>
    <d v="2023-09-26T00:00:00"/>
    <x v="1"/>
    <x v="1"/>
    <x v="3"/>
    <n v="1172.1099999999999"/>
    <n v="6"/>
    <n v="195.35166666666666"/>
    <x v="3"/>
  </r>
  <r>
    <s v="T403096"/>
    <s v="C4977"/>
    <d v="2023-12-10T00:00:00"/>
    <x v="1"/>
    <x v="0"/>
    <x v="1"/>
    <n v="1536.43"/>
    <n v="7"/>
    <n v="219.49"/>
    <x v="1"/>
  </r>
  <r>
    <s v="T228250"/>
    <s v="C1437"/>
    <d v="2023-12-05T00:00:00"/>
    <x v="1"/>
    <x v="0"/>
    <x v="1"/>
    <n v="498.21"/>
    <n v="10"/>
    <n v="49.820999999999998"/>
    <x v="0"/>
  </r>
  <r>
    <s v="T218917"/>
    <s v="C8482"/>
    <d v="2024-01-18T00:00:00"/>
    <x v="2"/>
    <x v="3"/>
    <x v="3"/>
    <n v="1669.73"/>
    <n v="10"/>
    <n v="166.97300000000001"/>
    <x v="3"/>
  </r>
  <r>
    <s v="T210294"/>
    <s v="C8551"/>
    <d v="2025-07-23T00:00:00"/>
    <x v="0"/>
    <x v="0"/>
    <x v="2"/>
    <n v="1326.02"/>
    <n v="9"/>
    <n v="147.33555555555554"/>
    <x v="4"/>
  </r>
  <r>
    <s v="T466352"/>
    <s v="C1436"/>
    <d v="2024-10-06T00:00:00"/>
    <x v="2"/>
    <x v="3"/>
    <x v="2"/>
    <n v="1668.17"/>
    <n v="5"/>
    <n v="333.63400000000001"/>
    <x v="1"/>
  </r>
  <r>
    <s v="T201504"/>
    <s v="C2982"/>
    <d v="2022-12-12T00:00:00"/>
    <x v="3"/>
    <x v="3"/>
    <x v="0"/>
    <n v="1122.06"/>
    <n v="8"/>
    <n v="140.25749999999999"/>
    <x v="4"/>
  </r>
  <r>
    <s v="T203120"/>
    <s v="C2498"/>
    <d v="2025-08-01T00:00:00"/>
    <x v="0"/>
    <x v="2"/>
    <x v="3"/>
    <n v="986.42"/>
    <n v="1"/>
    <n v="986.42"/>
    <x v="2"/>
  </r>
  <r>
    <s v="T864405"/>
    <s v="C2060"/>
    <d v="2024-08-02T00:00:00"/>
    <x v="2"/>
    <x v="1"/>
    <x v="0"/>
    <n v="630.08000000000004"/>
    <m/>
    <m/>
    <x v="3"/>
  </r>
  <r>
    <s v="T614831"/>
    <s v="C7877"/>
    <d v="2025-02-25T00:00:00"/>
    <x v="0"/>
    <x v="1"/>
    <x v="3"/>
    <n v="915.46"/>
    <n v="5"/>
    <n v="183.09200000000001"/>
    <x v="1"/>
  </r>
  <r>
    <s v="T901976"/>
    <s v="C7188"/>
    <d v="2024-07-30T00:00:00"/>
    <x v="2"/>
    <x v="3"/>
    <x v="2"/>
    <n v="314.77999999999997"/>
    <n v="8"/>
    <n v="39.347499999999997"/>
    <x v="0"/>
  </r>
  <r>
    <s v="T830006"/>
    <s v="C2844"/>
    <d v="2023-04-21T00:00:00"/>
    <x v="1"/>
    <x v="3"/>
    <x v="3"/>
    <n v="415.39"/>
    <n v="9"/>
    <n v="46.154444444444444"/>
    <x v="3"/>
  </r>
  <r>
    <s v="T622974"/>
    <s v="C8479"/>
    <d v="2025-07-21T00:00:00"/>
    <x v="0"/>
    <x v="0"/>
    <x v="2"/>
    <n v="115.92"/>
    <n v="4"/>
    <n v="28.98"/>
    <x v="3"/>
  </r>
  <r>
    <s v="T614910"/>
    <s v="C4949"/>
    <d v="2024-02-15T00:00:00"/>
    <x v="2"/>
    <x v="3"/>
    <x v="1"/>
    <n v="1688.06"/>
    <m/>
    <m/>
    <x v="0"/>
  </r>
  <r>
    <s v="T567795"/>
    <s v="C1431"/>
    <d v="2025-04-18T00:00:00"/>
    <x v="0"/>
    <x v="2"/>
    <x v="1"/>
    <n v="1300.6099999999999"/>
    <n v="3"/>
    <n v="433.53666666666663"/>
    <x v="4"/>
  </r>
  <r>
    <s v="T254572"/>
    <s v="C4111"/>
    <d v="2023-07-17T00:00:00"/>
    <x v="1"/>
    <x v="0"/>
    <x v="3"/>
    <n v="1358.32"/>
    <n v="8"/>
    <n v="169.79"/>
    <x v="2"/>
  </r>
  <r>
    <s v="T326807"/>
    <s v="C5697"/>
    <d v="2023-05-14T00:00:00"/>
    <x v="1"/>
    <x v="1"/>
    <x v="1"/>
    <n v="1370.01"/>
    <n v="8"/>
    <n v="171.25125"/>
    <x v="2"/>
  </r>
  <r>
    <s v="T105696"/>
    <s v="C7082"/>
    <d v="2023-10-11T00:00:00"/>
    <x v="1"/>
    <x v="2"/>
    <x v="2"/>
    <n v="14.67"/>
    <n v="8"/>
    <n v="1.83375"/>
    <x v="3"/>
  </r>
  <r>
    <s v="T662443"/>
    <s v="C3979"/>
    <d v="2023-11-05T00:00:00"/>
    <x v="1"/>
    <x v="0"/>
    <x v="3"/>
    <n v="679.46"/>
    <n v="10"/>
    <n v="67.945999999999998"/>
    <x v="4"/>
  </r>
  <r>
    <s v="T776199"/>
    <s v="C4648"/>
    <d v="2023-04-05T00:00:00"/>
    <x v="1"/>
    <x v="0"/>
    <x v="0"/>
    <n v="1845.6"/>
    <m/>
    <m/>
    <x v="3"/>
  </r>
  <r>
    <s v="T262147"/>
    <s v="C9167"/>
    <d v="2024-03-09T00:00:00"/>
    <x v="2"/>
    <x v="2"/>
    <x v="1"/>
    <n v="1831.9"/>
    <n v="10"/>
    <n v="183.19"/>
    <x v="0"/>
  </r>
  <r>
    <s v="T725354"/>
    <s v="C5097"/>
    <d v="2024-04-16T00:00:00"/>
    <x v="2"/>
    <x v="0"/>
    <x v="1"/>
    <n v="1600.42"/>
    <n v="9"/>
    <n v="177.82444444444445"/>
    <x v="3"/>
  </r>
  <r>
    <s v="T416806"/>
    <s v="C6276"/>
    <d v="2025-05-24T00:00:00"/>
    <x v="0"/>
    <x v="2"/>
    <x v="1"/>
    <n v="1220.31"/>
    <n v="6"/>
    <n v="203.38499999999999"/>
    <x v="4"/>
  </r>
  <r>
    <s v="T476490"/>
    <s v="C5607"/>
    <d v="2025-02-19T00:00:00"/>
    <x v="0"/>
    <x v="3"/>
    <x v="1"/>
    <n v="554.80999999999995"/>
    <n v="10"/>
    <n v="55.480999999999995"/>
    <x v="1"/>
  </r>
  <r>
    <s v="T909890"/>
    <s v="C6399"/>
    <d v="2025-02-17T00:00:00"/>
    <x v="0"/>
    <x v="3"/>
    <x v="3"/>
    <n v="794.62"/>
    <n v="10"/>
    <n v="79.462000000000003"/>
    <x v="2"/>
  </r>
  <r>
    <s v="T728143"/>
    <s v="C9764"/>
    <d v="2025-01-04T00:00:00"/>
    <x v="0"/>
    <x v="0"/>
    <x v="0"/>
    <n v="995.94"/>
    <n v="7"/>
    <n v="142.27714285714288"/>
    <x v="2"/>
  </r>
  <r>
    <s v="T585220"/>
    <s v="C8900"/>
    <d v="2025-10-18T00:00:00"/>
    <x v="0"/>
    <x v="2"/>
    <x v="1"/>
    <n v="1777.9"/>
    <n v="4"/>
    <n v="444.47500000000002"/>
    <x v="3"/>
  </r>
  <r>
    <s v="T195190"/>
    <s v="C3361"/>
    <d v="2023-03-06T00:00:00"/>
    <x v="1"/>
    <x v="3"/>
    <x v="0"/>
    <n v="1856.04"/>
    <n v="8"/>
    <n v="232.005"/>
    <x v="3"/>
  </r>
  <r>
    <s v="T151707"/>
    <s v="C7372"/>
    <d v="2025-01-07T00:00:00"/>
    <x v="0"/>
    <x v="2"/>
    <x v="2"/>
    <n v="738.36"/>
    <n v="5"/>
    <n v="147.672"/>
    <x v="3"/>
  </r>
  <r>
    <s v="T368417"/>
    <s v="C3707"/>
    <d v="2024-09-24T00:00:00"/>
    <x v="2"/>
    <x v="1"/>
    <x v="1"/>
    <n v="858.56"/>
    <n v="9"/>
    <n v="95.395555555555546"/>
    <x v="4"/>
  </r>
  <r>
    <s v="T628276"/>
    <s v="C8879"/>
    <d v="2022-11-10T00:00:00"/>
    <x v="3"/>
    <x v="1"/>
    <x v="1"/>
    <n v="1849.39"/>
    <n v="8"/>
    <n v="231.17375000000001"/>
    <x v="3"/>
  </r>
  <r>
    <s v="T236085"/>
    <s v="C8724"/>
    <d v="2022-10-26T00:00:00"/>
    <x v="3"/>
    <x v="2"/>
    <x v="1"/>
    <n v="166.02"/>
    <n v="1"/>
    <n v="166.02"/>
    <x v="3"/>
  </r>
  <r>
    <s v="T918666"/>
    <s v="C9685"/>
    <d v="2024-09-04T00:00:00"/>
    <x v="2"/>
    <x v="3"/>
    <x v="1"/>
    <n v="540.03"/>
    <n v="9"/>
    <n v="60.00333333333333"/>
    <x v="1"/>
  </r>
  <r>
    <s v="T710938"/>
    <s v="C6856"/>
    <d v="2023-08-20T00:00:00"/>
    <x v="1"/>
    <x v="1"/>
    <x v="1"/>
    <n v="1116.77"/>
    <n v="2"/>
    <n v="558.38499999999999"/>
    <x v="4"/>
  </r>
  <r>
    <s v="T932683"/>
    <s v="C5515"/>
    <d v="2024-08-16T00:00:00"/>
    <x v="2"/>
    <x v="0"/>
    <x v="0"/>
    <m/>
    <n v="10"/>
    <m/>
    <x v="2"/>
  </r>
  <r>
    <s v="T314892"/>
    <s v="C6109"/>
    <d v="2023-06-11T00:00:00"/>
    <x v="1"/>
    <x v="2"/>
    <x v="0"/>
    <n v="654.09"/>
    <n v="3"/>
    <n v="218.03"/>
    <x v="3"/>
  </r>
  <r>
    <s v="T834549"/>
    <s v="C5995"/>
    <d v="2023-12-25T00:00:00"/>
    <x v="1"/>
    <x v="3"/>
    <x v="2"/>
    <n v="457.16"/>
    <n v="1"/>
    <n v="457.16"/>
    <x v="0"/>
  </r>
  <r>
    <s v="T159673"/>
    <s v="C2973"/>
    <d v="2024-12-31T00:00:00"/>
    <x v="2"/>
    <x v="2"/>
    <x v="1"/>
    <n v="827.55"/>
    <n v="4"/>
    <n v="206.88749999999999"/>
    <x v="2"/>
  </r>
  <r>
    <s v="T355436"/>
    <s v="C2980"/>
    <d v="2025-04-25T00:00:00"/>
    <x v="0"/>
    <x v="3"/>
    <x v="1"/>
    <n v="128.85"/>
    <n v="9"/>
    <n v="14.316666666666666"/>
    <x v="4"/>
  </r>
  <r>
    <s v="T854444"/>
    <s v="C5355"/>
    <d v="2024-01-09T00:00:00"/>
    <x v="2"/>
    <x v="1"/>
    <x v="1"/>
    <n v="385.08"/>
    <n v="2"/>
    <n v="192.54"/>
    <x v="3"/>
  </r>
  <r>
    <s v="T868764"/>
    <s v="C1041"/>
    <d v="2025-04-22T00:00:00"/>
    <x v="0"/>
    <x v="2"/>
    <x v="2"/>
    <n v="1253.78"/>
    <n v="10"/>
    <n v="125.378"/>
    <x v="3"/>
  </r>
  <r>
    <s v="T111289"/>
    <s v="C1156"/>
    <d v="2024-08-17T00:00:00"/>
    <x v="2"/>
    <x v="1"/>
    <x v="2"/>
    <n v="897.74"/>
    <n v="1"/>
    <n v="897.74"/>
    <x v="3"/>
  </r>
  <r>
    <s v="T171624"/>
    <s v="C4178"/>
    <d v="2024-02-11T00:00:00"/>
    <x v="2"/>
    <x v="1"/>
    <x v="1"/>
    <n v="634.12"/>
    <n v="5"/>
    <n v="126.824"/>
    <x v="1"/>
  </r>
  <r>
    <s v="T864014"/>
    <s v="C5037"/>
    <d v="2024-12-07T00:00:00"/>
    <x v="2"/>
    <x v="2"/>
    <x v="0"/>
    <m/>
    <n v="4"/>
    <m/>
    <x v="4"/>
  </r>
  <r>
    <s v="T316999"/>
    <s v="C6251"/>
    <d v="2025-09-05T00:00:00"/>
    <x v="0"/>
    <x v="1"/>
    <x v="0"/>
    <n v="511.6"/>
    <n v="6"/>
    <n v="85.266666666666666"/>
    <x v="4"/>
  </r>
  <r>
    <s v="T635966"/>
    <s v="C2309"/>
    <d v="2025-10-20T00:00:00"/>
    <x v="0"/>
    <x v="0"/>
    <x v="2"/>
    <m/>
    <n v="1"/>
    <m/>
    <x v="3"/>
  </r>
  <r>
    <s v="T925596"/>
    <s v="C1126"/>
    <d v="2025-06-07T00:00:00"/>
    <x v="0"/>
    <x v="1"/>
    <x v="2"/>
    <n v="282.67"/>
    <n v="4"/>
    <n v="70.667500000000004"/>
    <x v="1"/>
  </r>
  <r>
    <s v="T191357"/>
    <s v="C6550"/>
    <d v="2025-10-14T00:00:00"/>
    <x v="0"/>
    <x v="1"/>
    <x v="2"/>
    <n v="1634"/>
    <n v="10"/>
    <n v="163.4"/>
    <x v="1"/>
  </r>
  <r>
    <s v="T545081"/>
    <s v="C5413"/>
    <d v="2022-11-29T00:00:00"/>
    <x v="3"/>
    <x v="1"/>
    <x v="2"/>
    <n v="1487.37"/>
    <n v="9"/>
    <n v="165.26333333333332"/>
    <x v="4"/>
  </r>
  <r>
    <s v="T965519"/>
    <s v="C3948"/>
    <d v="2025-02-05T00:00:00"/>
    <x v="0"/>
    <x v="0"/>
    <x v="0"/>
    <n v="1308.99"/>
    <n v="8"/>
    <n v="163.62375"/>
    <x v="2"/>
  </r>
  <r>
    <s v="T211158"/>
    <s v="C4228"/>
    <d v="2022-11-10T00:00:00"/>
    <x v="3"/>
    <x v="0"/>
    <x v="1"/>
    <n v="134.6"/>
    <n v="5"/>
    <n v="26.919999999999998"/>
    <x v="3"/>
  </r>
  <r>
    <s v="T215812"/>
    <s v="C8402"/>
    <d v="2022-10-28T00:00:00"/>
    <x v="3"/>
    <x v="0"/>
    <x v="3"/>
    <n v="1076.67"/>
    <n v="9"/>
    <n v="119.63000000000001"/>
    <x v="0"/>
  </r>
  <r>
    <s v="T676380"/>
    <s v="C8170"/>
    <d v="2024-07-26T00:00:00"/>
    <x v="2"/>
    <x v="1"/>
    <x v="3"/>
    <n v="1255"/>
    <n v="3"/>
    <n v="418.33333333333331"/>
    <x v="1"/>
  </r>
  <r>
    <s v="T477014"/>
    <s v="C9006"/>
    <d v="2024-07-21T00:00:00"/>
    <x v="2"/>
    <x v="3"/>
    <x v="2"/>
    <n v="845.36"/>
    <n v="4"/>
    <n v="211.34"/>
    <x v="4"/>
  </r>
  <r>
    <s v="T169142"/>
    <s v="C2909"/>
    <d v="2023-06-09T00:00:00"/>
    <x v="1"/>
    <x v="1"/>
    <x v="3"/>
    <n v="1082.53"/>
    <n v="8"/>
    <n v="135.31625"/>
    <x v="2"/>
  </r>
  <r>
    <s v="T731511"/>
    <s v="C2210"/>
    <d v="2025-02-26T00:00:00"/>
    <x v="0"/>
    <x v="2"/>
    <x v="1"/>
    <n v="1358.64"/>
    <n v="5"/>
    <n v="271.72800000000001"/>
    <x v="0"/>
  </r>
  <r>
    <s v="T325591"/>
    <s v="C1300"/>
    <d v="2023-12-06T00:00:00"/>
    <x v="1"/>
    <x v="0"/>
    <x v="2"/>
    <n v="1972.26"/>
    <n v="2"/>
    <n v="986.13"/>
    <x v="2"/>
  </r>
  <r>
    <s v="T287375"/>
    <s v="C1047"/>
    <d v="2024-05-25T00:00:00"/>
    <x v="2"/>
    <x v="2"/>
    <x v="2"/>
    <n v="1699.83"/>
    <n v="8"/>
    <n v="212.47874999999999"/>
    <x v="0"/>
  </r>
  <r>
    <s v="T408622"/>
    <s v="C1940"/>
    <d v="2025-02-07T00:00:00"/>
    <x v="0"/>
    <x v="1"/>
    <x v="3"/>
    <n v="1521.1"/>
    <n v="4"/>
    <n v="380.27499999999998"/>
    <x v="1"/>
  </r>
  <r>
    <s v="T250797"/>
    <s v="C7307"/>
    <d v="2025-07-26T00:00:00"/>
    <x v="0"/>
    <x v="1"/>
    <x v="2"/>
    <m/>
    <n v="2"/>
    <m/>
    <x v="3"/>
  </r>
  <r>
    <s v="T270704"/>
    <s v="C9132"/>
    <d v="2023-02-13T00:00:00"/>
    <x v="1"/>
    <x v="0"/>
    <x v="3"/>
    <n v="1380.24"/>
    <n v="3"/>
    <n v="460.08"/>
    <x v="1"/>
  </r>
  <r>
    <s v="T549058"/>
    <s v="C8725"/>
    <d v="2024-07-12T00:00:00"/>
    <x v="2"/>
    <x v="1"/>
    <x v="2"/>
    <n v="958.47"/>
    <n v="6"/>
    <n v="159.745"/>
    <x v="2"/>
  </r>
  <r>
    <s v="T977426"/>
    <s v="C7476"/>
    <d v="2024-03-27T00:00:00"/>
    <x v="2"/>
    <x v="0"/>
    <x v="3"/>
    <n v="844.67"/>
    <n v="6"/>
    <n v="140.77833333333334"/>
    <x v="1"/>
  </r>
  <r>
    <s v="T296841"/>
    <s v="C8520"/>
    <d v="2023-07-29T00:00:00"/>
    <x v="1"/>
    <x v="3"/>
    <x v="1"/>
    <m/>
    <n v="7"/>
    <m/>
    <x v="2"/>
  </r>
  <r>
    <s v="T247692"/>
    <s v="C9290"/>
    <d v="2024-02-26T00:00:00"/>
    <x v="2"/>
    <x v="3"/>
    <x v="2"/>
    <n v="1277.43"/>
    <n v="5"/>
    <n v="255.48600000000002"/>
    <x v="0"/>
  </r>
  <r>
    <s v="T774851"/>
    <s v="C9877"/>
    <d v="2024-02-21T00:00:00"/>
    <x v="2"/>
    <x v="1"/>
    <x v="1"/>
    <n v="756.07"/>
    <n v="7"/>
    <n v="108.01"/>
    <x v="3"/>
  </r>
  <r>
    <s v="T352572"/>
    <s v="C6690"/>
    <d v="2024-05-07T00:00:00"/>
    <x v="2"/>
    <x v="3"/>
    <x v="2"/>
    <n v="896.59"/>
    <n v="2"/>
    <n v="448.29500000000002"/>
    <x v="0"/>
  </r>
  <r>
    <s v="T573846"/>
    <s v="C8309"/>
    <d v="2023-01-11T00:00:00"/>
    <x v="1"/>
    <x v="1"/>
    <x v="1"/>
    <n v="364.78"/>
    <n v="5"/>
    <n v="72.955999999999989"/>
    <x v="0"/>
  </r>
  <r>
    <s v="T891142"/>
    <s v="C5917"/>
    <d v="2023-05-03T00:00:00"/>
    <x v="1"/>
    <x v="1"/>
    <x v="1"/>
    <n v="741.34"/>
    <n v="10"/>
    <n v="74.134"/>
    <x v="3"/>
  </r>
  <r>
    <s v="T708378"/>
    <s v="C6208"/>
    <d v="2024-05-14T00:00:00"/>
    <x v="2"/>
    <x v="1"/>
    <x v="2"/>
    <n v="24.72"/>
    <n v="5"/>
    <n v="4.944"/>
    <x v="0"/>
  </r>
  <r>
    <s v="T422665"/>
    <s v="C8079"/>
    <d v="2022-11-21T00:00:00"/>
    <x v="3"/>
    <x v="1"/>
    <x v="0"/>
    <n v="1742.27"/>
    <n v="3"/>
    <n v="580.75666666666666"/>
    <x v="3"/>
  </r>
  <r>
    <s v="T494274"/>
    <s v="C4489"/>
    <d v="2025-03-10T00:00:00"/>
    <x v="0"/>
    <x v="1"/>
    <x v="3"/>
    <n v="1592.42"/>
    <m/>
    <m/>
    <x v="0"/>
  </r>
  <r>
    <s v="T907488"/>
    <s v="C9057"/>
    <d v="2023-09-15T00:00:00"/>
    <x v="1"/>
    <x v="0"/>
    <x v="0"/>
    <n v="1259.31"/>
    <n v="1"/>
    <n v="1259.31"/>
    <x v="3"/>
  </r>
  <r>
    <s v="T397278"/>
    <s v="C3588"/>
    <d v="2024-08-08T00:00:00"/>
    <x v="2"/>
    <x v="2"/>
    <x v="3"/>
    <m/>
    <n v="3"/>
    <m/>
    <x v="2"/>
  </r>
  <r>
    <s v="T900999"/>
    <s v="C9621"/>
    <d v="2023-04-27T00:00:00"/>
    <x v="1"/>
    <x v="2"/>
    <x v="1"/>
    <n v="949.11"/>
    <n v="10"/>
    <n v="94.911000000000001"/>
    <x v="3"/>
  </r>
  <r>
    <s v="T270578"/>
    <s v="C5556"/>
    <d v="2025-04-26T00:00:00"/>
    <x v="0"/>
    <x v="3"/>
    <x v="2"/>
    <m/>
    <n v="4"/>
    <m/>
    <x v="4"/>
  </r>
  <r>
    <s v="T756834"/>
    <s v="C1291"/>
    <d v="2025-06-14T00:00:00"/>
    <x v="0"/>
    <x v="2"/>
    <x v="0"/>
    <n v="1199.76"/>
    <n v="7"/>
    <n v="171.3942857142857"/>
    <x v="0"/>
  </r>
  <r>
    <s v="T316332"/>
    <s v="C3049"/>
    <d v="2025-09-20T00:00:00"/>
    <x v="0"/>
    <x v="3"/>
    <x v="0"/>
    <n v="572.02"/>
    <n v="6"/>
    <n v="95.336666666666659"/>
    <x v="2"/>
  </r>
  <r>
    <s v="T970981"/>
    <s v="C2874"/>
    <d v="2025-09-25T00:00:00"/>
    <x v="0"/>
    <x v="1"/>
    <x v="2"/>
    <n v="1851.38"/>
    <n v="1"/>
    <n v="1851.38"/>
    <x v="2"/>
  </r>
  <r>
    <s v="T202040"/>
    <s v="C7988"/>
    <d v="2024-12-25T00:00:00"/>
    <x v="2"/>
    <x v="3"/>
    <x v="1"/>
    <n v="1860.82"/>
    <n v="1"/>
    <n v="1860.82"/>
    <x v="3"/>
  </r>
  <r>
    <s v="T148280"/>
    <s v="C1375"/>
    <d v="2023-04-30T00:00:00"/>
    <x v="1"/>
    <x v="0"/>
    <x v="2"/>
    <n v="1142.06"/>
    <n v="5"/>
    <n v="228.41199999999998"/>
    <x v="0"/>
  </r>
  <r>
    <s v="T759087"/>
    <s v="C1412"/>
    <d v="2024-08-21T00:00:00"/>
    <x v="2"/>
    <x v="0"/>
    <x v="2"/>
    <n v="291.42"/>
    <n v="4"/>
    <n v="72.855000000000004"/>
    <x v="4"/>
  </r>
  <r>
    <s v="T276114"/>
    <s v="C3897"/>
    <d v="2025-05-28T00:00:00"/>
    <x v="0"/>
    <x v="3"/>
    <x v="1"/>
    <n v="958.48"/>
    <n v="3"/>
    <n v="319.49333333333334"/>
    <x v="2"/>
  </r>
  <r>
    <s v="T397895"/>
    <s v="C7315"/>
    <d v="2023-03-27T00:00:00"/>
    <x v="1"/>
    <x v="0"/>
    <x v="1"/>
    <n v="586.05999999999995"/>
    <n v="6"/>
    <n v="97.676666666666662"/>
    <x v="0"/>
  </r>
  <r>
    <s v="T507473"/>
    <s v="C9270"/>
    <d v="2024-05-14T00:00:00"/>
    <x v="2"/>
    <x v="0"/>
    <x v="2"/>
    <n v="663.27"/>
    <n v="5"/>
    <n v="132.654"/>
    <x v="1"/>
  </r>
  <r>
    <s v="T738307"/>
    <s v="C1773"/>
    <d v="2024-08-30T00:00:00"/>
    <x v="2"/>
    <x v="3"/>
    <x v="0"/>
    <n v="574.75"/>
    <n v="9"/>
    <n v="63.861111111111114"/>
    <x v="1"/>
  </r>
  <r>
    <s v="T515026"/>
    <s v="C8621"/>
    <d v="2023-04-05T00:00:00"/>
    <x v="1"/>
    <x v="2"/>
    <x v="2"/>
    <n v="12.4"/>
    <n v="5"/>
    <n v="2.48"/>
    <x v="3"/>
  </r>
  <r>
    <s v="T324459"/>
    <s v="C1858"/>
    <d v="2024-12-29T00:00:00"/>
    <x v="2"/>
    <x v="2"/>
    <x v="1"/>
    <n v="1294.57"/>
    <n v="4"/>
    <n v="323.64249999999998"/>
    <x v="4"/>
  </r>
  <r>
    <s v="T469062"/>
    <s v="C6523"/>
    <d v="2025-06-01T00:00:00"/>
    <x v="0"/>
    <x v="0"/>
    <x v="3"/>
    <n v="1514.91"/>
    <n v="6"/>
    <n v="252.48500000000001"/>
    <x v="4"/>
  </r>
  <r>
    <s v="T689098"/>
    <s v="C9520"/>
    <d v="2025-04-01T00:00:00"/>
    <x v="0"/>
    <x v="0"/>
    <x v="2"/>
    <n v="1702.44"/>
    <n v="4"/>
    <n v="425.61"/>
    <x v="3"/>
  </r>
  <r>
    <s v="T279454"/>
    <s v="C3045"/>
    <d v="2023-01-16T00:00:00"/>
    <x v="1"/>
    <x v="1"/>
    <x v="3"/>
    <n v="1345.04"/>
    <n v="6"/>
    <n v="224.17333333333332"/>
    <x v="2"/>
  </r>
  <r>
    <s v="T657430"/>
    <s v="C8271"/>
    <d v="2024-09-18T00:00:00"/>
    <x v="2"/>
    <x v="0"/>
    <x v="2"/>
    <m/>
    <n v="9"/>
    <m/>
    <x v="4"/>
  </r>
  <r>
    <s v="T445534"/>
    <s v="C9955"/>
    <d v="2024-08-08T00:00:00"/>
    <x v="2"/>
    <x v="3"/>
    <x v="0"/>
    <n v="337.66"/>
    <n v="10"/>
    <n v="33.766000000000005"/>
    <x v="1"/>
  </r>
  <r>
    <s v="T108131"/>
    <s v="C6843"/>
    <d v="2023-12-07T00:00:00"/>
    <x v="1"/>
    <x v="3"/>
    <x v="2"/>
    <m/>
    <n v="7"/>
    <m/>
    <x v="1"/>
  </r>
  <r>
    <s v="T843826"/>
    <s v="C2953"/>
    <d v="2023-02-12T00:00:00"/>
    <x v="1"/>
    <x v="1"/>
    <x v="3"/>
    <n v="622.85"/>
    <m/>
    <m/>
    <x v="1"/>
  </r>
  <r>
    <s v="T989639"/>
    <s v="C8945"/>
    <d v="2025-02-03T00:00:00"/>
    <x v="0"/>
    <x v="1"/>
    <x v="1"/>
    <m/>
    <n v="2"/>
    <m/>
    <x v="4"/>
  </r>
  <r>
    <s v="T514576"/>
    <s v="C4754"/>
    <d v="2025-04-29T00:00:00"/>
    <x v="0"/>
    <x v="2"/>
    <x v="1"/>
    <n v="318.02"/>
    <n v="2"/>
    <n v="159.01"/>
    <x v="4"/>
  </r>
  <r>
    <s v="T346742"/>
    <s v="C3552"/>
    <d v="2023-06-12T00:00:00"/>
    <x v="1"/>
    <x v="2"/>
    <x v="2"/>
    <n v="1407.86"/>
    <n v="10"/>
    <n v="140.786"/>
    <x v="4"/>
  </r>
  <r>
    <s v="T137599"/>
    <s v="C5049"/>
    <d v="2025-09-24T00:00:00"/>
    <x v="0"/>
    <x v="2"/>
    <x v="2"/>
    <n v="1026"/>
    <n v="9"/>
    <n v="114"/>
    <x v="0"/>
  </r>
  <r>
    <s v="T587335"/>
    <s v="C5459"/>
    <d v="2023-10-07T00:00:00"/>
    <x v="1"/>
    <x v="1"/>
    <x v="2"/>
    <n v="1418.05"/>
    <n v="10"/>
    <n v="141.80500000000001"/>
    <x v="4"/>
  </r>
  <r>
    <s v="T773354"/>
    <s v="C9765"/>
    <d v="2024-11-16T00:00:00"/>
    <x v="2"/>
    <x v="0"/>
    <x v="3"/>
    <n v="1116.92"/>
    <n v="4"/>
    <n v="279.23"/>
    <x v="4"/>
  </r>
  <r>
    <s v="T147535"/>
    <s v="C5628"/>
    <d v="2025-10-08T00:00:00"/>
    <x v="0"/>
    <x v="0"/>
    <x v="1"/>
    <n v="1678.37"/>
    <n v="9"/>
    <n v="186.48555555555555"/>
    <x v="2"/>
  </r>
  <r>
    <s v="T295720"/>
    <s v="C9347"/>
    <d v="2023-08-12T00:00:00"/>
    <x v="1"/>
    <x v="3"/>
    <x v="1"/>
    <n v="34.090000000000003"/>
    <m/>
    <m/>
    <x v="3"/>
  </r>
  <r>
    <s v="T367110"/>
    <s v="C5063"/>
    <d v="2025-04-27T00:00:00"/>
    <x v="0"/>
    <x v="3"/>
    <x v="3"/>
    <m/>
    <n v="4"/>
    <m/>
    <x v="3"/>
  </r>
  <r>
    <s v="T661177"/>
    <s v="C3229"/>
    <d v="2023-02-19T00:00:00"/>
    <x v="1"/>
    <x v="3"/>
    <x v="1"/>
    <n v="809.08"/>
    <n v="9"/>
    <n v="89.897777777777776"/>
    <x v="0"/>
  </r>
  <r>
    <s v="T310537"/>
    <s v="C2868"/>
    <d v="2023-03-08T00:00:00"/>
    <x v="1"/>
    <x v="0"/>
    <x v="3"/>
    <n v="1525.99"/>
    <n v="1"/>
    <n v="1525.99"/>
    <x v="1"/>
  </r>
  <r>
    <s v="T599996"/>
    <s v="C2261"/>
    <d v="2024-12-27T00:00:00"/>
    <x v="2"/>
    <x v="2"/>
    <x v="2"/>
    <n v="927.16"/>
    <n v="8"/>
    <n v="115.895"/>
    <x v="1"/>
  </r>
  <r>
    <s v="T983050"/>
    <s v="C2340"/>
    <d v="2023-04-25T00:00:00"/>
    <x v="1"/>
    <x v="0"/>
    <x v="2"/>
    <n v="1817.02"/>
    <n v="5"/>
    <n v="363.404"/>
    <x v="2"/>
  </r>
  <r>
    <s v="T934199"/>
    <s v="C4738"/>
    <d v="2024-07-28T00:00:00"/>
    <x v="2"/>
    <x v="3"/>
    <x v="0"/>
    <n v="1700.91"/>
    <n v="6"/>
    <n v="283.48500000000001"/>
    <x v="1"/>
  </r>
  <r>
    <s v="T281897"/>
    <s v="C8147"/>
    <d v="2024-10-25T00:00:00"/>
    <x v="2"/>
    <x v="3"/>
    <x v="2"/>
    <n v="1528.82"/>
    <n v="5"/>
    <n v="305.76400000000001"/>
    <x v="0"/>
  </r>
  <r>
    <s v="T756980"/>
    <s v="C4077"/>
    <d v="2025-10-14T00:00:00"/>
    <x v="0"/>
    <x v="0"/>
    <x v="2"/>
    <n v="1818.15"/>
    <n v="1"/>
    <n v="1818.15"/>
    <x v="4"/>
  </r>
  <r>
    <s v="T403715"/>
    <s v="C9161"/>
    <d v="2024-06-13T00:00:00"/>
    <x v="2"/>
    <x v="1"/>
    <x v="0"/>
    <n v="1696.43"/>
    <n v="1"/>
    <n v="1696.43"/>
    <x v="4"/>
  </r>
  <r>
    <s v="T501466"/>
    <s v="C7479"/>
    <d v="2023-10-13T00:00:00"/>
    <x v="1"/>
    <x v="3"/>
    <x v="3"/>
    <n v="536.69000000000005"/>
    <n v="7"/>
    <n v="76.67"/>
    <x v="2"/>
  </r>
  <r>
    <s v="T303375"/>
    <s v="C6794"/>
    <d v="2024-12-20T00:00:00"/>
    <x v="2"/>
    <x v="0"/>
    <x v="1"/>
    <n v="1387.58"/>
    <n v="9"/>
    <n v="154.17555555555555"/>
    <x v="0"/>
  </r>
  <r>
    <s v="T537592"/>
    <s v="C3248"/>
    <d v="2024-05-02T00:00:00"/>
    <x v="2"/>
    <x v="2"/>
    <x v="1"/>
    <n v="1472.55"/>
    <n v="7"/>
    <n v="210.3642857142857"/>
    <x v="3"/>
  </r>
  <r>
    <s v="T338445"/>
    <s v="C3590"/>
    <d v="2025-08-23T00:00:00"/>
    <x v="0"/>
    <x v="2"/>
    <x v="2"/>
    <n v="1083.1500000000001"/>
    <n v="3"/>
    <n v="361.05"/>
    <x v="0"/>
  </r>
  <r>
    <s v="T412594"/>
    <s v="C7233"/>
    <d v="2023-06-12T00:00:00"/>
    <x v="1"/>
    <x v="3"/>
    <x v="1"/>
    <n v="1833.43"/>
    <n v="3"/>
    <n v="611.14333333333332"/>
    <x v="3"/>
  </r>
  <r>
    <s v="T530654"/>
    <s v="C9294"/>
    <d v="2025-08-07T00:00:00"/>
    <x v="0"/>
    <x v="3"/>
    <x v="1"/>
    <n v="1890.88"/>
    <n v="9"/>
    <n v="210.09777777777779"/>
    <x v="1"/>
  </r>
  <r>
    <s v="T696197"/>
    <s v="C9095"/>
    <d v="2024-12-26T00:00:00"/>
    <x v="2"/>
    <x v="0"/>
    <x v="2"/>
    <m/>
    <n v="1"/>
    <m/>
    <x v="1"/>
  </r>
  <r>
    <s v="T739059"/>
    <s v="C5549"/>
    <d v="2025-09-03T00:00:00"/>
    <x v="0"/>
    <x v="1"/>
    <x v="2"/>
    <m/>
    <n v="8"/>
    <m/>
    <x v="3"/>
  </r>
  <r>
    <s v="T496770"/>
    <s v="C8559"/>
    <d v="2022-12-17T00:00:00"/>
    <x v="3"/>
    <x v="3"/>
    <x v="0"/>
    <n v="391.08"/>
    <n v="2"/>
    <n v="195.54"/>
    <x v="0"/>
  </r>
  <r>
    <s v="T147539"/>
    <s v="C8085"/>
    <d v="2023-08-27T00:00:00"/>
    <x v="1"/>
    <x v="0"/>
    <x v="2"/>
    <m/>
    <n v="8"/>
    <m/>
    <x v="3"/>
  </r>
  <r>
    <s v="T154862"/>
    <s v="C4932"/>
    <d v="2025-02-03T00:00:00"/>
    <x v="0"/>
    <x v="1"/>
    <x v="2"/>
    <n v="17.37"/>
    <n v="1"/>
    <n v="17.37"/>
    <x v="1"/>
  </r>
  <r>
    <s v="T184905"/>
    <s v="C7592"/>
    <d v="2024-05-27T00:00:00"/>
    <x v="2"/>
    <x v="3"/>
    <x v="2"/>
    <n v="235.46"/>
    <n v="7"/>
    <n v="33.637142857142855"/>
    <x v="0"/>
  </r>
  <r>
    <s v="T789535"/>
    <s v="C2631"/>
    <d v="2023-01-28T00:00:00"/>
    <x v="1"/>
    <x v="3"/>
    <x v="1"/>
    <n v="1412.31"/>
    <n v="7"/>
    <n v="201.75857142857143"/>
    <x v="1"/>
  </r>
  <r>
    <s v="T594553"/>
    <s v="C3876"/>
    <d v="2024-08-25T00:00:00"/>
    <x v="2"/>
    <x v="1"/>
    <x v="0"/>
    <n v="1264.5999999999999"/>
    <n v="3"/>
    <n v="421.5333333333333"/>
    <x v="3"/>
  </r>
  <r>
    <s v="T240010"/>
    <s v="C8700"/>
    <d v="2025-03-11T00:00:00"/>
    <x v="0"/>
    <x v="1"/>
    <x v="2"/>
    <n v="896.25"/>
    <n v="4"/>
    <n v="224.0625"/>
    <x v="4"/>
  </r>
  <r>
    <s v="T202468"/>
    <s v="C8034"/>
    <d v="2025-02-01T00:00:00"/>
    <x v="0"/>
    <x v="2"/>
    <x v="1"/>
    <n v="61.87"/>
    <n v="8"/>
    <n v="7.7337499999999997"/>
    <x v="4"/>
  </r>
  <r>
    <s v="T538469"/>
    <s v="C5270"/>
    <d v="2025-04-20T00:00:00"/>
    <x v="0"/>
    <x v="1"/>
    <x v="1"/>
    <n v="1942.74"/>
    <m/>
    <m/>
    <x v="4"/>
  </r>
  <r>
    <s v="T409972"/>
    <s v="C2996"/>
    <d v="2024-09-08T00:00:00"/>
    <x v="2"/>
    <x v="3"/>
    <x v="2"/>
    <n v="787.82"/>
    <n v="7"/>
    <n v="112.5457142857143"/>
    <x v="0"/>
  </r>
  <r>
    <s v="T353090"/>
    <s v="C7833"/>
    <d v="2024-04-30T00:00:00"/>
    <x v="2"/>
    <x v="3"/>
    <x v="2"/>
    <n v="488.2"/>
    <n v="9"/>
    <n v="54.24444444444444"/>
    <x v="2"/>
  </r>
  <r>
    <s v="T984715"/>
    <s v="C1521"/>
    <d v="2024-11-05T00:00:00"/>
    <x v="2"/>
    <x v="1"/>
    <x v="2"/>
    <m/>
    <n v="6"/>
    <m/>
    <x v="0"/>
  </r>
  <r>
    <s v="T301566"/>
    <s v="C1661"/>
    <d v="2023-12-16T00:00:00"/>
    <x v="1"/>
    <x v="0"/>
    <x v="3"/>
    <n v="1204.3699999999999"/>
    <m/>
    <m/>
    <x v="0"/>
  </r>
  <r>
    <s v="T460685"/>
    <s v="C3076"/>
    <d v="2023-10-18T00:00:00"/>
    <x v="1"/>
    <x v="0"/>
    <x v="2"/>
    <n v="380.7"/>
    <n v="8"/>
    <n v="47.587499999999999"/>
    <x v="2"/>
  </r>
  <r>
    <s v="T775836"/>
    <s v="C6427"/>
    <d v="2025-06-05T00:00:00"/>
    <x v="0"/>
    <x v="1"/>
    <x v="2"/>
    <m/>
    <n v="10"/>
    <m/>
    <x v="3"/>
  </r>
  <r>
    <s v="T262837"/>
    <s v="C4745"/>
    <d v="2024-12-26T00:00:00"/>
    <x v="2"/>
    <x v="3"/>
    <x v="2"/>
    <n v="1965.04"/>
    <n v="9"/>
    <n v="218.33777777777777"/>
    <x v="4"/>
  </r>
  <r>
    <s v="T197359"/>
    <s v="C3362"/>
    <d v="2024-12-25T00:00:00"/>
    <x v="2"/>
    <x v="2"/>
    <x v="1"/>
    <n v="1799.96"/>
    <n v="1"/>
    <n v="1799.96"/>
    <x v="0"/>
  </r>
  <r>
    <s v="T137807"/>
    <s v="C9376"/>
    <d v="2023-08-17T00:00:00"/>
    <x v="1"/>
    <x v="0"/>
    <x v="1"/>
    <n v="1849.62"/>
    <n v="7"/>
    <n v="264.23142857142858"/>
    <x v="3"/>
  </r>
  <r>
    <s v="T833944"/>
    <s v="C2904"/>
    <d v="2024-12-14T00:00:00"/>
    <x v="2"/>
    <x v="3"/>
    <x v="1"/>
    <n v="830.06"/>
    <n v="2"/>
    <n v="415.03"/>
    <x v="3"/>
  </r>
  <r>
    <s v="T345400"/>
    <s v="C4581"/>
    <d v="2025-02-11T00:00:00"/>
    <x v="0"/>
    <x v="3"/>
    <x v="3"/>
    <n v="260.86"/>
    <n v="5"/>
    <n v="52.172000000000004"/>
    <x v="3"/>
  </r>
  <r>
    <s v="T175433"/>
    <s v="C4141"/>
    <d v="2024-07-23T00:00:00"/>
    <x v="2"/>
    <x v="1"/>
    <x v="1"/>
    <n v="626.86"/>
    <n v="3"/>
    <n v="208.95333333333335"/>
    <x v="4"/>
  </r>
  <r>
    <s v="T224602"/>
    <s v="C9255"/>
    <d v="2024-10-21T00:00:00"/>
    <x v="2"/>
    <x v="3"/>
    <x v="3"/>
    <n v="1049.51"/>
    <n v="2"/>
    <n v="524.755"/>
    <x v="4"/>
  </r>
  <r>
    <s v="T695005"/>
    <s v="C1253"/>
    <d v="2025-04-25T00:00:00"/>
    <x v="0"/>
    <x v="3"/>
    <x v="2"/>
    <n v="110.75"/>
    <n v="4"/>
    <n v="27.6875"/>
    <x v="0"/>
  </r>
  <r>
    <s v="T623856"/>
    <s v="C3349"/>
    <d v="2023-04-29T00:00:00"/>
    <x v="1"/>
    <x v="0"/>
    <x v="1"/>
    <n v="541.17999999999995"/>
    <n v="9"/>
    <n v="60.131111111111103"/>
    <x v="2"/>
  </r>
  <r>
    <s v="T539749"/>
    <s v="C3840"/>
    <d v="2022-11-01T00:00:00"/>
    <x v="3"/>
    <x v="1"/>
    <x v="3"/>
    <n v="180.15"/>
    <n v="7"/>
    <n v="25.735714285714288"/>
    <x v="0"/>
  </r>
  <r>
    <s v="T462213"/>
    <s v="C5080"/>
    <d v="2023-07-09T00:00:00"/>
    <x v="1"/>
    <x v="1"/>
    <x v="1"/>
    <m/>
    <n v="1"/>
    <m/>
    <x v="2"/>
  </r>
  <r>
    <s v="T976749"/>
    <s v="C4980"/>
    <d v="2024-10-15T00:00:00"/>
    <x v="2"/>
    <x v="0"/>
    <x v="1"/>
    <n v="1690.84"/>
    <n v="3"/>
    <n v="563.61333333333334"/>
    <x v="3"/>
  </r>
  <r>
    <s v="T976916"/>
    <s v="C6441"/>
    <d v="2023-12-16T00:00:00"/>
    <x v="1"/>
    <x v="0"/>
    <x v="1"/>
    <n v="1047.28"/>
    <n v="5"/>
    <n v="209.45599999999999"/>
    <x v="3"/>
  </r>
  <r>
    <s v="T402330"/>
    <s v="C2456"/>
    <d v="2023-06-26T00:00:00"/>
    <x v="1"/>
    <x v="1"/>
    <x v="1"/>
    <m/>
    <n v="3"/>
    <m/>
    <x v="3"/>
  </r>
  <r>
    <s v="T391759"/>
    <s v="C9972"/>
    <d v="2024-05-04T00:00:00"/>
    <x v="2"/>
    <x v="1"/>
    <x v="2"/>
    <n v="1765.17"/>
    <n v="6"/>
    <n v="294.19499999999999"/>
    <x v="0"/>
  </r>
  <r>
    <s v="T888867"/>
    <s v="C4938"/>
    <d v="2024-11-19T00:00:00"/>
    <x v="2"/>
    <x v="1"/>
    <x v="1"/>
    <n v="170.63"/>
    <n v="10"/>
    <n v="17.062999999999999"/>
    <x v="3"/>
  </r>
  <r>
    <s v="T425598"/>
    <s v="C1971"/>
    <d v="2023-01-16T00:00:00"/>
    <x v="1"/>
    <x v="3"/>
    <x v="2"/>
    <n v="1685.66"/>
    <n v="6"/>
    <n v="280.94333333333333"/>
    <x v="2"/>
  </r>
  <r>
    <s v="T286206"/>
    <s v="C1854"/>
    <d v="2024-05-16T00:00:00"/>
    <x v="2"/>
    <x v="2"/>
    <x v="2"/>
    <n v="1571.1"/>
    <n v="10"/>
    <n v="157.10999999999999"/>
    <x v="0"/>
  </r>
  <r>
    <s v="T641308"/>
    <s v="C6500"/>
    <d v="2025-05-26T00:00:00"/>
    <x v="0"/>
    <x v="3"/>
    <x v="2"/>
    <n v="1478.36"/>
    <m/>
    <m/>
    <x v="3"/>
  </r>
  <r>
    <s v="T616911"/>
    <s v="C7495"/>
    <d v="2025-08-08T00:00:00"/>
    <x v="0"/>
    <x v="3"/>
    <x v="2"/>
    <n v="80.62"/>
    <n v="6"/>
    <n v="13.436666666666667"/>
    <x v="1"/>
  </r>
  <r>
    <s v="T103875"/>
    <s v="C9940"/>
    <d v="2025-07-06T00:00:00"/>
    <x v="0"/>
    <x v="0"/>
    <x v="3"/>
    <n v="191.32"/>
    <n v="5"/>
    <n v="38.263999999999996"/>
    <x v="4"/>
  </r>
  <r>
    <s v="T520428"/>
    <s v="C8981"/>
    <d v="2023-03-08T00:00:00"/>
    <x v="1"/>
    <x v="1"/>
    <x v="1"/>
    <n v="1534.5"/>
    <n v="4"/>
    <n v="383.625"/>
    <x v="2"/>
  </r>
  <r>
    <s v="T372007"/>
    <s v="C5589"/>
    <d v="2025-08-13T00:00:00"/>
    <x v="0"/>
    <x v="0"/>
    <x v="0"/>
    <n v="1852.5"/>
    <n v="9"/>
    <n v="205.83333333333334"/>
    <x v="3"/>
  </r>
  <r>
    <s v="T325131"/>
    <s v="C5164"/>
    <d v="2023-10-18T00:00:00"/>
    <x v="1"/>
    <x v="1"/>
    <x v="2"/>
    <n v="187.37"/>
    <n v="10"/>
    <n v="18.737000000000002"/>
    <x v="3"/>
  </r>
  <r>
    <s v="T926530"/>
    <s v="C6437"/>
    <d v="2025-06-25T00:00:00"/>
    <x v="0"/>
    <x v="2"/>
    <x v="0"/>
    <m/>
    <n v="1"/>
    <m/>
    <x v="4"/>
  </r>
  <r>
    <s v="T329131"/>
    <s v="C5807"/>
    <d v="2023-03-17T00:00:00"/>
    <x v="1"/>
    <x v="0"/>
    <x v="1"/>
    <m/>
    <n v="9"/>
    <m/>
    <x v="1"/>
  </r>
  <r>
    <s v="T862098"/>
    <s v="C5262"/>
    <d v="2023-11-07T00:00:00"/>
    <x v="1"/>
    <x v="2"/>
    <x v="0"/>
    <n v="1868.12"/>
    <m/>
    <m/>
    <x v="3"/>
  </r>
  <r>
    <s v="T499745"/>
    <s v="C9117"/>
    <d v="2024-03-11T00:00:00"/>
    <x v="2"/>
    <x v="2"/>
    <x v="2"/>
    <n v="1836.85"/>
    <n v="1"/>
    <n v="1836.85"/>
    <x v="4"/>
  </r>
  <r>
    <s v="T915735"/>
    <s v="C5370"/>
    <d v="2023-12-13T00:00:00"/>
    <x v="1"/>
    <x v="3"/>
    <x v="1"/>
    <m/>
    <n v="5"/>
    <m/>
    <x v="0"/>
  </r>
  <r>
    <s v="T666537"/>
    <s v="C9673"/>
    <d v="2024-10-29T00:00:00"/>
    <x v="2"/>
    <x v="2"/>
    <x v="2"/>
    <n v="1194.9000000000001"/>
    <m/>
    <m/>
    <x v="2"/>
  </r>
  <r>
    <s v="T964565"/>
    <s v="C1957"/>
    <d v="2025-04-30T00:00:00"/>
    <x v="0"/>
    <x v="0"/>
    <x v="3"/>
    <n v="1954.88"/>
    <n v="1"/>
    <n v="1954.88"/>
    <x v="3"/>
  </r>
  <r>
    <s v="T295113"/>
    <s v="C6589"/>
    <d v="2024-07-01T00:00:00"/>
    <x v="2"/>
    <x v="0"/>
    <x v="1"/>
    <n v="120.16"/>
    <n v="1"/>
    <n v="120.16"/>
    <x v="0"/>
  </r>
  <r>
    <s v="T251173"/>
    <s v="C6519"/>
    <d v="2024-04-04T00:00:00"/>
    <x v="2"/>
    <x v="2"/>
    <x v="0"/>
    <n v="1777.6"/>
    <n v="9"/>
    <n v="197.51111111111109"/>
    <x v="4"/>
  </r>
  <r>
    <s v="T446910"/>
    <s v="C8227"/>
    <d v="2023-01-06T00:00:00"/>
    <x v="1"/>
    <x v="1"/>
    <x v="3"/>
    <n v="1774.28"/>
    <m/>
    <m/>
    <x v="3"/>
  </r>
  <r>
    <s v="T685320"/>
    <s v="C3189"/>
    <d v="2023-06-14T00:00:00"/>
    <x v="1"/>
    <x v="0"/>
    <x v="1"/>
    <m/>
    <n v="4"/>
    <m/>
    <x v="1"/>
  </r>
  <r>
    <s v="T502066"/>
    <s v="C8887"/>
    <d v="2023-03-04T00:00:00"/>
    <x v="1"/>
    <x v="3"/>
    <x v="0"/>
    <n v="1913.15"/>
    <n v="4"/>
    <n v="478.28750000000002"/>
    <x v="0"/>
  </r>
  <r>
    <s v="T211092"/>
    <s v="C6817"/>
    <d v="2024-03-13T00:00:00"/>
    <x v="2"/>
    <x v="2"/>
    <x v="1"/>
    <n v="800.49"/>
    <n v="1"/>
    <n v="800.49"/>
    <x v="2"/>
  </r>
  <r>
    <s v="T569967"/>
    <s v="C1995"/>
    <d v="2023-01-25T00:00:00"/>
    <x v="1"/>
    <x v="3"/>
    <x v="0"/>
    <n v="617.69000000000005"/>
    <n v="6"/>
    <n v="102.94833333333334"/>
    <x v="0"/>
  </r>
  <r>
    <s v="T547524"/>
    <s v="C6267"/>
    <d v="2023-05-15T00:00:00"/>
    <x v="1"/>
    <x v="1"/>
    <x v="0"/>
    <n v="1197.79"/>
    <n v="3"/>
    <n v="399.26333333333332"/>
    <x v="3"/>
  </r>
  <r>
    <s v="T331792"/>
    <s v="C8503"/>
    <d v="2024-04-24T00:00:00"/>
    <x v="2"/>
    <x v="1"/>
    <x v="2"/>
    <n v="284.43"/>
    <n v="8"/>
    <n v="35.553750000000001"/>
    <x v="2"/>
  </r>
  <r>
    <s v="T724662"/>
    <s v="C4946"/>
    <d v="2023-08-02T00:00:00"/>
    <x v="1"/>
    <x v="3"/>
    <x v="1"/>
    <n v="1536.38"/>
    <n v="9"/>
    <n v="170.70888888888891"/>
    <x v="2"/>
  </r>
  <r>
    <s v="T378199"/>
    <s v="C5678"/>
    <d v="2024-04-26T00:00:00"/>
    <x v="2"/>
    <x v="3"/>
    <x v="2"/>
    <n v="539.38"/>
    <n v="10"/>
    <n v="53.938000000000002"/>
    <x v="1"/>
  </r>
  <r>
    <s v="T803007"/>
    <s v="C8012"/>
    <d v="2024-06-12T00:00:00"/>
    <x v="2"/>
    <x v="3"/>
    <x v="1"/>
    <n v="401.8"/>
    <n v="5"/>
    <n v="80.36"/>
    <x v="0"/>
  </r>
  <r>
    <s v="T183992"/>
    <s v="C6296"/>
    <d v="2023-01-23T00:00:00"/>
    <x v="1"/>
    <x v="0"/>
    <x v="3"/>
    <n v="1253.0999999999999"/>
    <n v="1"/>
    <n v="1253.0999999999999"/>
    <x v="4"/>
  </r>
  <r>
    <s v="T301071"/>
    <s v="C8320"/>
    <d v="2023-09-23T00:00:00"/>
    <x v="1"/>
    <x v="3"/>
    <x v="0"/>
    <n v="1871.12"/>
    <n v="6"/>
    <n v="311.8533333333333"/>
    <x v="1"/>
  </r>
  <r>
    <s v="T383555"/>
    <s v="C6663"/>
    <d v="2025-10-01T00:00:00"/>
    <x v="0"/>
    <x v="0"/>
    <x v="3"/>
    <n v="301.87"/>
    <n v="6"/>
    <n v="50.311666666666667"/>
    <x v="1"/>
  </r>
  <r>
    <s v="T331001"/>
    <s v="C3128"/>
    <d v="2023-07-23T00:00:00"/>
    <x v="1"/>
    <x v="2"/>
    <x v="3"/>
    <n v="978.88"/>
    <n v="9"/>
    <n v="108.76444444444445"/>
    <x v="4"/>
  </r>
  <r>
    <s v="T703188"/>
    <s v="C2686"/>
    <d v="2022-12-21T00:00:00"/>
    <x v="3"/>
    <x v="2"/>
    <x v="3"/>
    <n v="1931.13"/>
    <n v="3"/>
    <n v="643.71"/>
    <x v="4"/>
  </r>
  <r>
    <s v="T258447"/>
    <s v="C1230"/>
    <d v="2023-06-27T00:00:00"/>
    <x v="1"/>
    <x v="0"/>
    <x v="0"/>
    <n v="1953.73"/>
    <m/>
    <m/>
    <x v="4"/>
  </r>
  <r>
    <s v="T287168"/>
    <s v="C5774"/>
    <d v="2025-01-05T00:00:00"/>
    <x v="0"/>
    <x v="1"/>
    <x v="2"/>
    <n v="621.59"/>
    <n v="7"/>
    <n v="88.798571428571435"/>
    <x v="2"/>
  </r>
  <r>
    <s v="T873934"/>
    <s v="C7038"/>
    <d v="2023-05-12T00:00:00"/>
    <x v="1"/>
    <x v="3"/>
    <x v="3"/>
    <n v="783.58"/>
    <n v="3"/>
    <n v="261.19333333333333"/>
    <x v="2"/>
  </r>
  <r>
    <s v="T498689"/>
    <s v="C4980"/>
    <d v="2025-09-26T00:00:00"/>
    <x v="0"/>
    <x v="1"/>
    <x v="1"/>
    <n v="1506.26"/>
    <m/>
    <m/>
    <x v="1"/>
  </r>
  <r>
    <s v="T929682"/>
    <s v="C2332"/>
    <d v="2023-05-10T00:00:00"/>
    <x v="1"/>
    <x v="2"/>
    <x v="1"/>
    <n v="1086.1099999999999"/>
    <n v="5"/>
    <n v="217.22199999999998"/>
    <x v="2"/>
  </r>
  <r>
    <s v="T611476"/>
    <s v="C4660"/>
    <d v="2024-04-06T00:00:00"/>
    <x v="2"/>
    <x v="3"/>
    <x v="0"/>
    <m/>
    <n v="9"/>
    <m/>
    <x v="2"/>
  </r>
  <r>
    <s v="T967152"/>
    <s v="C9619"/>
    <d v="2024-03-06T00:00:00"/>
    <x v="2"/>
    <x v="0"/>
    <x v="0"/>
    <n v="999.07"/>
    <n v="3"/>
    <n v="333.02333333333337"/>
    <x v="1"/>
  </r>
  <r>
    <s v="T906755"/>
    <s v="C4198"/>
    <d v="2024-07-16T00:00:00"/>
    <x v="2"/>
    <x v="0"/>
    <x v="0"/>
    <m/>
    <n v="5"/>
    <m/>
    <x v="0"/>
  </r>
  <r>
    <s v="T344949"/>
    <s v="C9509"/>
    <d v="2025-08-25T00:00:00"/>
    <x v="0"/>
    <x v="1"/>
    <x v="1"/>
    <n v="298.82"/>
    <n v="4"/>
    <n v="74.704999999999998"/>
    <x v="2"/>
  </r>
  <r>
    <s v="T875459"/>
    <s v="C9126"/>
    <d v="2024-04-03T00:00:00"/>
    <x v="2"/>
    <x v="2"/>
    <x v="1"/>
    <n v="1324.35"/>
    <n v="9"/>
    <n v="147.14999999999998"/>
    <x v="2"/>
  </r>
  <r>
    <s v="T871360"/>
    <s v="C2221"/>
    <d v="2025-03-10T00:00:00"/>
    <x v="0"/>
    <x v="0"/>
    <x v="2"/>
    <n v="116.07"/>
    <n v="8"/>
    <n v="14.508749999999999"/>
    <x v="0"/>
  </r>
  <r>
    <s v="T827867"/>
    <s v="C7950"/>
    <d v="2025-09-10T00:00:00"/>
    <x v="0"/>
    <x v="0"/>
    <x v="3"/>
    <n v="1512.88"/>
    <n v="7"/>
    <n v="216.12571428571431"/>
    <x v="4"/>
  </r>
  <r>
    <s v="T997293"/>
    <s v="C4496"/>
    <d v="2025-05-23T00:00:00"/>
    <x v="0"/>
    <x v="2"/>
    <x v="2"/>
    <n v="183.39"/>
    <n v="3"/>
    <n v="61.129999999999995"/>
    <x v="4"/>
  </r>
  <r>
    <s v="T535082"/>
    <s v="C4656"/>
    <d v="2024-04-06T00:00:00"/>
    <x v="2"/>
    <x v="3"/>
    <x v="3"/>
    <n v="1356.76"/>
    <n v="3"/>
    <n v="452.25333333333333"/>
    <x v="0"/>
  </r>
  <r>
    <s v="T129395"/>
    <s v="C4060"/>
    <d v="2024-12-24T00:00:00"/>
    <x v="2"/>
    <x v="2"/>
    <x v="1"/>
    <m/>
    <n v="1"/>
    <m/>
    <x v="3"/>
  </r>
  <r>
    <s v="T102002"/>
    <s v="C3228"/>
    <d v="2025-03-01T00:00:00"/>
    <x v="0"/>
    <x v="1"/>
    <x v="2"/>
    <n v="1206.74"/>
    <n v="1"/>
    <n v="1206.74"/>
    <x v="2"/>
  </r>
  <r>
    <s v="T432195"/>
    <s v="C1142"/>
    <d v="2023-10-25T00:00:00"/>
    <x v="1"/>
    <x v="0"/>
    <x v="1"/>
    <n v="738.09"/>
    <n v="9"/>
    <n v="82.01"/>
    <x v="3"/>
  </r>
  <r>
    <s v="T787686"/>
    <s v="C7269"/>
    <d v="2023-11-28T00:00:00"/>
    <x v="1"/>
    <x v="1"/>
    <x v="3"/>
    <n v="641.97"/>
    <n v="2"/>
    <n v="320.98500000000001"/>
    <x v="1"/>
  </r>
  <r>
    <s v="T674301"/>
    <s v="C2686"/>
    <d v="2023-04-22T00:00:00"/>
    <x v="1"/>
    <x v="2"/>
    <x v="2"/>
    <m/>
    <n v="10"/>
    <m/>
    <x v="2"/>
  </r>
  <r>
    <s v="T311864"/>
    <s v="C5731"/>
    <d v="2023-10-31T00:00:00"/>
    <x v="1"/>
    <x v="0"/>
    <x v="2"/>
    <n v="1477.49"/>
    <n v="2"/>
    <n v="738.745"/>
    <x v="1"/>
  </r>
  <r>
    <s v="T699653"/>
    <s v="C7013"/>
    <d v="2024-10-16T00:00:00"/>
    <x v="2"/>
    <x v="0"/>
    <x v="1"/>
    <n v="1319.53"/>
    <n v="6"/>
    <n v="219.92166666666665"/>
    <x v="1"/>
  </r>
  <r>
    <s v="T572515"/>
    <s v="C8454"/>
    <d v="2024-04-09T00:00:00"/>
    <x v="2"/>
    <x v="0"/>
    <x v="2"/>
    <n v="1624.52"/>
    <n v="10"/>
    <n v="162.452"/>
    <x v="0"/>
  </r>
  <r>
    <s v="T809096"/>
    <s v="C6041"/>
    <d v="2024-03-17T00:00:00"/>
    <x v="2"/>
    <x v="2"/>
    <x v="1"/>
    <n v="1276.44"/>
    <m/>
    <m/>
    <x v="2"/>
  </r>
  <r>
    <s v="T414241"/>
    <s v="C9285"/>
    <d v="2022-10-25T00:00:00"/>
    <x v="3"/>
    <x v="2"/>
    <x v="3"/>
    <n v="349.14"/>
    <n v="3"/>
    <n v="116.38"/>
    <x v="1"/>
  </r>
  <r>
    <s v="T990376"/>
    <s v="C6988"/>
    <d v="2025-04-23T00:00:00"/>
    <x v="0"/>
    <x v="3"/>
    <x v="1"/>
    <n v="1529.79"/>
    <m/>
    <m/>
    <x v="2"/>
  </r>
  <r>
    <s v="T734757"/>
    <s v="C8537"/>
    <d v="2023-06-17T00:00:00"/>
    <x v="1"/>
    <x v="2"/>
    <x v="2"/>
    <n v="1714.07"/>
    <n v="2"/>
    <n v="857.03499999999997"/>
    <x v="1"/>
  </r>
  <r>
    <s v="T747695"/>
    <s v="C6349"/>
    <d v="2023-05-13T00:00:00"/>
    <x v="1"/>
    <x v="0"/>
    <x v="3"/>
    <n v="1252.8499999999999"/>
    <n v="3"/>
    <n v="417.61666666666662"/>
    <x v="1"/>
  </r>
  <r>
    <s v="T616697"/>
    <s v="C6124"/>
    <d v="2024-07-08T00:00:00"/>
    <x v="2"/>
    <x v="1"/>
    <x v="0"/>
    <n v="1404.15"/>
    <n v="3"/>
    <n v="468.05"/>
    <x v="3"/>
  </r>
  <r>
    <s v="T194473"/>
    <s v="C9102"/>
    <d v="2025-04-20T00:00:00"/>
    <x v="0"/>
    <x v="1"/>
    <x v="0"/>
    <n v="1292.19"/>
    <n v="9"/>
    <n v="143.57666666666668"/>
    <x v="2"/>
  </r>
  <r>
    <s v="T269203"/>
    <s v="C3365"/>
    <d v="2024-09-15T00:00:00"/>
    <x v="2"/>
    <x v="0"/>
    <x v="0"/>
    <n v="1461.14"/>
    <n v="6"/>
    <n v="243.52333333333334"/>
    <x v="3"/>
  </r>
  <r>
    <s v="T487230"/>
    <s v="C2788"/>
    <d v="2024-10-13T00:00:00"/>
    <x v="2"/>
    <x v="2"/>
    <x v="0"/>
    <m/>
    <n v="2"/>
    <m/>
    <x v="1"/>
  </r>
  <r>
    <s v="T777690"/>
    <s v="C3046"/>
    <d v="2024-04-13T00:00:00"/>
    <x v="2"/>
    <x v="3"/>
    <x v="0"/>
    <n v="1931.81"/>
    <n v="3"/>
    <n v="643.93666666666661"/>
    <x v="2"/>
  </r>
  <r>
    <s v="T252632"/>
    <s v="C7868"/>
    <d v="2025-02-20T00:00:00"/>
    <x v="0"/>
    <x v="1"/>
    <x v="2"/>
    <n v="130.34"/>
    <n v="1"/>
    <n v="130.34"/>
    <x v="0"/>
  </r>
  <r>
    <s v="T222890"/>
    <s v="C6558"/>
    <d v="2023-12-24T00:00:00"/>
    <x v="1"/>
    <x v="0"/>
    <x v="1"/>
    <n v="1272.49"/>
    <n v="5"/>
    <n v="254.49799999999999"/>
    <x v="0"/>
  </r>
  <r>
    <s v="T699212"/>
    <s v="C6914"/>
    <d v="2023-06-21T00:00:00"/>
    <x v="1"/>
    <x v="2"/>
    <x v="3"/>
    <m/>
    <n v="8"/>
    <m/>
    <x v="0"/>
  </r>
  <r>
    <s v="T860541"/>
    <s v="C1503"/>
    <d v="2022-12-05T00:00:00"/>
    <x v="3"/>
    <x v="3"/>
    <x v="1"/>
    <m/>
    <n v="6"/>
    <m/>
    <x v="2"/>
  </r>
  <r>
    <s v="T879241"/>
    <s v="C4058"/>
    <d v="2025-05-07T00:00:00"/>
    <x v="0"/>
    <x v="1"/>
    <x v="3"/>
    <n v="1528.24"/>
    <n v="6"/>
    <n v="254.70666666666668"/>
    <x v="2"/>
  </r>
  <r>
    <s v="T614733"/>
    <s v="C8892"/>
    <d v="2023-01-26T00:00:00"/>
    <x v="1"/>
    <x v="0"/>
    <x v="1"/>
    <n v="1341.65"/>
    <n v="9"/>
    <n v="149.07222222222222"/>
    <x v="2"/>
  </r>
  <r>
    <s v="T150034"/>
    <s v="C5928"/>
    <d v="2025-01-31T00:00:00"/>
    <x v="0"/>
    <x v="3"/>
    <x v="3"/>
    <m/>
    <n v="2"/>
    <m/>
    <x v="0"/>
  </r>
  <r>
    <s v="T215893"/>
    <s v="C8653"/>
    <d v="2025-03-14T00:00:00"/>
    <x v="0"/>
    <x v="2"/>
    <x v="1"/>
    <n v="1508.17"/>
    <n v="2"/>
    <n v="754.08500000000004"/>
    <x v="4"/>
  </r>
  <r>
    <s v="T281266"/>
    <s v="C4316"/>
    <d v="2023-05-31T00:00:00"/>
    <x v="1"/>
    <x v="2"/>
    <x v="2"/>
    <n v="1551.64"/>
    <n v="5"/>
    <n v="310.32800000000003"/>
    <x v="3"/>
  </r>
  <r>
    <s v="T536904"/>
    <s v="C3610"/>
    <d v="2023-05-23T00:00:00"/>
    <x v="1"/>
    <x v="1"/>
    <x v="2"/>
    <n v="725.79"/>
    <m/>
    <m/>
    <x v="2"/>
  </r>
  <r>
    <s v="T835944"/>
    <s v="C5903"/>
    <d v="2024-02-04T00:00:00"/>
    <x v="2"/>
    <x v="2"/>
    <x v="3"/>
    <n v="1897.33"/>
    <m/>
    <m/>
    <x v="1"/>
  </r>
  <r>
    <s v="T329798"/>
    <s v="C2521"/>
    <d v="2025-02-25T00:00:00"/>
    <x v="0"/>
    <x v="0"/>
    <x v="2"/>
    <n v="957.52"/>
    <n v="3"/>
    <n v="319.17333333333335"/>
    <x v="2"/>
  </r>
  <r>
    <s v="T120983"/>
    <s v="C8404"/>
    <d v="2023-03-05T00:00:00"/>
    <x v="1"/>
    <x v="3"/>
    <x v="2"/>
    <n v="1663.4"/>
    <n v="1"/>
    <n v="1663.4"/>
    <x v="4"/>
  </r>
  <r>
    <s v="T148404"/>
    <s v="C4117"/>
    <d v="2023-06-23T00:00:00"/>
    <x v="1"/>
    <x v="3"/>
    <x v="2"/>
    <n v="549.16"/>
    <n v="9"/>
    <n v="61.017777777777773"/>
    <x v="4"/>
  </r>
  <r>
    <s v="T390516"/>
    <s v="C5222"/>
    <d v="2024-08-16T00:00:00"/>
    <x v="2"/>
    <x v="0"/>
    <x v="1"/>
    <n v="251.66"/>
    <n v="9"/>
    <n v="27.962222222222223"/>
    <x v="0"/>
  </r>
  <r>
    <s v="T645713"/>
    <s v="C8632"/>
    <d v="2023-01-03T00:00:00"/>
    <x v="1"/>
    <x v="3"/>
    <x v="2"/>
    <n v="1855.05"/>
    <n v="4"/>
    <n v="463.76249999999999"/>
    <x v="3"/>
  </r>
  <r>
    <s v="T906854"/>
    <s v="C9598"/>
    <d v="2024-02-13T00:00:00"/>
    <x v="2"/>
    <x v="0"/>
    <x v="1"/>
    <n v="1193.8599999999999"/>
    <n v="3"/>
    <n v="397.95333333333332"/>
    <x v="1"/>
  </r>
  <r>
    <s v="T604394"/>
    <s v="C1844"/>
    <d v="2024-11-08T00:00:00"/>
    <x v="2"/>
    <x v="2"/>
    <x v="2"/>
    <n v="496.99"/>
    <n v="4"/>
    <n v="124.2475"/>
    <x v="3"/>
  </r>
  <r>
    <s v="T698149"/>
    <s v="C7974"/>
    <d v="2023-07-18T00:00:00"/>
    <x v="1"/>
    <x v="1"/>
    <x v="3"/>
    <n v="1590.02"/>
    <n v="5"/>
    <n v="318.00400000000002"/>
    <x v="4"/>
  </r>
  <r>
    <s v="T319495"/>
    <s v="C8893"/>
    <d v="2025-10-10T00:00:00"/>
    <x v="0"/>
    <x v="1"/>
    <x v="1"/>
    <n v="1416.1"/>
    <m/>
    <m/>
    <x v="1"/>
  </r>
  <r>
    <s v="T389980"/>
    <s v="C5818"/>
    <d v="2025-06-14T00:00:00"/>
    <x v="0"/>
    <x v="1"/>
    <x v="1"/>
    <n v="1321.24"/>
    <n v="9"/>
    <n v="146.80444444444444"/>
    <x v="3"/>
  </r>
  <r>
    <s v="T694488"/>
    <s v="C8446"/>
    <d v="2025-04-07T00:00:00"/>
    <x v="0"/>
    <x v="3"/>
    <x v="3"/>
    <n v="480.75"/>
    <n v="10"/>
    <n v="48.075000000000003"/>
    <x v="1"/>
  </r>
  <r>
    <s v="T971320"/>
    <s v="C8639"/>
    <d v="2025-07-18T00:00:00"/>
    <x v="0"/>
    <x v="3"/>
    <x v="1"/>
    <n v="1602.73"/>
    <n v="2"/>
    <n v="801.36500000000001"/>
    <x v="3"/>
  </r>
  <r>
    <s v="T286165"/>
    <s v="C5071"/>
    <d v="2023-09-06T00:00:00"/>
    <x v="1"/>
    <x v="0"/>
    <x v="2"/>
    <n v="1827.82"/>
    <n v="1"/>
    <n v="1827.82"/>
    <x v="4"/>
  </r>
  <r>
    <s v="T697666"/>
    <s v="C2593"/>
    <d v="2023-03-28T00:00:00"/>
    <x v="1"/>
    <x v="3"/>
    <x v="1"/>
    <n v="1661.6"/>
    <n v="1"/>
    <n v="1661.6"/>
    <x v="4"/>
  </r>
  <r>
    <s v="T954259"/>
    <s v="C2476"/>
    <d v="2023-11-02T00:00:00"/>
    <x v="1"/>
    <x v="3"/>
    <x v="2"/>
    <n v="1335.53"/>
    <n v="2"/>
    <n v="667.76499999999999"/>
    <x v="0"/>
  </r>
  <r>
    <s v="T254047"/>
    <s v="C8030"/>
    <d v="2025-08-10T00:00:00"/>
    <x v="0"/>
    <x v="1"/>
    <x v="3"/>
    <n v="418.38"/>
    <n v="10"/>
    <n v="41.838000000000001"/>
    <x v="1"/>
  </r>
  <r>
    <s v="T550930"/>
    <s v="C5753"/>
    <d v="2024-07-05T00:00:00"/>
    <x v="2"/>
    <x v="3"/>
    <x v="3"/>
    <n v="964.28"/>
    <n v="9"/>
    <n v="107.14222222222222"/>
    <x v="0"/>
  </r>
  <r>
    <s v="T831494"/>
    <s v="C1405"/>
    <d v="2023-01-15T00:00:00"/>
    <x v="1"/>
    <x v="3"/>
    <x v="0"/>
    <n v="1393.75"/>
    <n v="1"/>
    <n v="1393.75"/>
    <x v="1"/>
  </r>
  <r>
    <s v="T466191"/>
    <s v="C7773"/>
    <d v="2023-04-01T00:00:00"/>
    <x v="1"/>
    <x v="1"/>
    <x v="1"/>
    <n v="42.28"/>
    <n v="1"/>
    <n v="42.28"/>
    <x v="2"/>
  </r>
  <r>
    <s v="T468510"/>
    <s v="C7225"/>
    <d v="2024-09-22T00:00:00"/>
    <x v="2"/>
    <x v="2"/>
    <x v="2"/>
    <n v="1915.84"/>
    <n v="3"/>
    <n v="638.61333333333334"/>
    <x v="1"/>
  </r>
  <r>
    <s v="T951159"/>
    <s v="C8269"/>
    <d v="2024-08-12T00:00:00"/>
    <x v="2"/>
    <x v="3"/>
    <x v="2"/>
    <n v="1280.92"/>
    <n v="5"/>
    <n v="256.18400000000003"/>
    <x v="3"/>
  </r>
  <r>
    <s v="T871880"/>
    <s v="C2086"/>
    <d v="2023-04-10T00:00:00"/>
    <x v="1"/>
    <x v="0"/>
    <x v="3"/>
    <n v="1241.01"/>
    <n v="6"/>
    <n v="206.83500000000001"/>
    <x v="4"/>
  </r>
  <r>
    <s v="T505231"/>
    <s v="C1742"/>
    <d v="2023-06-02T00:00:00"/>
    <x v="1"/>
    <x v="2"/>
    <x v="2"/>
    <n v="1282.21"/>
    <n v="9"/>
    <n v="142.46777777777777"/>
    <x v="4"/>
  </r>
  <r>
    <s v="T451220"/>
    <s v="C9159"/>
    <d v="2024-10-08T00:00:00"/>
    <x v="2"/>
    <x v="1"/>
    <x v="3"/>
    <n v="1527.82"/>
    <n v="5"/>
    <n v="305.56399999999996"/>
    <x v="1"/>
  </r>
  <r>
    <s v="T500866"/>
    <s v="C1613"/>
    <d v="2022-11-18T00:00:00"/>
    <x v="3"/>
    <x v="3"/>
    <x v="1"/>
    <n v="320.58"/>
    <n v="7"/>
    <n v="45.797142857142852"/>
    <x v="4"/>
  </r>
  <r>
    <s v="T579479"/>
    <s v="C5205"/>
    <d v="2023-06-07T00:00:00"/>
    <x v="1"/>
    <x v="3"/>
    <x v="0"/>
    <n v="78.989999999999995"/>
    <m/>
    <m/>
    <x v="2"/>
  </r>
  <r>
    <s v="T422466"/>
    <s v="C5718"/>
    <d v="2024-10-18T00:00:00"/>
    <x v="2"/>
    <x v="3"/>
    <x v="3"/>
    <n v="14.75"/>
    <n v="8"/>
    <n v="1.84375"/>
    <x v="0"/>
  </r>
  <r>
    <s v="T102796"/>
    <s v="C5393"/>
    <d v="2024-05-22T00:00:00"/>
    <x v="2"/>
    <x v="1"/>
    <x v="2"/>
    <n v="487.35"/>
    <n v="8"/>
    <n v="60.918750000000003"/>
    <x v="2"/>
  </r>
  <r>
    <s v="T742723"/>
    <s v="C3297"/>
    <d v="2025-01-16T00:00:00"/>
    <x v="0"/>
    <x v="2"/>
    <x v="3"/>
    <n v="790.79"/>
    <n v="9"/>
    <n v="87.865555555555545"/>
    <x v="0"/>
  </r>
  <r>
    <s v="T908700"/>
    <s v="C5099"/>
    <d v="2025-03-25T00:00:00"/>
    <x v="0"/>
    <x v="2"/>
    <x v="1"/>
    <m/>
    <n v="5"/>
    <m/>
    <x v="1"/>
  </r>
  <r>
    <s v="T963452"/>
    <s v="C2174"/>
    <d v="2024-09-24T00:00:00"/>
    <x v="2"/>
    <x v="1"/>
    <x v="1"/>
    <n v="1270.42"/>
    <n v="7"/>
    <n v="181.48857142857145"/>
    <x v="4"/>
  </r>
  <r>
    <s v="T956083"/>
    <s v="C1708"/>
    <d v="2025-05-04T00:00:00"/>
    <x v="0"/>
    <x v="2"/>
    <x v="2"/>
    <n v="1323.04"/>
    <n v="8"/>
    <n v="165.38"/>
    <x v="3"/>
  </r>
  <r>
    <s v="T708576"/>
    <s v="C5096"/>
    <d v="2024-08-07T00:00:00"/>
    <x v="2"/>
    <x v="0"/>
    <x v="2"/>
    <n v="1357.19"/>
    <n v="3"/>
    <n v="452.3966666666667"/>
    <x v="3"/>
  </r>
  <r>
    <s v="T790906"/>
    <s v="C3270"/>
    <d v="2025-06-19T00:00:00"/>
    <x v="0"/>
    <x v="2"/>
    <x v="2"/>
    <n v="823.59"/>
    <n v="5"/>
    <n v="164.71800000000002"/>
    <x v="0"/>
  </r>
  <r>
    <s v="T278252"/>
    <s v="C5380"/>
    <d v="2024-08-02T00:00:00"/>
    <x v="2"/>
    <x v="1"/>
    <x v="2"/>
    <n v="572.88"/>
    <n v="6"/>
    <n v="95.48"/>
    <x v="1"/>
  </r>
  <r>
    <s v="T690515"/>
    <s v="C9359"/>
    <d v="2025-08-10T00:00:00"/>
    <x v="0"/>
    <x v="0"/>
    <x v="1"/>
    <n v="12.91"/>
    <m/>
    <m/>
    <x v="3"/>
  </r>
  <r>
    <s v="T764807"/>
    <s v="C1322"/>
    <d v="2024-02-07T00:00:00"/>
    <x v="2"/>
    <x v="3"/>
    <x v="3"/>
    <m/>
    <n v="8"/>
    <m/>
    <x v="4"/>
  </r>
  <r>
    <s v="T408752"/>
    <s v="C4102"/>
    <d v="2025-04-09T00:00:00"/>
    <x v="0"/>
    <x v="3"/>
    <x v="0"/>
    <n v="1886.45"/>
    <n v="6"/>
    <n v="314.40833333333336"/>
    <x v="1"/>
  </r>
  <r>
    <s v="T225992"/>
    <s v="C7424"/>
    <d v="2023-08-17T00:00:00"/>
    <x v="1"/>
    <x v="0"/>
    <x v="2"/>
    <m/>
    <n v="7"/>
    <m/>
    <x v="0"/>
  </r>
  <r>
    <s v="T810076"/>
    <s v="C2174"/>
    <d v="2023-12-22T00:00:00"/>
    <x v="1"/>
    <x v="1"/>
    <x v="2"/>
    <n v="30.76"/>
    <n v="10"/>
    <n v="3.0760000000000001"/>
    <x v="4"/>
  </r>
  <r>
    <s v="T969641"/>
    <s v="C8142"/>
    <d v="2025-08-26T00:00:00"/>
    <x v="0"/>
    <x v="3"/>
    <x v="1"/>
    <n v="1727.17"/>
    <n v="5"/>
    <n v="345.43400000000003"/>
    <x v="3"/>
  </r>
  <r>
    <s v="T538445"/>
    <s v="C8041"/>
    <d v="2024-12-21T00:00:00"/>
    <x v="2"/>
    <x v="1"/>
    <x v="3"/>
    <n v="1708.25"/>
    <n v="3"/>
    <n v="569.41666666666663"/>
    <x v="2"/>
  </r>
  <r>
    <s v="T271720"/>
    <s v="C2123"/>
    <d v="2023-05-18T00:00:00"/>
    <x v="1"/>
    <x v="3"/>
    <x v="1"/>
    <n v="490.09"/>
    <n v="8"/>
    <n v="61.261249999999997"/>
    <x v="3"/>
  </r>
  <r>
    <s v="T593696"/>
    <s v="C5681"/>
    <d v="2023-06-17T00:00:00"/>
    <x v="1"/>
    <x v="1"/>
    <x v="1"/>
    <n v="1903.84"/>
    <n v="6"/>
    <n v="317.30666666666667"/>
    <x v="2"/>
  </r>
  <r>
    <s v="T386463"/>
    <s v="C8041"/>
    <d v="2023-10-05T00:00:00"/>
    <x v="1"/>
    <x v="0"/>
    <x v="3"/>
    <n v="1777.9"/>
    <n v="6"/>
    <n v="296.31666666666666"/>
    <x v="1"/>
  </r>
  <r>
    <s v="T512799"/>
    <s v="C3315"/>
    <d v="2025-08-18T00:00:00"/>
    <x v="0"/>
    <x v="2"/>
    <x v="2"/>
    <n v="1150.96"/>
    <n v="1"/>
    <n v="1150.96"/>
    <x v="3"/>
  </r>
  <r>
    <s v="T650991"/>
    <s v="C9865"/>
    <d v="2023-02-11T00:00:00"/>
    <x v="1"/>
    <x v="1"/>
    <x v="2"/>
    <m/>
    <n v="2"/>
    <m/>
    <x v="3"/>
  </r>
  <r>
    <s v="T705447"/>
    <s v="C8573"/>
    <d v="2024-11-03T00:00:00"/>
    <x v="2"/>
    <x v="3"/>
    <x v="2"/>
    <n v="228.09"/>
    <n v="6"/>
    <n v="38.015000000000001"/>
    <x v="4"/>
  </r>
  <r>
    <s v="T531099"/>
    <s v="C8556"/>
    <d v="2023-06-20T00:00:00"/>
    <x v="1"/>
    <x v="0"/>
    <x v="3"/>
    <n v="1028.69"/>
    <n v="8"/>
    <n v="128.58625000000001"/>
    <x v="1"/>
  </r>
  <r>
    <s v="T150323"/>
    <s v="C7332"/>
    <d v="2024-05-29T00:00:00"/>
    <x v="2"/>
    <x v="1"/>
    <x v="2"/>
    <n v="67.489999999999995"/>
    <n v="4"/>
    <n v="16.872499999999999"/>
    <x v="1"/>
  </r>
  <r>
    <s v="T766958"/>
    <s v="C7518"/>
    <d v="2025-02-04T00:00:00"/>
    <x v="0"/>
    <x v="0"/>
    <x v="0"/>
    <n v="667.07"/>
    <n v="5"/>
    <n v="133.41400000000002"/>
    <x v="3"/>
  </r>
  <r>
    <s v="T317898"/>
    <s v="C2318"/>
    <d v="2024-01-15T00:00:00"/>
    <x v="2"/>
    <x v="2"/>
    <x v="1"/>
    <n v="1032.31"/>
    <m/>
    <m/>
    <x v="0"/>
  </r>
  <r>
    <s v="T543485"/>
    <s v="C8134"/>
    <d v="2025-06-22T00:00:00"/>
    <x v="0"/>
    <x v="3"/>
    <x v="1"/>
    <n v="260.08999999999997"/>
    <n v="6"/>
    <n v="43.348333333333329"/>
    <x v="2"/>
  </r>
  <r>
    <s v="T313710"/>
    <s v="C1919"/>
    <d v="2025-07-01T00:00:00"/>
    <x v="0"/>
    <x v="0"/>
    <x v="1"/>
    <n v="1855.01"/>
    <n v="8"/>
    <n v="231.87625"/>
    <x v="3"/>
  </r>
  <r>
    <s v="T848640"/>
    <s v="C8176"/>
    <d v="2023-09-22T00:00:00"/>
    <x v="1"/>
    <x v="0"/>
    <x v="2"/>
    <n v="153.53"/>
    <n v="1"/>
    <n v="153.53"/>
    <x v="2"/>
  </r>
  <r>
    <s v="T898626"/>
    <s v="C8223"/>
    <d v="2023-11-09T00:00:00"/>
    <x v="1"/>
    <x v="0"/>
    <x v="0"/>
    <n v="666.54"/>
    <n v="3"/>
    <n v="222.17999999999998"/>
    <x v="4"/>
  </r>
  <r>
    <s v="T573997"/>
    <s v="C7779"/>
    <d v="2025-08-28T00:00:00"/>
    <x v="0"/>
    <x v="2"/>
    <x v="0"/>
    <n v="224.75"/>
    <n v="4"/>
    <n v="56.1875"/>
    <x v="0"/>
  </r>
  <r>
    <s v="T895834"/>
    <s v="C8726"/>
    <d v="2024-06-15T00:00:00"/>
    <x v="2"/>
    <x v="2"/>
    <x v="1"/>
    <n v="926.2"/>
    <n v="8"/>
    <n v="115.77500000000001"/>
    <x v="0"/>
  </r>
  <r>
    <s v="T654826"/>
    <s v="C9708"/>
    <d v="2024-03-24T00:00:00"/>
    <x v="2"/>
    <x v="2"/>
    <x v="2"/>
    <n v="1840.81"/>
    <n v="9"/>
    <n v="204.53444444444443"/>
    <x v="3"/>
  </r>
  <r>
    <s v="T718881"/>
    <s v="C4224"/>
    <d v="2024-02-02T00:00:00"/>
    <x v="2"/>
    <x v="0"/>
    <x v="3"/>
    <n v="1772.78"/>
    <n v="10"/>
    <n v="177.27799999999999"/>
    <x v="1"/>
  </r>
  <r>
    <s v="T425219"/>
    <s v="C9399"/>
    <d v="2025-10-02T00:00:00"/>
    <x v="0"/>
    <x v="3"/>
    <x v="2"/>
    <n v="1248.1300000000001"/>
    <m/>
    <m/>
    <x v="0"/>
  </r>
  <r>
    <s v="T222833"/>
    <s v="C8044"/>
    <d v="2023-05-26T00:00:00"/>
    <x v="1"/>
    <x v="3"/>
    <x v="3"/>
    <n v="1794.01"/>
    <n v="7"/>
    <n v="256.28714285714284"/>
    <x v="1"/>
  </r>
  <r>
    <s v="T766711"/>
    <s v="C1331"/>
    <d v="2023-06-10T00:00:00"/>
    <x v="1"/>
    <x v="1"/>
    <x v="1"/>
    <n v="1576.94"/>
    <n v="10"/>
    <n v="157.69400000000002"/>
    <x v="4"/>
  </r>
  <r>
    <s v="T306564"/>
    <s v="C4456"/>
    <d v="2023-08-13T00:00:00"/>
    <x v="1"/>
    <x v="3"/>
    <x v="2"/>
    <n v="94.96"/>
    <n v="5"/>
    <n v="18.991999999999997"/>
    <x v="0"/>
  </r>
  <r>
    <s v="T699348"/>
    <s v="C7928"/>
    <d v="2023-07-14T00:00:00"/>
    <x v="1"/>
    <x v="1"/>
    <x v="2"/>
    <n v="1976.89"/>
    <n v="7"/>
    <n v="282.41285714285715"/>
    <x v="2"/>
  </r>
  <r>
    <s v="T807043"/>
    <s v="C1867"/>
    <d v="2024-05-29T00:00:00"/>
    <x v="2"/>
    <x v="3"/>
    <x v="2"/>
    <n v="1929.12"/>
    <n v="1"/>
    <n v="1929.12"/>
    <x v="0"/>
  </r>
  <r>
    <s v="T851485"/>
    <s v="C7131"/>
    <d v="2025-04-15T00:00:00"/>
    <x v="0"/>
    <x v="3"/>
    <x v="1"/>
    <n v="99.46"/>
    <n v="3"/>
    <n v="33.153333333333329"/>
    <x v="4"/>
  </r>
  <r>
    <s v="T719912"/>
    <s v="C8254"/>
    <d v="2025-03-17T00:00:00"/>
    <x v="0"/>
    <x v="2"/>
    <x v="1"/>
    <n v="20.83"/>
    <n v="3"/>
    <n v="6.9433333333333325"/>
    <x v="4"/>
  </r>
  <r>
    <s v="T786234"/>
    <s v="C4804"/>
    <d v="2024-07-30T00:00:00"/>
    <x v="2"/>
    <x v="0"/>
    <x v="2"/>
    <n v="702.35"/>
    <n v="8"/>
    <n v="87.793750000000003"/>
    <x v="2"/>
  </r>
  <r>
    <s v="T711961"/>
    <s v="C9208"/>
    <d v="2024-09-22T00:00:00"/>
    <x v="2"/>
    <x v="0"/>
    <x v="2"/>
    <n v="143.69"/>
    <n v="5"/>
    <n v="28.738"/>
    <x v="0"/>
  </r>
  <r>
    <s v="T884278"/>
    <s v="C6785"/>
    <d v="2025-01-04T00:00:00"/>
    <x v="0"/>
    <x v="2"/>
    <x v="2"/>
    <n v="199.72"/>
    <n v="6"/>
    <n v="33.286666666666669"/>
    <x v="0"/>
  </r>
  <r>
    <s v="T433443"/>
    <s v="C3513"/>
    <d v="2025-04-15T00:00:00"/>
    <x v="0"/>
    <x v="0"/>
    <x v="0"/>
    <n v="1126.6199999999999"/>
    <n v="1"/>
    <n v="1126.6199999999999"/>
    <x v="0"/>
  </r>
  <r>
    <s v="T143591"/>
    <s v="C2373"/>
    <d v="2024-04-06T00:00:00"/>
    <x v="2"/>
    <x v="0"/>
    <x v="2"/>
    <n v="772.35"/>
    <n v="1"/>
    <n v="772.35"/>
    <x v="1"/>
  </r>
  <r>
    <s v="T865433"/>
    <s v="C1407"/>
    <d v="2024-04-12T00:00:00"/>
    <x v="2"/>
    <x v="0"/>
    <x v="1"/>
    <n v="508.01"/>
    <n v="9"/>
    <n v="56.445555555555558"/>
    <x v="3"/>
  </r>
  <r>
    <s v="T634689"/>
    <s v="C1356"/>
    <d v="2024-08-23T00:00:00"/>
    <x v="2"/>
    <x v="1"/>
    <x v="1"/>
    <m/>
    <n v="9"/>
    <m/>
    <x v="4"/>
  </r>
  <r>
    <s v="T626549"/>
    <s v="C4274"/>
    <d v="2025-09-26T00:00:00"/>
    <x v="0"/>
    <x v="3"/>
    <x v="2"/>
    <n v="874.08"/>
    <n v="3"/>
    <n v="291.36"/>
    <x v="4"/>
  </r>
  <r>
    <s v="T147102"/>
    <s v="C8690"/>
    <d v="2023-11-07T00:00:00"/>
    <x v="1"/>
    <x v="2"/>
    <x v="1"/>
    <m/>
    <n v="2"/>
    <m/>
    <x v="3"/>
  </r>
  <r>
    <s v="T845220"/>
    <s v="C7255"/>
    <d v="2023-01-06T00:00:00"/>
    <x v="1"/>
    <x v="3"/>
    <x v="3"/>
    <n v="1542.56"/>
    <n v="1"/>
    <n v="1542.56"/>
    <x v="3"/>
  </r>
  <r>
    <s v="T247773"/>
    <s v="C4280"/>
    <d v="2024-12-22T00:00:00"/>
    <x v="2"/>
    <x v="1"/>
    <x v="1"/>
    <n v="1633.81"/>
    <n v="2"/>
    <n v="816.90499999999997"/>
    <x v="4"/>
  </r>
  <r>
    <s v="T980034"/>
    <s v="C4599"/>
    <d v="2023-06-22T00:00:00"/>
    <x v="1"/>
    <x v="2"/>
    <x v="1"/>
    <n v="1151.06"/>
    <n v="5"/>
    <n v="230.21199999999999"/>
    <x v="2"/>
  </r>
  <r>
    <s v="T486659"/>
    <s v="C4419"/>
    <d v="2023-11-06T00:00:00"/>
    <x v="1"/>
    <x v="3"/>
    <x v="2"/>
    <n v="1930.81"/>
    <n v="5"/>
    <n v="386.16199999999998"/>
    <x v="0"/>
  </r>
  <r>
    <s v="T328216"/>
    <s v="C5446"/>
    <d v="2023-08-10T00:00:00"/>
    <x v="1"/>
    <x v="1"/>
    <x v="1"/>
    <n v="1354.85"/>
    <n v="1"/>
    <n v="1354.85"/>
    <x v="0"/>
  </r>
  <r>
    <s v="T123558"/>
    <s v="C8647"/>
    <d v="2022-11-16T00:00:00"/>
    <x v="3"/>
    <x v="3"/>
    <x v="1"/>
    <n v="1475.6"/>
    <n v="2"/>
    <n v="737.8"/>
    <x v="4"/>
  </r>
  <r>
    <s v="T985497"/>
    <s v="C3248"/>
    <d v="2024-05-04T00:00:00"/>
    <x v="2"/>
    <x v="0"/>
    <x v="1"/>
    <n v="383.85"/>
    <n v="10"/>
    <n v="38.385000000000005"/>
    <x v="3"/>
  </r>
  <r>
    <s v="T855080"/>
    <s v="C8830"/>
    <d v="2024-11-12T00:00:00"/>
    <x v="2"/>
    <x v="3"/>
    <x v="2"/>
    <n v="1498.23"/>
    <n v="1"/>
    <n v="1498.23"/>
    <x v="4"/>
  </r>
  <r>
    <s v="T611318"/>
    <s v="C3976"/>
    <d v="2022-11-20T00:00:00"/>
    <x v="3"/>
    <x v="3"/>
    <x v="0"/>
    <n v="1836.07"/>
    <n v="7"/>
    <n v="262.29571428571427"/>
    <x v="2"/>
  </r>
  <r>
    <s v="T460126"/>
    <s v="C8459"/>
    <d v="2023-02-09T00:00:00"/>
    <x v="1"/>
    <x v="2"/>
    <x v="0"/>
    <n v="1915.48"/>
    <n v="9"/>
    <n v="212.83111111111111"/>
    <x v="0"/>
  </r>
  <r>
    <s v="T167637"/>
    <s v="C5824"/>
    <d v="2023-07-18T00:00:00"/>
    <x v="1"/>
    <x v="3"/>
    <x v="1"/>
    <m/>
    <n v="3"/>
    <m/>
    <x v="0"/>
  </r>
  <r>
    <s v="T905367"/>
    <s v="C9045"/>
    <d v="2023-07-18T00:00:00"/>
    <x v="1"/>
    <x v="2"/>
    <x v="1"/>
    <n v="483.02"/>
    <n v="9"/>
    <n v="53.668888888888887"/>
    <x v="0"/>
  </r>
  <r>
    <s v="T137139"/>
    <s v="C5632"/>
    <d v="2024-08-31T00:00:00"/>
    <x v="2"/>
    <x v="2"/>
    <x v="0"/>
    <n v="1156.9100000000001"/>
    <n v="3"/>
    <n v="385.63666666666671"/>
    <x v="2"/>
  </r>
  <r>
    <s v="T508070"/>
    <s v="C5701"/>
    <d v="2025-07-17T00:00:00"/>
    <x v="0"/>
    <x v="1"/>
    <x v="2"/>
    <m/>
    <n v="5"/>
    <m/>
    <x v="3"/>
  </r>
  <r>
    <s v="T641188"/>
    <s v="C8156"/>
    <d v="2024-09-16T00:00:00"/>
    <x v="2"/>
    <x v="2"/>
    <x v="1"/>
    <n v="89.14"/>
    <n v="7"/>
    <n v="12.734285714285715"/>
    <x v="1"/>
  </r>
  <r>
    <s v="T481181"/>
    <s v="C1007"/>
    <d v="2025-01-22T00:00:00"/>
    <x v="0"/>
    <x v="2"/>
    <x v="0"/>
    <n v="1328.41"/>
    <n v="3"/>
    <n v="442.80333333333334"/>
    <x v="3"/>
  </r>
  <r>
    <s v="T727570"/>
    <s v="C1008"/>
    <d v="2025-09-29T00:00:00"/>
    <x v="0"/>
    <x v="1"/>
    <x v="3"/>
    <n v="987.81"/>
    <m/>
    <m/>
    <x v="3"/>
  </r>
  <r>
    <s v="T244205"/>
    <s v="C4826"/>
    <d v="2023-01-13T00:00:00"/>
    <x v="1"/>
    <x v="3"/>
    <x v="0"/>
    <n v="1734.83"/>
    <n v="8"/>
    <n v="216.85374999999999"/>
    <x v="0"/>
  </r>
  <r>
    <s v="T348330"/>
    <s v="C5810"/>
    <d v="2024-09-20T00:00:00"/>
    <x v="2"/>
    <x v="1"/>
    <x v="1"/>
    <n v="521.63"/>
    <n v="10"/>
    <n v="52.162999999999997"/>
    <x v="1"/>
  </r>
  <r>
    <s v="T803061"/>
    <s v="C5013"/>
    <d v="2023-02-02T00:00:00"/>
    <x v="1"/>
    <x v="3"/>
    <x v="2"/>
    <n v="1999.32"/>
    <n v="4"/>
    <n v="499.83"/>
    <x v="0"/>
  </r>
  <r>
    <s v="T425964"/>
    <s v="C8428"/>
    <d v="2023-01-08T00:00:00"/>
    <x v="1"/>
    <x v="3"/>
    <x v="0"/>
    <m/>
    <n v="7"/>
    <m/>
    <x v="0"/>
  </r>
  <r>
    <s v="T482857"/>
    <s v="C5526"/>
    <d v="2024-05-30T00:00:00"/>
    <x v="2"/>
    <x v="1"/>
    <x v="1"/>
    <n v="1021.8"/>
    <n v="4"/>
    <n v="255.45"/>
    <x v="1"/>
  </r>
  <r>
    <s v="T843376"/>
    <s v="C5828"/>
    <d v="2023-12-24T00:00:00"/>
    <x v="1"/>
    <x v="3"/>
    <x v="0"/>
    <n v="299.10000000000002"/>
    <n v="2"/>
    <n v="149.55000000000001"/>
    <x v="2"/>
  </r>
  <r>
    <s v="T673857"/>
    <s v="C8280"/>
    <d v="2023-09-17T00:00:00"/>
    <x v="1"/>
    <x v="0"/>
    <x v="1"/>
    <n v="659.57"/>
    <m/>
    <m/>
    <x v="3"/>
  </r>
  <r>
    <s v="T149899"/>
    <s v="C4019"/>
    <d v="2024-03-10T00:00:00"/>
    <x v="2"/>
    <x v="2"/>
    <x v="0"/>
    <n v="210.85"/>
    <n v="9"/>
    <n v="23.427777777777777"/>
    <x v="3"/>
  </r>
  <r>
    <s v="T521086"/>
    <s v="C2632"/>
    <d v="2023-11-07T00:00:00"/>
    <x v="1"/>
    <x v="2"/>
    <x v="2"/>
    <n v="560.37"/>
    <n v="8"/>
    <n v="70.046250000000001"/>
    <x v="2"/>
  </r>
  <r>
    <s v="T529966"/>
    <s v="C4085"/>
    <d v="2023-05-24T00:00:00"/>
    <x v="1"/>
    <x v="1"/>
    <x v="2"/>
    <n v="1447.56"/>
    <n v="5"/>
    <n v="289.512"/>
    <x v="2"/>
  </r>
  <r>
    <s v="T123085"/>
    <s v="C2203"/>
    <d v="2024-10-26T00:00:00"/>
    <x v="2"/>
    <x v="3"/>
    <x v="3"/>
    <n v="874.53"/>
    <n v="1"/>
    <n v="874.53"/>
    <x v="3"/>
  </r>
  <r>
    <s v="T336063"/>
    <s v="C6072"/>
    <d v="2025-10-08T00:00:00"/>
    <x v="0"/>
    <x v="2"/>
    <x v="1"/>
    <n v="694.51"/>
    <n v="4"/>
    <n v="173.6275"/>
    <x v="3"/>
  </r>
  <r>
    <s v="T873579"/>
    <s v="C2304"/>
    <d v="2023-12-22T00:00:00"/>
    <x v="1"/>
    <x v="1"/>
    <x v="1"/>
    <n v="117.9"/>
    <n v="3"/>
    <n v="39.300000000000004"/>
    <x v="0"/>
  </r>
  <r>
    <s v="T775511"/>
    <s v="C4821"/>
    <d v="2024-01-16T00:00:00"/>
    <x v="2"/>
    <x v="1"/>
    <x v="0"/>
    <n v="962.47"/>
    <n v="5"/>
    <n v="192.494"/>
    <x v="0"/>
  </r>
  <r>
    <s v="T158397"/>
    <s v="C4017"/>
    <d v="2025-02-24T00:00:00"/>
    <x v="0"/>
    <x v="3"/>
    <x v="1"/>
    <n v="463.51"/>
    <n v="2"/>
    <n v="231.755"/>
    <x v="3"/>
  </r>
  <r>
    <s v="T618718"/>
    <s v="C9621"/>
    <d v="2024-03-21T00:00:00"/>
    <x v="2"/>
    <x v="2"/>
    <x v="2"/>
    <n v="1185.6400000000001"/>
    <n v="4"/>
    <n v="296.41000000000003"/>
    <x v="2"/>
  </r>
  <r>
    <s v="T239047"/>
    <s v="C1535"/>
    <d v="2025-06-24T00:00:00"/>
    <x v="0"/>
    <x v="1"/>
    <x v="2"/>
    <n v="1157.32"/>
    <n v="2"/>
    <n v="578.66"/>
    <x v="4"/>
  </r>
  <r>
    <s v="T917145"/>
    <s v="C1804"/>
    <d v="2023-04-28T00:00:00"/>
    <x v="1"/>
    <x v="3"/>
    <x v="3"/>
    <m/>
    <n v="10"/>
    <m/>
    <x v="0"/>
  </r>
  <r>
    <s v="T913873"/>
    <s v="C4021"/>
    <d v="2025-05-23T00:00:00"/>
    <x v="0"/>
    <x v="3"/>
    <x v="0"/>
    <n v="769.89"/>
    <n v="4"/>
    <n v="192.4725"/>
    <x v="0"/>
  </r>
  <r>
    <s v="T225050"/>
    <s v="C2203"/>
    <d v="2024-02-14T00:00:00"/>
    <x v="2"/>
    <x v="2"/>
    <x v="3"/>
    <n v="96.93"/>
    <n v="6"/>
    <n v="16.155000000000001"/>
    <x v="1"/>
  </r>
  <r>
    <s v="T668268"/>
    <s v="C3668"/>
    <d v="2023-05-28T00:00:00"/>
    <x v="1"/>
    <x v="1"/>
    <x v="1"/>
    <n v="373.73"/>
    <n v="4"/>
    <n v="93.432500000000005"/>
    <x v="0"/>
  </r>
  <r>
    <s v="T227212"/>
    <s v="C3493"/>
    <d v="2023-04-14T00:00:00"/>
    <x v="1"/>
    <x v="3"/>
    <x v="2"/>
    <n v="218.8"/>
    <n v="2"/>
    <n v="109.4"/>
    <x v="1"/>
  </r>
  <r>
    <s v="T665945"/>
    <s v="C2905"/>
    <d v="2023-01-14T00:00:00"/>
    <x v="1"/>
    <x v="3"/>
    <x v="3"/>
    <n v="36.71"/>
    <n v="7"/>
    <n v="5.2442857142857147"/>
    <x v="2"/>
  </r>
  <r>
    <s v="T735005"/>
    <s v="C1295"/>
    <d v="2023-10-17T00:00:00"/>
    <x v="1"/>
    <x v="1"/>
    <x v="3"/>
    <n v="1109.3800000000001"/>
    <m/>
    <m/>
    <x v="3"/>
  </r>
  <r>
    <s v="T105458"/>
    <s v="C2792"/>
    <d v="2024-01-05T00:00:00"/>
    <x v="2"/>
    <x v="3"/>
    <x v="2"/>
    <n v="752.85"/>
    <n v="7"/>
    <n v="107.55"/>
    <x v="4"/>
  </r>
  <r>
    <s v="T785846"/>
    <s v="C2563"/>
    <d v="2023-11-27T00:00:00"/>
    <x v="1"/>
    <x v="0"/>
    <x v="3"/>
    <n v="1745.83"/>
    <n v="7"/>
    <n v="249.40428571428569"/>
    <x v="2"/>
  </r>
  <r>
    <s v="T352177"/>
    <s v="C4823"/>
    <d v="2023-04-24T00:00:00"/>
    <x v="1"/>
    <x v="0"/>
    <x v="2"/>
    <m/>
    <n v="2"/>
    <m/>
    <x v="1"/>
  </r>
  <r>
    <s v="T936875"/>
    <s v="C1673"/>
    <d v="2024-08-24T00:00:00"/>
    <x v="2"/>
    <x v="2"/>
    <x v="1"/>
    <n v="1543.93"/>
    <n v="6"/>
    <n v="257.32166666666666"/>
    <x v="4"/>
  </r>
  <r>
    <s v="T698583"/>
    <s v="C2980"/>
    <d v="2022-12-01T00:00:00"/>
    <x v="3"/>
    <x v="2"/>
    <x v="0"/>
    <n v="1625.08"/>
    <n v="7"/>
    <n v="232.15428571428569"/>
    <x v="2"/>
  </r>
  <r>
    <s v="T795709"/>
    <s v="C7136"/>
    <d v="2024-03-10T00:00:00"/>
    <x v="2"/>
    <x v="0"/>
    <x v="2"/>
    <n v="842.26"/>
    <n v="9"/>
    <n v="93.584444444444443"/>
    <x v="3"/>
  </r>
  <r>
    <s v="T421547"/>
    <s v="C9633"/>
    <d v="2022-12-18T00:00:00"/>
    <x v="3"/>
    <x v="1"/>
    <x v="2"/>
    <n v="86.6"/>
    <n v="3"/>
    <n v="28.866666666666664"/>
    <x v="3"/>
  </r>
  <r>
    <s v="T938204"/>
    <s v="C7279"/>
    <d v="2024-01-23T00:00:00"/>
    <x v="2"/>
    <x v="2"/>
    <x v="2"/>
    <n v="1395.64"/>
    <n v="6"/>
    <n v="232.60666666666668"/>
    <x v="2"/>
  </r>
  <r>
    <s v="T191182"/>
    <s v="C6018"/>
    <d v="2025-09-03T00:00:00"/>
    <x v="0"/>
    <x v="0"/>
    <x v="2"/>
    <n v="1255.53"/>
    <n v="7"/>
    <n v="179.36142857142858"/>
    <x v="2"/>
  </r>
  <r>
    <s v="T989651"/>
    <s v="C5136"/>
    <d v="2024-03-18T00:00:00"/>
    <x v="2"/>
    <x v="3"/>
    <x v="1"/>
    <n v="1974.37"/>
    <n v="4"/>
    <n v="493.59249999999997"/>
    <x v="0"/>
  </r>
  <r>
    <s v="T617200"/>
    <s v="C6727"/>
    <d v="2023-01-17T00:00:00"/>
    <x v="1"/>
    <x v="1"/>
    <x v="0"/>
    <n v="1818.76"/>
    <n v="2"/>
    <n v="909.38"/>
    <x v="4"/>
  </r>
  <r>
    <s v="T652909"/>
    <s v="C7515"/>
    <d v="2025-03-26T00:00:00"/>
    <x v="0"/>
    <x v="0"/>
    <x v="0"/>
    <n v="468.67"/>
    <n v="6"/>
    <n v="78.111666666666665"/>
    <x v="3"/>
  </r>
  <r>
    <s v="T614996"/>
    <s v="C5191"/>
    <d v="2023-03-22T00:00:00"/>
    <x v="1"/>
    <x v="0"/>
    <x v="2"/>
    <n v="1318.27"/>
    <n v="6"/>
    <n v="219.71166666666667"/>
    <x v="3"/>
  </r>
  <r>
    <s v="T181270"/>
    <s v="C5434"/>
    <d v="2024-06-10T00:00:00"/>
    <x v="2"/>
    <x v="2"/>
    <x v="3"/>
    <n v="1653.92"/>
    <n v="4"/>
    <n v="413.48"/>
    <x v="0"/>
  </r>
  <r>
    <s v="T548861"/>
    <s v="C3664"/>
    <d v="2023-02-13T00:00:00"/>
    <x v="1"/>
    <x v="0"/>
    <x v="2"/>
    <n v="149.38"/>
    <n v="5"/>
    <n v="29.875999999999998"/>
    <x v="1"/>
  </r>
  <r>
    <s v="T966871"/>
    <s v="C1408"/>
    <d v="2023-11-29T00:00:00"/>
    <x v="1"/>
    <x v="2"/>
    <x v="2"/>
    <n v="1908.78"/>
    <n v="9"/>
    <n v="212.08666666666667"/>
    <x v="4"/>
  </r>
  <r>
    <s v="T960447"/>
    <s v="C6693"/>
    <d v="2024-10-22T00:00:00"/>
    <x v="2"/>
    <x v="0"/>
    <x v="0"/>
    <m/>
    <n v="5"/>
    <m/>
    <x v="0"/>
  </r>
  <r>
    <s v="T924772"/>
    <s v="C9033"/>
    <d v="2023-09-26T00:00:00"/>
    <x v="1"/>
    <x v="0"/>
    <x v="0"/>
    <n v="1428.96"/>
    <n v="5"/>
    <n v="285.79200000000003"/>
    <x v="0"/>
  </r>
  <r>
    <s v="T741238"/>
    <s v="C2218"/>
    <d v="2025-05-08T00:00:00"/>
    <x v="0"/>
    <x v="3"/>
    <x v="2"/>
    <m/>
    <n v="1"/>
    <m/>
    <x v="0"/>
  </r>
  <r>
    <s v="T707288"/>
    <s v="C7658"/>
    <d v="2024-01-15T00:00:00"/>
    <x v="2"/>
    <x v="3"/>
    <x v="1"/>
    <n v="338.36"/>
    <n v="6"/>
    <n v="56.393333333333338"/>
    <x v="2"/>
  </r>
  <r>
    <s v="T734857"/>
    <s v="C2916"/>
    <d v="2025-01-08T00:00:00"/>
    <x v="0"/>
    <x v="1"/>
    <x v="2"/>
    <n v="1535.68"/>
    <n v="9"/>
    <n v="170.63111111111112"/>
    <x v="2"/>
  </r>
  <r>
    <s v="T513118"/>
    <s v="C7758"/>
    <d v="2023-03-01T00:00:00"/>
    <x v="1"/>
    <x v="1"/>
    <x v="2"/>
    <n v="935.5"/>
    <n v="3"/>
    <n v="311.83333333333331"/>
    <x v="0"/>
  </r>
  <r>
    <s v="T868183"/>
    <s v="C1205"/>
    <d v="2025-02-24T00:00:00"/>
    <x v="0"/>
    <x v="0"/>
    <x v="0"/>
    <n v="1301.1400000000001"/>
    <n v="8"/>
    <n v="162.64250000000001"/>
    <x v="2"/>
  </r>
  <r>
    <s v="T273218"/>
    <s v="C4201"/>
    <d v="2025-06-11T00:00:00"/>
    <x v="0"/>
    <x v="3"/>
    <x v="2"/>
    <n v="1718.36"/>
    <m/>
    <m/>
    <x v="3"/>
  </r>
  <r>
    <s v="T203776"/>
    <s v="C8633"/>
    <d v="2022-11-07T00:00:00"/>
    <x v="3"/>
    <x v="1"/>
    <x v="1"/>
    <n v="1235.58"/>
    <n v="9"/>
    <n v="137.28666666666666"/>
    <x v="3"/>
  </r>
  <r>
    <s v="T790693"/>
    <s v="C4942"/>
    <d v="2024-06-22T00:00:00"/>
    <x v="2"/>
    <x v="3"/>
    <x v="2"/>
    <n v="988.52"/>
    <n v="10"/>
    <n v="98.852000000000004"/>
    <x v="2"/>
  </r>
  <r>
    <s v="T654394"/>
    <s v="C5929"/>
    <d v="2024-09-05T00:00:00"/>
    <x v="2"/>
    <x v="0"/>
    <x v="2"/>
    <n v="216.2"/>
    <n v="10"/>
    <n v="21.619999999999997"/>
    <x v="0"/>
  </r>
  <r>
    <s v="T906737"/>
    <s v="C4609"/>
    <d v="2023-01-12T00:00:00"/>
    <x v="1"/>
    <x v="1"/>
    <x v="3"/>
    <n v="1726.82"/>
    <n v="9"/>
    <n v="191.86888888888888"/>
    <x v="0"/>
  </r>
  <r>
    <s v="T697876"/>
    <s v="C8619"/>
    <d v="2025-03-16T00:00:00"/>
    <x v="0"/>
    <x v="0"/>
    <x v="2"/>
    <n v="1069.43"/>
    <n v="6"/>
    <n v="178.23833333333334"/>
    <x v="0"/>
  </r>
  <r>
    <s v="T879794"/>
    <s v="C3498"/>
    <d v="2023-08-06T00:00:00"/>
    <x v="1"/>
    <x v="1"/>
    <x v="0"/>
    <n v="1512.3"/>
    <n v="2"/>
    <n v="756.15"/>
    <x v="4"/>
  </r>
  <r>
    <s v="T982642"/>
    <s v="C2025"/>
    <d v="2024-06-27T00:00:00"/>
    <x v="2"/>
    <x v="3"/>
    <x v="3"/>
    <n v="1496.68"/>
    <n v="2"/>
    <n v="748.34"/>
    <x v="3"/>
  </r>
  <r>
    <s v="T448423"/>
    <s v="C5079"/>
    <d v="2025-05-13T00:00:00"/>
    <x v="0"/>
    <x v="0"/>
    <x v="1"/>
    <n v="351.52"/>
    <m/>
    <m/>
    <x v="1"/>
  </r>
  <r>
    <s v="T621306"/>
    <s v="C3398"/>
    <d v="2025-04-27T00:00:00"/>
    <x v="0"/>
    <x v="0"/>
    <x v="0"/>
    <n v="417.51"/>
    <n v="10"/>
    <n v="41.750999999999998"/>
    <x v="2"/>
  </r>
  <r>
    <s v="T410363"/>
    <s v="C7991"/>
    <d v="2023-10-16T00:00:00"/>
    <x v="1"/>
    <x v="0"/>
    <x v="0"/>
    <n v="1896.95"/>
    <n v="1"/>
    <n v="1896.95"/>
    <x v="1"/>
  </r>
  <r>
    <s v="T763630"/>
    <s v="C5964"/>
    <d v="2023-02-14T00:00:00"/>
    <x v="1"/>
    <x v="2"/>
    <x v="2"/>
    <n v="444.84"/>
    <m/>
    <m/>
    <x v="2"/>
  </r>
  <r>
    <s v="T343234"/>
    <s v="C6954"/>
    <d v="2023-08-29T00:00:00"/>
    <x v="1"/>
    <x v="1"/>
    <x v="3"/>
    <n v="1920.86"/>
    <m/>
    <m/>
    <x v="2"/>
  </r>
  <r>
    <s v="T607487"/>
    <s v="C3796"/>
    <d v="2023-07-24T00:00:00"/>
    <x v="1"/>
    <x v="3"/>
    <x v="1"/>
    <n v="413.18"/>
    <m/>
    <m/>
    <x v="0"/>
  </r>
  <r>
    <s v="T171283"/>
    <s v="C4946"/>
    <d v="2025-01-26T00:00:00"/>
    <x v="0"/>
    <x v="0"/>
    <x v="1"/>
    <n v="493.86"/>
    <n v="6"/>
    <n v="82.31"/>
    <x v="4"/>
  </r>
  <r>
    <s v="T480394"/>
    <s v="C7914"/>
    <d v="2025-09-16T00:00:00"/>
    <x v="0"/>
    <x v="2"/>
    <x v="1"/>
    <n v="1798.18"/>
    <n v="4"/>
    <n v="449.54500000000002"/>
    <x v="4"/>
  </r>
  <r>
    <s v="T523275"/>
    <s v="C3185"/>
    <d v="2023-03-09T00:00:00"/>
    <x v="1"/>
    <x v="0"/>
    <x v="0"/>
    <n v="113.08"/>
    <n v="10"/>
    <n v="11.308"/>
    <x v="4"/>
  </r>
  <r>
    <s v="T958637"/>
    <s v="C7280"/>
    <d v="2023-01-07T00:00:00"/>
    <x v="1"/>
    <x v="2"/>
    <x v="2"/>
    <n v="1520.77"/>
    <m/>
    <m/>
    <x v="4"/>
  </r>
  <r>
    <s v="T496661"/>
    <s v="C4375"/>
    <d v="2025-07-03T00:00:00"/>
    <x v="0"/>
    <x v="0"/>
    <x v="1"/>
    <n v="1054.76"/>
    <n v="2"/>
    <n v="527.38"/>
    <x v="4"/>
  </r>
  <r>
    <s v="T451940"/>
    <s v="C9478"/>
    <d v="2022-12-02T00:00:00"/>
    <x v="3"/>
    <x v="2"/>
    <x v="0"/>
    <n v="1281.45"/>
    <n v="4"/>
    <n v="320.36250000000001"/>
    <x v="2"/>
  </r>
  <r>
    <s v="T726333"/>
    <s v="C1449"/>
    <d v="2025-08-01T00:00:00"/>
    <x v="0"/>
    <x v="0"/>
    <x v="2"/>
    <n v="83.34"/>
    <n v="7"/>
    <n v="11.905714285714286"/>
    <x v="3"/>
  </r>
  <r>
    <s v="T785610"/>
    <s v="C3585"/>
    <d v="2025-07-23T00:00:00"/>
    <x v="0"/>
    <x v="2"/>
    <x v="0"/>
    <m/>
    <n v="6"/>
    <m/>
    <x v="2"/>
  </r>
  <r>
    <s v="T550149"/>
    <s v="C2674"/>
    <d v="2024-04-25T00:00:00"/>
    <x v="2"/>
    <x v="0"/>
    <x v="3"/>
    <n v="118.39"/>
    <n v="4"/>
    <n v="29.5975"/>
    <x v="3"/>
  </r>
  <r>
    <s v="T578054"/>
    <s v="C5054"/>
    <d v="2023-05-08T00:00:00"/>
    <x v="1"/>
    <x v="2"/>
    <x v="3"/>
    <n v="1070.96"/>
    <n v="6"/>
    <n v="178.49333333333334"/>
    <x v="0"/>
  </r>
  <r>
    <s v="T106138"/>
    <s v="C7952"/>
    <d v="2024-10-06T00:00:00"/>
    <x v="2"/>
    <x v="2"/>
    <x v="0"/>
    <n v="1173.57"/>
    <m/>
    <m/>
    <x v="1"/>
  </r>
  <r>
    <s v="T115037"/>
    <s v="C1321"/>
    <d v="2025-05-18T00:00:00"/>
    <x v="0"/>
    <x v="3"/>
    <x v="2"/>
    <n v="1483.52"/>
    <n v="4"/>
    <n v="370.88"/>
    <x v="0"/>
  </r>
  <r>
    <s v="T679621"/>
    <s v="C3717"/>
    <d v="2023-06-07T00:00:00"/>
    <x v="1"/>
    <x v="0"/>
    <x v="2"/>
    <n v="1563.65"/>
    <n v="5"/>
    <n v="312.73"/>
    <x v="0"/>
  </r>
  <r>
    <s v="T786428"/>
    <s v="C7571"/>
    <d v="2024-08-13T00:00:00"/>
    <x v="2"/>
    <x v="3"/>
    <x v="0"/>
    <n v="827.81"/>
    <n v="5"/>
    <n v="165.56199999999998"/>
    <x v="1"/>
  </r>
  <r>
    <s v="T716322"/>
    <s v="C6153"/>
    <d v="2023-12-25T00:00:00"/>
    <x v="1"/>
    <x v="0"/>
    <x v="1"/>
    <n v="800.68"/>
    <n v="10"/>
    <n v="80.067999999999998"/>
    <x v="1"/>
  </r>
  <r>
    <s v="T448421"/>
    <s v="C1214"/>
    <d v="2023-11-15T00:00:00"/>
    <x v="1"/>
    <x v="3"/>
    <x v="1"/>
    <n v="1399.64"/>
    <n v="3"/>
    <n v="466.54666666666668"/>
    <x v="1"/>
  </r>
  <r>
    <s v="T459459"/>
    <s v="C1878"/>
    <d v="2023-01-10T00:00:00"/>
    <x v="1"/>
    <x v="3"/>
    <x v="1"/>
    <n v="1586.04"/>
    <n v="3"/>
    <n v="528.67999999999995"/>
    <x v="2"/>
  </r>
  <r>
    <s v="T128862"/>
    <s v="C7393"/>
    <d v="2024-04-09T00:00:00"/>
    <x v="2"/>
    <x v="3"/>
    <x v="0"/>
    <n v="1007.12"/>
    <n v="4"/>
    <n v="251.78"/>
    <x v="2"/>
  </r>
  <r>
    <s v="T534027"/>
    <s v="C6141"/>
    <d v="2025-04-15T00:00:00"/>
    <x v="0"/>
    <x v="1"/>
    <x v="0"/>
    <n v="1359.46"/>
    <n v="10"/>
    <n v="135.946"/>
    <x v="0"/>
  </r>
  <r>
    <s v="T786079"/>
    <s v="C4667"/>
    <d v="2025-09-06T00:00:00"/>
    <x v="0"/>
    <x v="3"/>
    <x v="1"/>
    <m/>
    <n v="8"/>
    <m/>
    <x v="1"/>
  </r>
  <r>
    <s v="T330733"/>
    <s v="C3740"/>
    <d v="2022-12-09T00:00:00"/>
    <x v="3"/>
    <x v="2"/>
    <x v="0"/>
    <n v="1816.51"/>
    <n v="7"/>
    <n v="259.50142857142856"/>
    <x v="4"/>
  </r>
  <r>
    <s v="T324992"/>
    <s v="C6155"/>
    <d v="2024-05-12T00:00:00"/>
    <x v="2"/>
    <x v="1"/>
    <x v="1"/>
    <n v="691.83"/>
    <n v="1"/>
    <n v="691.83"/>
    <x v="4"/>
  </r>
  <r>
    <s v="T461884"/>
    <s v="C4334"/>
    <d v="2024-09-28T00:00:00"/>
    <x v="2"/>
    <x v="3"/>
    <x v="1"/>
    <m/>
    <n v="6"/>
    <m/>
    <x v="4"/>
  </r>
  <r>
    <s v="T262343"/>
    <s v="C6859"/>
    <d v="2023-04-08T00:00:00"/>
    <x v="1"/>
    <x v="3"/>
    <x v="0"/>
    <n v="1493.22"/>
    <m/>
    <m/>
    <x v="3"/>
  </r>
  <r>
    <s v="T581665"/>
    <s v="C1897"/>
    <d v="2023-03-19T00:00:00"/>
    <x v="1"/>
    <x v="2"/>
    <x v="0"/>
    <n v="1184.77"/>
    <n v="5"/>
    <n v="236.95400000000001"/>
    <x v="0"/>
  </r>
  <r>
    <s v="T139458"/>
    <s v="C2246"/>
    <d v="2025-07-14T00:00:00"/>
    <x v="0"/>
    <x v="3"/>
    <x v="1"/>
    <n v="967.57"/>
    <n v="2"/>
    <n v="483.78500000000003"/>
    <x v="1"/>
  </r>
  <r>
    <s v="T848162"/>
    <s v="C9378"/>
    <d v="2025-09-16T00:00:00"/>
    <x v="0"/>
    <x v="0"/>
    <x v="1"/>
    <n v="579.44000000000005"/>
    <n v="1"/>
    <n v="579.44000000000005"/>
    <x v="2"/>
  </r>
  <r>
    <s v="T659849"/>
    <s v="C2827"/>
    <d v="2025-09-02T00:00:00"/>
    <x v="0"/>
    <x v="1"/>
    <x v="0"/>
    <n v="336.92"/>
    <n v="10"/>
    <n v="33.692"/>
    <x v="1"/>
  </r>
  <r>
    <s v="T785700"/>
    <s v="C8524"/>
    <d v="2023-03-31T00:00:00"/>
    <x v="1"/>
    <x v="1"/>
    <x v="1"/>
    <n v="1501.03"/>
    <n v="10"/>
    <n v="150.10300000000001"/>
    <x v="1"/>
  </r>
  <r>
    <s v="T497775"/>
    <s v="C4824"/>
    <d v="2025-08-21T00:00:00"/>
    <x v="0"/>
    <x v="3"/>
    <x v="3"/>
    <n v="864.23"/>
    <n v="9"/>
    <n v="96.025555555555556"/>
    <x v="3"/>
  </r>
  <r>
    <s v="T330202"/>
    <s v="C8730"/>
    <d v="2023-12-27T00:00:00"/>
    <x v="1"/>
    <x v="0"/>
    <x v="1"/>
    <n v="1635.16"/>
    <n v="6"/>
    <n v="272.5266666666667"/>
    <x v="1"/>
  </r>
  <r>
    <s v="T450829"/>
    <s v="C4704"/>
    <d v="2024-05-05T00:00:00"/>
    <x v="2"/>
    <x v="1"/>
    <x v="0"/>
    <n v="1470.52"/>
    <n v="10"/>
    <n v="147.05199999999999"/>
    <x v="2"/>
  </r>
  <r>
    <s v="T492668"/>
    <s v="C3987"/>
    <d v="2022-10-27T00:00:00"/>
    <x v="3"/>
    <x v="1"/>
    <x v="2"/>
    <n v="521.16999999999996"/>
    <n v="3"/>
    <n v="173.72333333333333"/>
    <x v="1"/>
  </r>
  <r>
    <s v="T972820"/>
    <s v="C4896"/>
    <d v="2024-12-26T00:00:00"/>
    <x v="2"/>
    <x v="2"/>
    <x v="3"/>
    <n v="1584.23"/>
    <n v="9"/>
    <n v="176.02555555555557"/>
    <x v="4"/>
  </r>
  <r>
    <s v="T412694"/>
    <s v="C3796"/>
    <d v="2024-02-09T00:00:00"/>
    <x v="2"/>
    <x v="3"/>
    <x v="1"/>
    <n v="350.85"/>
    <m/>
    <m/>
    <x v="1"/>
  </r>
  <r>
    <s v="T667594"/>
    <s v="C6829"/>
    <d v="2023-09-18T00:00:00"/>
    <x v="1"/>
    <x v="0"/>
    <x v="1"/>
    <n v="1931.84"/>
    <n v="3"/>
    <n v="643.9466666666666"/>
    <x v="4"/>
  </r>
  <r>
    <s v="T146554"/>
    <s v="C3049"/>
    <d v="2025-03-01T00:00:00"/>
    <x v="0"/>
    <x v="3"/>
    <x v="0"/>
    <n v="1401.08"/>
    <m/>
    <m/>
    <x v="1"/>
  </r>
  <r>
    <s v="T615356"/>
    <s v="C2453"/>
    <d v="2025-07-28T00:00:00"/>
    <x v="0"/>
    <x v="2"/>
    <x v="1"/>
    <n v="1677.38"/>
    <n v="10"/>
    <n v="167.738"/>
    <x v="4"/>
  </r>
  <r>
    <s v="T395222"/>
    <s v="C3053"/>
    <d v="2023-12-19T00:00:00"/>
    <x v="1"/>
    <x v="0"/>
    <x v="2"/>
    <n v="1825.5"/>
    <n v="3"/>
    <n v="608.5"/>
    <x v="0"/>
  </r>
  <r>
    <s v="T853819"/>
    <s v="C5084"/>
    <d v="2022-12-23T00:00:00"/>
    <x v="3"/>
    <x v="2"/>
    <x v="2"/>
    <n v="1556.13"/>
    <m/>
    <m/>
    <x v="3"/>
  </r>
  <r>
    <s v="T980504"/>
    <s v="C8811"/>
    <d v="2024-04-19T00:00:00"/>
    <x v="2"/>
    <x v="2"/>
    <x v="2"/>
    <n v="433.25"/>
    <n v="7"/>
    <n v="61.892857142857146"/>
    <x v="4"/>
  </r>
  <r>
    <s v="T373567"/>
    <s v="C9806"/>
    <d v="2024-04-27T00:00:00"/>
    <x v="2"/>
    <x v="3"/>
    <x v="1"/>
    <n v="1101.55"/>
    <n v="2"/>
    <n v="550.77499999999998"/>
    <x v="1"/>
  </r>
  <r>
    <s v="T829814"/>
    <s v="C6088"/>
    <d v="2024-05-02T00:00:00"/>
    <x v="2"/>
    <x v="3"/>
    <x v="2"/>
    <n v="1989.2"/>
    <n v="5"/>
    <n v="397.84000000000003"/>
    <x v="4"/>
  </r>
  <r>
    <s v="T746555"/>
    <s v="C2711"/>
    <d v="2023-11-14T00:00:00"/>
    <x v="1"/>
    <x v="1"/>
    <x v="2"/>
    <n v="1217.6300000000001"/>
    <m/>
    <m/>
    <x v="3"/>
  </r>
  <r>
    <s v="T362587"/>
    <s v="C5085"/>
    <d v="2024-08-09T00:00:00"/>
    <x v="2"/>
    <x v="2"/>
    <x v="1"/>
    <n v="1719.45"/>
    <n v="2"/>
    <n v="859.72500000000002"/>
    <x v="2"/>
  </r>
  <r>
    <s v="T718238"/>
    <s v="C9715"/>
    <d v="2023-06-26T00:00:00"/>
    <x v="1"/>
    <x v="1"/>
    <x v="3"/>
    <m/>
    <n v="6"/>
    <m/>
    <x v="3"/>
  </r>
  <r>
    <s v="T733854"/>
    <s v="C4980"/>
    <d v="2025-07-28T00:00:00"/>
    <x v="0"/>
    <x v="3"/>
    <x v="0"/>
    <m/>
    <n v="2"/>
    <m/>
    <x v="0"/>
  </r>
  <r>
    <s v="T651075"/>
    <s v="C6972"/>
    <d v="2025-01-09T00:00:00"/>
    <x v="0"/>
    <x v="3"/>
    <x v="0"/>
    <n v="1048.73"/>
    <n v="6"/>
    <n v="174.78833333333333"/>
    <x v="4"/>
  </r>
  <r>
    <s v="T268785"/>
    <s v="C4561"/>
    <d v="2024-04-26T00:00:00"/>
    <x v="2"/>
    <x v="3"/>
    <x v="1"/>
    <n v="1411.29"/>
    <n v="1"/>
    <n v="1411.29"/>
    <x v="2"/>
  </r>
  <r>
    <s v="T378337"/>
    <s v="C3831"/>
    <d v="2025-03-26T00:00:00"/>
    <x v="0"/>
    <x v="0"/>
    <x v="1"/>
    <m/>
    <n v="7"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575C17-09A9-4172-84E9-316B233D3E50}" name="PivotTable1" cacheId="2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C19" firstHeaderRow="1" firstDataRow="1" firstDataCol="2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3"/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0"/>
        <item x="3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3"/>
  </rowFields>
  <rowItems count="16">
    <i>
      <x/>
      <x/>
    </i>
    <i r="1">
      <x v="1"/>
    </i>
    <i r="1">
      <x v="2"/>
    </i>
    <i r="1">
      <x v="3"/>
    </i>
    <i>
      <x v="1"/>
      <x/>
    </i>
    <i r="1">
      <x v="1"/>
    </i>
    <i r="1">
      <x v="2"/>
    </i>
    <i r="1">
      <x v="3"/>
    </i>
    <i>
      <x v="2"/>
      <x/>
    </i>
    <i r="1">
      <x v="1"/>
    </i>
    <i r="1">
      <x v="2"/>
    </i>
    <i r="1">
      <x v="3"/>
    </i>
    <i>
      <x v="3"/>
      <x/>
    </i>
    <i r="1">
      <x v="1"/>
    </i>
    <i r="1">
      <x v="2"/>
    </i>
    <i r="1">
      <x v="3"/>
    </i>
  </rowItems>
  <colItems count="1">
    <i/>
  </colItems>
  <dataFields count="1">
    <dataField name="Average of  Unit_Price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277868-F5D5-41E3-BBE5-2FC0E759EC84}" name="PivotTable1" cacheId="2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E298" firstHeaderRow="1" firstDataRow="1" firstDataCol="4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3"/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0"/>
        <item x="3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0"/>
        <item x="2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1"/>
        <item x="3"/>
        <item x="2"/>
        <item x="4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4"/>
    <field x="5"/>
    <field x="9"/>
    <field x="3"/>
  </rowFields>
  <rowItems count="295">
    <i>
      <x/>
      <x/>
      <x/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 r="2">
      <x v="3"/>
      <x/>
    </i>
    <i r="3">
      <x v="1"/>
    </i>
    <i r="3">
      <x v="2"/>
    </i>
    <i r="3">
      <x v="3"/>
    </i>
    <i r="2">
      <x v="4"/>
      <x v="1"/>
    </i>
    <i r="3">
      <x v="2"/>
    </i>
    <i r="3">
      <x v="3"/>
    </i>
    <i r="1">
      <x v="1"/>
      <x/>
      <x v="1"/>
    </i>
    <i r="3">
      <x v="2"/>
    </i>
    <i r="3">
      <x v="3"/>
    </i>
    <i r="2">
      <x v="1"/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 r="2">
      <x v="3"/>
      <x/>
    </i>
    <i r="3">
      <x v="1"/>
    </i>
    <i r="3">
      <x v="2"/>
    </i>
    <i r="3">
      <x v="3"/>
    </i>
    <i r="2">
      <x v="4"/>
      <x/>
    </i>
    <i r="3">
      <x v="1"/>
    </i>
    <i r="3">
      <x v="2"/>
    </i>
    <i r="3">
      <x v="3"/>
    </i>
    <i r="1">
      <x v="2"/>
      <x/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 v="1"/>
    </i>
    <i r="3">
      <x v="2"/>
    </i>
    <i r="3">
      <x v="3"/>
    </i>
    <i r="2">
      <x v="3"/>
      <x/>
    </i>
    <i r="3">
      <x v="1"/>
    </i>
    <i r="3">
      <x v="2"/>
    </i>
    <i r="3">
      <x v="3"/>
    </i>
    <i r="2">
      <x v="4"/>
      <x/>
    </i>
    <i r="3">
      <x v="1"/>
    </i>
    <i r="3">
      <x v="2"/>
    </i>
    <i r="3">
      <x v="3"/>
    </i>
    <i r="1">
      <x v="3"/>
      <x/>
      <x/>
    </i>
    <i r="3"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 r="2">
      <x v="3"/>
      <x/>
    </i>
    <i r="3">
      <x v="1"/>
    </i>
    <i r="3">
      <x v="2"/>
    </i>
    <i r="3">
      <x v="3"/>
    </i>
    <i r="2">
      <x v="4"/>
      <x/>
    </i>
    <i r="3">
      <x v="1"/>
    </i>
    <i r="3">
      <x v="2"/>
    </i>
    <i r="3">
      <x v="3"/>
    </i>
    <i>
      <x v="1"/>
      <x/>
      <x/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 r="2">
      <x v="3"/>
      <x/>
    </i>
    <i r="3">
      <x v="1"/>
    </i>
    <i r="3">
      <x v="2"/>
    </i>
    <i r="3">
      <x v="3"/>
    </i>
    <i r="2">
      <x v="4"/>
      <x/>
    </i>
    <i r="3">
      <x v="1"/>
    </i>
    <i r="3">
      <x v="2"/>
    </i>
    <i r="3">
      <x v="3"/>
    </i>
    <i r="1">
      <x v="1"/>
      <x/>
      <x/>
    </i>
    <i r="3"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 r="2">
      <x v="3"/>
      <x/>
    </i>
    <i r="3">
      <x v="1"/>
    </i>
    <i r="3">
      <x v="2"/>
    </i>
    <i r="3">
      <x v="3"/>
    </i>
    <i r="2">
      <x v="4"/>
      <x/>
    </i>
    <i r="3">
      <x v="1"/>
    </i>
    <i r="3">
      <x v="2"/>
    </i>
    <i r="3">
      <x v="3"/>
    </i>
    <i r="1">
      <x v="2"/>
      <x/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 r="2">
      <x v="3"/>
      <x v="1"/>
    </i>
    <i r="3">
      <x v="2"/>
    </i>
    <i r="2">
      <x v="4"/>
      <x/>
    </i>
    <i r="3">
      <x v="1"/>
    </i>
    <i r="3">
      <x v="2"/>
    </i>
    <i r="3">
      <x v="3"/>
    </i>
    <i r="1">
      <x v="3"/>
      <x/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 r="2">
      <x v="3"/>
      <x/>
    </i>
    <i r="3">
      <x v="1"/>
    </i>
    <i r="3">
      <x v="2"/>
    </i>
    <i r="3">
      <x v="3"/>
    </i>
    <i r="2">
      <x v="4"/>
      <x/>
    </i>
    <i r="3">
      <x v="1"/>
    </i>
    <i r="3">
      <x v="2"/>
    </i>
    <i r="3">
      <x v="3"/>
    </i>
    <i>
      <x v="2"/>
      <x/>
      <x/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 v="1"/>
    </i>
    <i r="3">
      <x v="2"/>
    </i>
    <i r="3">
      <x v="3"/>
    </i>
    <i r="2">
      <x v="3"/>
      <x/>
    </i>
    <i r="3">
      <x v="1"/>
    </i>
    <i r="3">
      <x v="2"/>
    </i>
    <i r="3">
      <x v="3"/>
    </i>
    <i r="2">
      <x v="4"/>
      <x v="1"/>
    </i>
    <i r="3">
      <x v="2"/>
    </i>
    <i r="3">
      <x v="3"/>
    </i>
    <i r="1">
      <x v="1"/>
      <x/>
      <x/>
    </i>
    <i r="3"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 r="2">
      <x v="3"/>
      <x/>
    </i>
    <i r="3">
      <x v="1"/>
    </i>
    <i r="3">
      <x v="2"/>
    </i>
    <i r="3">
      <x v="3"/>
    </i>
    <i r="2">
      <x v="4"/>
      <x/>
    </i>
    <i r="3">
      <x v="1"/>
    </i>
    <i r="3">
      <x v="2"/>
    </i>
    <i r="3">
      <x v="3"/>
    </i>
    <i r="1">
      <x v="2"/>
      <x/>
      <x v="1"/>
    </i>
    <i r="3">
      <x v="2"/>
    </i>
    <i r="3">
      <x v="3"/>
    </i>
    <i r="2">
      <x v="1"/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 r="2">
      <x v="3"/>
      <x/>
    </i>
    <i r="3">
      <x v="1"/>
    </i>
    <i r="3">
      <x v="2"/>
    </i>
    <i r="3">
      <x v="3"/>
    </i>
    <i r="2">
      <x v="4"/>
      <x/>
    </i>
    <i r="3">
      <x v="1"/>
    </i>
    <i r="3">
      <x v="2"/>
    </i>
    <i r="3">
      <x v="3"/>
    </i>
    <i r="1">
      <x v="3"/>
      <x/>
      <x/>
    </i>
    <i r="3"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 v="1"/>
    </i>
    <i r="3">
      <x v="2"/>
    </i>
    <i r="3">
      <x v="3"/>
    </i>
    <i r="2">
      <x v="3"/>
      <x/>
    </i>
    <i r="3">
      <x v="1"/>
    </i>
    <i r="3">
      <x v="2"/>
    </i>
    <i r="3">
      <x v="3"/>
    </i>
    <i r="2">
      <x v="4"/>
      <x v="1"/>
    </i>
    <i r="3">
      <x v="3"/>
    </i>
    <i>
      <x v="3"/>
      <x/>
      <x/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 r="2">
      <x v="3"/>
      <x/>
    </i>
    <i r="3">
      <x v="1"/>
    </i>
    <i r="3">
      <x v="2"/>
    </i>
    <i r="3">
      <x v="3"/>
    </i>
    <i r="2">
      <x v="4"/>
      <x/>
    </i>
    <i r="3">
      <x v="1"/>
    </i>
    <i r="3">
      <x v="2"/>
    </i>
    <i r="3">
      <x v="3"/>
    </i>
    <i r="1">
      <x v="1"/>
      <x/>
      <x/>
    </i>
    <i r="3"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 r="2">
      <x v="3"/>
      <x/>
    </i>
    <i r="3">
      <x v="1"/>
    </i>
    <i r="3">
      <x v="2"/>
    </i>
    <i r="3">
      <x v="3"/>
    </i>
    <i r="2">
      <x v="4"/>
      <x v="1"/>
    </i>
    <i r="3">
      <x v="2"/>
    </i>
    <i r="3">
      <x v="3"/>
    </i>
    <i r="1">
      <x v="2"/>
      <x/>
      <x/>
    </i>
    <i r="3">
      <x v="1"/>
    </i>
    <i r="3">
      <x v="2"/>
    </i>
    <i r="3">
      <x v="3"/>
    </i>
    <i r="2">
      <x v="1"/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 r="2">
      <x v="3"/>
      <x/>
    </i>
    <i r="3">
      <x v="1"/>
    </i>
    <i r="3">
      <x v="2"/>
    </i>
    <i r="3">
      <x v="3"/>
    </i>
    <i r="2">
      <x v="4"/>
      <x v="1"/>
    </i>
    <i r="3">
      <x v="2"/>
    </i>
    <i r="3">
      <x v="3"/>
    </i>
    <i r="1">
      <x v="3"/>
      <x/>
      <x/>
    </i>
    <i r="3"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 v="1"/>
    </i>
    <i r="3">
      <x v="2"/>
    </i>
    <i r="3">
      <x v="3"/>
    </i>
    <i r="2">
      <x v="3"/>
      <x/>
    </i>
    <i r="3">
      <x v="1"/>
    </i>
    <i r="3">
      <x v="2"/>
    </i>
    <i r="3">
      <x v="3"/>
    </i>
    <i r="2">
      <x v="4"/>
      <x v="1"/>
    </i>
    <i r="3">
      <x v="2"/>
    </i>
    <i r="3">
      <x v="3"/>
    </i>
  </rowItems>
  <colItems count="1">
    <i/>
  </colItems>
  <dataFields count="1">
    <dataField name="Average of  Unit_Price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33192C-A3AA-433F-AF21-3DD0E9CB8C15}" name="Table4" displayName="Table4" ref="A2:D3" totalsRowShown="0" headerRowDxfId="44" dataDxfId="42" headerRowBorderDxfId="43" tableBorderDxfId="41" totalsRowBorderDxfId="40">
  <tableColumns count="4">
    <tableColumn id="1" xr3:uid="{FBCC9984-9349-4D12-B35F-A7A8472B2A7A}" name="إجمالي المبيعات" dataDxfId="39" dataCellStyle="Currency"/>
    <tableColumn id="2" xr3:uid="{DD60BB1B-5411-462B-ADDE-26D1A57DB257}" name="إجمالي الكميات" dataDxfId="38"/>
    <tableColumn id="3" xr3:uid="{F72239E7-9C1C-4200-8A2A-8E768CD9D375}" name="أعلى مبيعات منتج" dataDxfId="37"/>
    <tableColumn id="4" xr3:uid="{D4A55F39-3071-4533-AE83-D17A246085B6}" name="اسم المنتج الأكثر مبيعاً" dataDxfId="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A2C53D9-2081-4853-BA78-8899DDFB9018}" name="Table17" displayName="Table17" ref="A1:M1744" totalsRowShown="0" headerRowDxfId="35" dataDxfId="33" headerRowBorderDxfId="34" tableBorderDxfId="32" totalsRowBorderDxfId="31">
  <tableColumns count="13">
    <tableColumn id="1" xr3:uid="{9598C34A-CBA0-4B82-9275-C5C43681C766}" name="Transaction_ID" dataDxfId="30"/>
    <tableColumn id="2" xr3:uid="{F6D30A1F-6B07-4BA7-A436-812D6F80BAB0}" name="Customer_ID" dataDxfId="29"/>
    <tableColumn id="3" xr3:uid="{87575556-B1D5-4ADB-A366-7CB3F6838312}" name="Transaction_Date" dataDxfId="28"/>
    <tableColumn id="13" xr3:uid="{83009DBF-3AB5-4D74-B0F6-53B261989F91}" name="year" dataDxfId="27"/>
    <tableColumn id="10" xr3:uid="{216BB0B8-5050-4A54-A745-D52961B7692A}" name="Product" dataDxfId="26"/>
    <tableColumn id="11" xr3:uid="{E28E3B6E-5FC2-4CDA-A673-B11E7E2B5F52}" name="Channel" dataDxfId="25"/>
    <tableColumn id="7" xr3:uid="{69492E10-C128-4B7B-A805-A50FD7BD72A5}" name="Amount" dataDxfId="24"/>
    <tableColumn id="16" xr3:uid="{A4CFFBAC-0F01-4B90-9F2A-9EB884960E1E}" name="Amount_Cleaned" dataDxfId="23"/>
    <tableColumn id="5" xr3:uid="{908BEB44-3D6C-468E-A8E3-1021FB23EE92}" name="Quantity" dataDxfId="22"/>
    <tableColumn id="18" xr3:uid="{83B81274-2131-4688-B85F-838F9A0AD690}" name="Quantity_Cleaned" dataDxfId="21"/>
    <tableColumn id="21" xr3:uid="{A776752E-7688-477E-8B01-C3F149CB82B8}" name="Country" dataDxfId="20"/>
    <tableColumn id="14" xr3:uid="{1A91B83E-C6D3-4048-9D43-654EDAB69946}" name=" Unit_Price" dataDxfId="19"/>
    <tableColumn id="15" xr3:uid="{F28AB722-1BBB-4A47-8145-F3028968FB1C}" name="Average of  Unit_Price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683091-0A8C-4208-96CC-79BBB448C6C9}" name="Table1" displayName="Table1" ref="A1:M1744" totalsRowShown="0" headerRowDxfId="17" dataDxfId="15" headerRowBorderDxfId="16" tableBorderDxfId="14" totalsRowBorderDxfId="13">
  <tableColumns count="13">
    <tableColumn id="1" xr3:uid="{51439663-B4A2-4E31-AF6D-CDB891B15983}" name="Transaction_ID" dataDxfId="12"/>
    <tableColumn id="2" xr3:uid="{0193D31C-F53F-4380-94E4-FFC807D00DB1}" name="Customer_ID" dataDxfId="11"/>
    <tableColumn id="3" xr3:uid="{B388B341-0BEC-4CC2-9F5E-0D08AD647D96}" name="Transaction_Date" dataDxfId="10"/>
    <tableColumn id="13" xr3:uid="{A83187B7-116D-47A4-84CF-3F3C16DB0659}" name="year" dataDxfId="9"/>
    <tableColumn id="10" xr3:uid="{7D44BBAD-9B54-4B42-80E0-1BD9EF5E75CF}" name="Product" dataDxfId="8"/>
    <tableColumn id="11" xr3:uid="{D24DE08E-BB0F-4346-9D0A-C804C0392F34}" name="Channel" dataDxfId="7"/>
    <tableColumn id="7" xr3:uid="{F111D451-EAD3-43D7-9B23-61E9BB2977BA}" name="Amount" dataDxfId="6"/>
    <tableColumn id="16" xr3:uid="{DE38F34A-590D-4FA6-BB37-AC517B2607FE}" name="Amount_Cleaned" dataDxfId="5"/>
    <tableColumn id="5" xr3:uid="{507066AC-6073-4BEC-B32A-E1AFC9A01AC8}" name="Quantity" dataDxfId="4"/>
    <tableColumn id="18" xr3:uid="{6421D3B5-7826-4CAE-BCE4-5FB81A1BED84}" name="Quantity_Cleaned" dataDxfId="3"/>
    <tableColumn id="21" xr3:uid="{B8B8A463-968F-4955-81C2-F6B3681C8A42}" name="Country" dataDxfId="2"/>
    <tableColumn id="14" xr3:uid="{41992E74-B2A5-4F29-BCE2-87C3311338CE}" name=" Unit_Price" dataDxfId="1"/>
    <tableColumn id="15" xr3:uid="{4601C3C3-F4EA-4308-A48D-60590DA1C0C7}" name="Average of  Unit_Price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6AFF17-E096-4C5E-913B-9C417392F70F}" name="Table2" displayName="Table2" ref="A1:E2" totalsRowShown="0">
  <autoFilter ref="A1:E2" xr:uid="{5A6AFF17-E096-4C5E-913B-9C417392F70F}"/>
  <tableColumns count="5">
    <tableColumn id="1" xr3:uid="{A922191D-5DFA-4B14-A05E-E25FBED859DC}" name="Q1 amount"/>
    <tableColumn id="2" xr3:uid="{C9060FC3-337A-4CB6-A033-58948FA8A5A9}" name="Q3 amount"/>
    <tableColumn id="3" xr3:uid="{9961CA9D-F841-4AB3-A37F-2D8044E2ECA8}" name="IQR amount"/>
    <tableColumn id="4" xr3:uid="{6AA17A31-F0CF-49A0-8810-6CE4C6EF76C6}" name="Lower Bound amount"/>
    <tableColumn id="5" xr3:uid="{48462665-6944-4D08-AA96-A90F1D647E94}" name="Upper Bound amou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4936A7-5D3C-43D2-93E0-E786D0CEFEB7}" name="Table3" displayName="Table3" ref="A4:F5" totalsRowShown="0">
  <autoFilter ref="A4:F5" xr:uid="{224936A7-5D3C-43D2-93E0-E786D0CEFEB7}"/>
  <tableColumns count="6">
    <tableColumn id="1" xr3:uid="{DB1A11CC-679E-40D1-979D-536249932C00}" name="Minimum Quantity"/>
    <tableColumn id="2" xr3:uid="{7E735846-A4E7-417F-8BFF-2B0ED4E26C77}" name="maximum Quantity"/>
    <tableColumn id="3" xr3:uid="{BE00A639-4A11-4E97-AC2D-72786A54F13D}" name="average Quantity"/>
    <tableColumn id="4" xr3:uid="{48DDC76F-0154-4EF5-9F69-0201F6506F0A}" name="median Quantity"/>
    <tableColumn id="5" xr3:uid="{2E191F45-9908-41BC-94CE-65823F6397E1}" name="Percentile Quantity"/>
    <tableColumn id="6" xr3:uid="{6E7829C6-1F25-4303-8A14-AC8230AB44F6}" name="IQR 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FF459-B802-4BF8-BF3F-313DBA9D29BD}">
  <dimension ref="A3:C19"/>
  <sheetViews>
    <sheetView workbookViewId="0">
      <selection activeCell="F17" sqref="F17"/>
    </sheetView>
  </sheetViews>
  <sheetFormatPr defaultRowHeight="13.8" x14ac:dyDescent="0.25"/>
  <cols>
    <col min="1" max="1" width="20.09765625" bestFit="1" customWidth="1"/>
    <col min="2" max="2" width="6.796875" bestFit="1" customWidth="1"/>
    <col min="3" max="3" width="20.69921875" bestFit="1" customWidth="1"/>
  </cols>
  <sheetData>
    <row r="3" spans="1:3" x14ac:dyDescent="0.25">
      <c r="A3" s="1" t="s">
        <v>3</v>
      </c>
      <c r="B3" s="1" t="s">
        <v>3349</v>
      </c>
      <c r="C3" t="s">
        <v>3351</v>
      </c>
    </row>
    <row r="4" spans="1:3" x14ac:dyDescent="0.25">
      <c r="A4" t="s">
        <v>10</v>
      </c>
      <c r="B4">
        <v>2022</v>
      </c>
      <c r="C4">
        <v>330.1417222222222</v>
      </c>
    </row>
    <row r="5" spans="1:3" x14ac:dyDescent="0.25">
      <c r="A5" t="s">
        <v>10</v>
      </c>
      <c r="B5">
        <v>2023</v>
      </c>
      <c r="C5">
        <v>321.18793740853317</v>
      </c>
    </row>
    <row r="6" spans="1:3" x14ac:dyDescent="0.25">
      <c r="A6" t="s">
        <v>10</v>
      </c>
      <c r="B6">
        <v>2024</v>
      </c>
      <c r="C6">
        <v>285.60321172288354</v>
      </c>
    </row>
    <row r="7" spans="1:3" x14ac:dyDescent="0.25">
      <c r="A7" t="s">
        <v>10</v>
      </c>
      <c r="B7">
        <v>2025</v>
      </c>
      <c r="C7">
        <v>294.6095928833073</v>
      </c>
    </row>
    <row r="8" spans="1:3" x14ac:dyDescent="0.25">
      <c r="A8" t="s">
        <v>3347</v>
      </c>
      <c r="B8">
        <v>2022</v>
      </c>
      <c r="C8">
        <v>238.2393886904762</v>
      </c>
    </row>
    <row r="9" spans="1:3" x14ac:dyDescent="0.25">
      <c r="A9" t="s">
        <v>3347</v>
      </c>
      <c r="B9">
        <v>2023</v>
      </c>
      <c r="C9">
        <v>341.5843116969009</v>
      </c>
    </row>
    <row r="10" spans="1:3" x14ac:dyDescent="0.25">
      <c r="A10" t="s">
        <v>3347</v>
      </c>
      <c r="B10">
        <v>2024</v>
      </c>
      <c r="C10">
        <v>322.35644275210097</v>
      </c>
    </row>
    <row r="11" spans="1:3" x14ac:dyDescent="0.25">
      <c r="A11" t="s">
        <v>3347</v>
      </c>
      <c r="B11">
        <v>2025</v>
      </c>
      <c r="C11">
        <v>340.8683382073844</v>
      </c>
    </row>
    <row r="12" spans="1:3" x14ac:dyDescent="0.25">
      <c r="A12" t="s">
        <v>14</v>
      </c>
      <c r="B12">
        <v>2022</v>
      </c>
      <c r="C12">
        <v>166.04460014005605</v>
      </c>
    </row>
    <row r="13" spans="1:3" x14ac:dyDescent="0.25">
      <c r="A13" t="s">
        <v>14</v>
      </c>
      <c r="B13">
        <v>2023</v>
      </c>
      <c r="C13">
        <v>342.33742324892933</v>
      </c>
    </row>
    <row r="14" spans="1:3" x14ac:dyDescent="0.25">
      <c r="A14" t="s">
        <v>14</v>
      </c>
      <c r="B14">
        <v>2024</v>
      </c>
      <c r="C14">
        <v>257.42786078345711</v>
      </c>
    </row>
    <row r="15" spans="1:3" x14ac:dyDescent="0.25">
      <c r="A15" t="s">
        <v>14</v>
      </c>
      <c r="B15">
        <v>2025</v>
      </c>
      <c r="C15">
        <v>335.83906194444461</v>
      </c>
    </row>
    <row r="16" spans="1:3" x14ac:dyDescent="0.25">
      <c r="A16" t="s">
        <v>21</v>
      </c>
      <c r="B16">
        <v>2022</v>
      </c>
      <c r="C16">
        <v>335.31882896825402</v>
      </c>
    </row>
    <row r="17" spans="1:3" x14ac:dyDescent="0.25">
      <c r="A17" t="s">
        <v>21</v>
      </c>
      <c r="B17">
        <v>2023</v>
      </c>
      <c r="C17">
        <v>239.00573049289883</v>
      </c>
    </row>
    <row r="18" spans="1:3" x14ac:dyDescent="0.25">
      <c r="A18" t="s">
        <v>21</v>
      </c>
      <c r="B18">
        <v>2024</v>
      </c>
      <c r="C18">
        <v>311.25626349948078</v>
      </c>
    </row>
    <row r="19" spans="1:3" x14ac:dyDescent="0.25">
      <c r="A19" t="s">
        <v>21</v>
      </c>
      <c r="B19">
        <v>2025</v>
      </c>
      <c r="C19">
        <v>280.43768773523135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68360-7DB0-43FE-A5E9-ACD9B41A349B}">
  <dimension ref="A3:E298"/>
  <sheetViews>
    <sheetView workbookViewId="0">
      <selection activeCell="E10" sqref="E10"/>
    </sheetView>
  </sheetViews>
  <sheetFormatPr defaultRowHeight="13.8" x14ac:dyDescent="0.25"/>
  <cols>
    <col min="1" max="1" width="20.09765625" bestFit="1" customWidth="1"/>
    <col min="2" max="2" width="20.69921875" bestFit="1" customWidth="1"/>
    <col min="4" max="4" width="6.796875" bestFit="1" customWidth="1"/>
    <col min="5" max="5" width="20.69921875" bestFit="1" customWidth="1"/>
  </cols>
  <sheetData>
    <row r="3" spans="1:5" x14ac:dyDescent="0.25">
      <c r="A3" s="1" t="s">
        <v>3</v>
      </c>
      <c r="B3" s="1" t="s">
        <v>4</v>
      </c>
      <c r="C3" s="1" t="s">
        <v>7</v>
      </c>
      <c r="D3" s="1" t="s">
        <v>3349</v>
      </c>
      <c r="E3" t="s">
        <v>3351</v>
      </c>
    </row>
    <row r="4" spans="1:5" x14ac:dyDescent="0.25">
      <c r="A4" t="s">
        <v>10</v>
      </c>
      <c r="B4" t="s">
        <v>11</v>
      </c>
      <c r="C4" t="s">
        <v>15</v>
      </c>
      <c r="D4">
        <v>2023</v>
      </c>
      <c r="E4">
        <v>494.42162301587297</v>
      </c>
    </row>
    <row r="5" spans="1:5" x14ac:dyDescent="0.25">
      <c r="A5" t="s">
        <v>10</v>
      </c>
      <c r="B5" t="s">
        <v>11</v>
      </c>
      <c r="C5" t="s">
        <v>15</v>
      </c>
      <c r="D5">
        <v>2024</v>
      </c>
      <c r="E5">
        <v>434.30733333333336</v>
      </c>
    </row>
    <row r="6" spans="1:5" x14ac:dyDescent="0.25">
      <c r="A6" t="s">
        <v>10</v>
      </c>
      <c r="B6" t="s">
        <v>11</v>
      </c>
      <c r="C6" t="s">
        <v>15</v>
      </c>
      <c r="D6">
        <v>2025</v>
      </c>
      <c r="E6">
        <v>220.47333333333333</v>
      </c>
    </row>
    <row r="7" spans="1:5" x14ac:dyDescent="0.25">
      <c r="A7" t="s">
        <v>10</v>
      </c>
      <c r="B7" t="s">
        <v>11</v>
      </c>
      <c r="C7" t="s">
        <v>35</v>
      </c>
      <c r="D7">
        <v>2022</v>
      </c>
      <c r="E7">
        <v>77.661000000000001</v>
      </c>
    </row>
    <row r="8" spans="1:5" x14ac:dyDescent="0.25">
      <c r="A8" t="s">
        <v>10</v>
      </c>
      <c r="B8" t="s">
        <v>11</v>
      </c>
      <c r="C8" t="s">
        <v>35</v>
      </c>
      <c r="D8">
        <v>2023</v>
      </c>
      <c r="E8">
        <v>582.61855555555553</v>
      </c>
    </row>
    <row r="9" spans="1:5" x14ac:dyDescent="0.25">
      <c r="A9" t="s">
        <v>10</v>
      </c>
      <c r="B9" t="s">
        <v>11</v>
      </c>
      <c r="C9" t="s">
        <v>35</v>
      </c>
      <c r="D9">
        <v>2024</v>
      </c>
      <c r="E9">
        <v>243.52333333333334</v>
      </c>
    </row>
    <row r="10" spans="1:5" x14ac:dyDescent="0.25">
      <c r="A10" t="s">
        <v>10</v>
      </c>
      <c r="B10" t="s">
        <v>11</v>
      </c>
      <c r="C10" t="s">
        <v>35</v>
      </c>
      <c r="D10">
        <v>2025</v>
      </c>
      <c r="E10">
        <v>130.12775238095239</v>
      </c>
    </row>
    <row r="11" spans="1:5" x14ac:dyDescent="0.25">
      <c r="A11" t="s">
        <v>10</v>
      </c>
      <c r="B11" t="s">
        <v>11</v>
      </c>
      <c r="C11" t="s">
        <v>18</v>
      </c>
      <c r="D11">
        <v>2022</v>
      </c>
      <c r="E11">
        <v>148.25125</v>
      </c>
    </row>
    <row r="12" spans="1:5" x14ac:dyDescent="0.25">
      <c r="A12" t="s">
        <v>10</v>
      </c>
      <c r="B12" t="s">
        <v>11</v>
      </c>
      <c r="C12" t="s">
        <v>18</v>
      </c>
      <c r="D12">
        <v>2023</v>
      </c>
      <c r="E12">
        <v>403.07899999999995</v>
      </c>
    </row>
    <row r="13" spans="1:5" x14ac:dyDescent="0.25">
      <c r="A13" t="s">
        <v>10</v>
      </c>
      <c r="B13" t="s">
        <v>11</v>
      </c>
      <c r="C13" t="s">
        <v>18</v>
      </c>
      <c r="D13">
        <v>2024</v>
      </c>
      <c r="E13">
        <v>134.80838095238096</v>
      </c>
    </row>
    <row r="14" spans="1:5" x14ac:dyDescent="0.25">
      <c r="A14" t="s">
        <v>10</v>
      </c>
      <c r="B14" t="s">
        <v>11</v>
      </c>
      <c r="C14" t="s">
        <v>18</v>
      </c>
      <c r="D14">
        <v>2025</v>
      </c>
      <c r="E14">
        <v>115.62282208994709</v>
      </c>
    </row>
    <row r="15" spans="1:5" x14ac:dyDescent="0.25">
      <c r="A15" t="s">
        <v>10</v>
      </c>
      <c r="B15" t="s">
        <v>11</v>
      </c>
      <c r="C15" t="s">
        <v>3348</v>
      </c>
      <c r="D15">
        <v>2022</v>
      </c>
      <c r="E15">
        <v>702.83555555555552</v>
      </c>
    </row>
    <row r="16" spans="1:5" x14ac:dyDescent="0.25">
      <c r="A16" t="s">
        <v>10</v>
      </c>
      <c r="B16" t="s">
        <v>11</v>
      </c>
      <c r="C16" t="s">
        <v>3348</v>
      </c>
      <c r="D16">
        <v>2023</v>
      </c>
      <c r="E16">
        <v>383.74898148148145</v>
      </c>
    </row>
    <row r="17" spans="1:5" x14ac:dyDescent="0.25">
      <c r="A17" t="s">
        <v>10</v>
      </c>
      <c r="B17" t="s">
        <v>11</v>
      </c>
      <c r="C17" t="s">
        <v>3348</v>
      </c>
      <c r="D17">
        <v>2024</v>
      </c>
    </row>
    <row r="18" spans="1:5" x14ac:dyDescent="0.25">
      <c r="A18" t="s">
        <v>10</v>
      </c>
      <c r="B18" t="s">
        <v>11</v>
      </c>
      <c r="C18" t="s">
        <v>3348</v>
      </c>
      <c r="D18">
        <v>2025</v>
      </c>
      <c r="E18">
        <v>159.98055555555553</v>
      </c>
    </row>
    <row r="19" spans="1:5" x14ac:dyDescent="0.25">
      <c r="A19" t="s">
        <v>10</v>
      </c>
      <c r="B19" t="s">
        <v>11</v>
      </c>
      <c r="C19" t="s">
        <v>3346</v>
      </c>
      <c r="D19">
        <v>2023</v>
      </c>
      <c r="E19">
        <v>212.09725297619048</v>
      </c>
    </row>
    <row r="20" spans="1:5" x14ac:dyDescent="0.25">
      <c r="A20" t="s">
        <v>10</v>
      </c>
      <c r="B20" t="s">
        <v>11</v>
      </c>
      <c r="C20" t="s">
        <v>3346</v>
      </c>
      <c r="D20">
        <v>2024</v>
      </c>
      <c r="E20">
        <v>239.36772222222223</v>
      </c>
    </row>
    <row r="21" spans="1:5" x14ac:dyDescent="0.25">
      <c r="A21" t="s">
        <v>10</v>
      </c>
      <c r="B21" t="s">
        <v>11</v>
      </c>
      <c r="C21" t="s">
        <v>3346</v>
      </c>
      <c r="D21">
        <v>2025</v>
      </c>
      <c r="E21">
        <v>850.51733333333334</v>
      </c>
    </row>
    <row r="22" spans="1:5" x14ac:dyDescent="0.25">
      <c r="A22" t="s">
        <v>10</v>
      </c>
      <c r="B22" t="s">
        <v>22</v>
      </c>
      <c r="C22" t="s">
        <v>15</v>
      </c>
      <c r="D22">
        <v>2023</v>
      </c>
      <c r="E22">
        <v>276.44413333333335</v>
      </c>
    </row>
    <row r="23" spans="1:5" x14ac:dyDescent="0.25">
      <c r="A23" t="s">
        <v>10</v>
      </c>
      <c r="B23" t="s">
        <v>22</v>
      </c>
      <c r="C23" t="s">
        <v>15</v>
      </c>
      <c r="D23">
        <v>2024</v>
      </c>
      <c r="E23">
        <v>339.38333333333338</v>
      </c>
    </row>
    <row r="24" spans="1:5" x14ac:dyDescent="0.25">
      <c r="A24" t="s">
        <v>10</v>
      </c>
      <c r="B24" t="s">
        <v>22</v>
      </c>
      <c r="C24" t="s">
        <v>15</v>
      </c>
      <c r="D24">
        <v>2025</v>
      </c>
      <c r="E24">
        <v>122.94596296296295</v>
      </c>
    </row>
    <row r="25" spans="1:5" x14ac:dyDescent="0.25">
      <c r="A25" t="s">
        <v>10</v>
      </c>
      <c r="B25" t="s">
        <v>22</v>
      </c>
      <c r="C25" t="s">
        <v>35</v>
      </c>
      <c r="D25">
        <v>2023</v>
      </c>
      <c r="E25">
        <v>169.06006944444442</v>
      </c>
    </row>
    <row r="26" spans="1:5" x14ac:dyDescent="0.25">
      <c r="A26" t="s">
        <v>10</v>
      </c>
      <c r="B26" t="s">
        <v>22</v>
      </c>
      <c r="C26" t="s">
        <v>35</v>
      </c>
      <c r="D26">
        <v>2024</v>
      </c>
      <c r="E26">
        <v>166.17365873015873</v>
      </c>
    </row>
    <row r="27" spans="1:5" x14ac:dyDescent="0.25">
      <c r="A27" t="s">
        <v>10</v>
      </c>
      <c r="B27" t="s">
        <v>22</v>
      </c>
      <c r="C27" t="s">
        <v>35</v>
      </c>
      <c r="D27">
        <v>2025</v>
      </c>
      <c r="E27">
        <v>179.81813095238098</v>
      </c>
    </row>
    <row r="28" spans="1:5" x14ac:dyDescent="0.25">
      <c r="A28" t="s">
        <v>10</v>
      </c>
      <c r="B28" t="s">
        <v>22</v>
      </c>
      <c r="C28" t="s">
        <v>18</v>
      </c>
      <c r="D28">
        <v>2022</v>
      </c>
      <c r="E28">
        <v>210.28888888888889</v>
      </c>
    </row>
    <row r="29" spans="1:5" x14ac:dyDescent="0.25">
      <c r="A29" t="s">
        <v>10</v>
      </c>
      <c r="B29" t="s">
        <v>22</v>
      </c>
      <c r="C29" t="s">
        <v>18</v>
      </c>
      <c r="D29">
        <v>2023</v>
      </c>
      <c r="E29">
        <v>403.7757857142858</v>
      </c>
    </row>
    <row r="30" spans="1:5" x14ac:dyDescent="0.25">
      <c r="A30" t="s">
        <v>10</v>
      </c>
      <c r="B30" t="s">
        <v>22</v>
      </c>
      <c r="C30" t="s">
        <v>18</v>
      </c>
      <c r="D30">
        <v>2024</v>
      </c>
      <c r="E30">
        <v>145.22515000000001</v>
      </c>
    </row>
    <row r="31" spans="1:5" x14ac:dyDescent="0.25">
      <c r="A31" t="s">
        <v>10</v>
      </c>
      <c r="B31" t="s">
        <v>22</v>
      </c>
      <c r="C31" t="s">
        <v>18</v>
      </c>
      <c r="D31">
        <v>2025</v>
      </c>
      <c r="E31">
        <v>239.70467976190474</v>
      </c>
    </row>
    <row r="32" spans="1:5" x14ac:dyDescent="0.25">
      <c r="A32" t="s">
        <v>10</v>
      </c>
      <c r="B32" t="s">
        <v>22</v>
      </c>
      <c r="C32" t="s">
        <v>3348</v>
      </c>
      <c r="D32">
        <v>2022</v>
      </c>
      <c r="E32">
        <v>332.32499999999999</v>
      </c>
    </row>
    <row r="33" spans="1:5" x14ac:dyDescent="0.25">
      <c r="A33" t="s">
        <v>10</v>
      </c>
      <c r="B33" t="s">
        <v>22</v>
      </c>
      <c r="C33" t="s">
        <v>3348</v>
      </c>
      <c r="D33">
        <v>2023</v>
      </c>
      <c r="E33">
        <v>572.48821212121209</v>
      </c>
    </row>
    <row r="34" spans="1:5" x14ac:dyDescent="0.25">
      <c r="A34" t="s">
        <v>10</v>
      </c>
      <c r="B34" t="s">
        <v>22</v>
      </c>
      <c r="C34" t="s">
        <v>3348</v>
      </c>
      <c r="D34">
        <v>2024</v>
      </c>
      <c r="E34">
        <v>299.63095238095235</v>
      </c>
    </row>
    <row r="35" spans="1:5" x14ac:dyDescent="0.25">
      <c r="A35" t="s">
        <v>10</v>
      </c>
      <c r="B35" t="s">
        <v>22</v>
      </c>
      <c r="C35" t="s">
        <v>3348</v>
      </c>
      <c r="D35">
        <v>2025</v>
      </c>
      <c r="E35">
        <v>725.75985185185198</v>
      </c>
    </row>
    <row r="36" spans="1:5" x14ac:dyDescent="0.25">
      <c r="A36" t="s">
        <v>10</v>
      </c>
      <c r="B36" t="s">
        <v>22</v>
      </c>
      <c r="C36" t="s">
        <v>3346</v>
      </c>
      <c r="D36">
        <v>2022</v>
      </c>
    </row>
    <row r="37" spans="1:5" x14ac:dyDescent="0.25">
      <c r="A37" t="s">
        <v>10</v>
      </c>
      <c r="B37" t="s">
        <v>22</v>
      </c>
      <c r="C37" t="s">
        <v>3346</v>
      </c>
      <c r="D37">
        <v>2023</v>
      </c>
      <c r="E37">
        <v>314.99230952380952</v>
      </c>
    </row>
    <row r="38" spans="1:5" x14ac:dyDescent="0.25">
      <c r="A38" t="s">
        <v>10</v>
      </c>
      <c r="B38" t="s">
        <v>22</v>
      </c>
      <c r="C38" t="s">
        <v>3346</v>
      </c>
      <c r="D38">
        <v>2024</v>
      </c>
      <c r="E38">
        <v>101.49053333333333</v>
      </c>
    </row>
    <row r="39" spans="1:5" x14ac:dyDescent="0.25">
      <c r="A39" t="s">
        <v>10</v>
      </c>
      <c r="B39" t="s">
        <v>22</v>
      </c>
      <c r="C39" t="s">
        <v>3346</v>
      </c>
      <c r="D39">
        <v>2025</v>
      </c>
      <c r="E39">
        <v>107.30116666666667</v>
      </c>
    </row>
    <row r="40" spans="1:5" x14ac:dyDescent="0.25">
      <c r="A40" t="s">
        <v>10</v>
      </c>
      <c r="B40" t="s">
        <v>25</v>
      </c>
      <c r="C40" t="s">
        <v>15</v>
      </c>
      <c r="D40">
        <v>2023</v>
      </c>
      <c r="E40">
        <v>384.49873148148146</v>
      </c>
    </row>
    <row r="41" spans="1:5" x14ac:dyDescent="0.25">
      <c r="A41" t="s">
        <v>10</v>
      </c>
      <c r="B41" t="s">
        <v>25</v>
      </c>
      <c r="C41" t="s">
        <v>15</v>
      </c>
      <c r="D41">
        <v>2024</v>
      </c>
      <c r="E41">
        <v>178.9050277777778</v>
      </c>
    </row>
    <row r="42" spans="1:5" x14ac:dyDescent="0.25">
      <c r="A42" t="s">
        <v>10</v>
      </c>
      <c r="B42" t="s">
        <v>25</v>
      </c>
      <c r="C42" t="s">
        <v>15</v>
      </c>
      <c r="D42">
        <v>2025</v>
      </c>
      <c r="E42">
        <v>156.92545138888892</v>
      </c>
    </row>
    <row r="43" spans="1:5" x14ac:dyDescent="0.25">
      <c r="A43" t="s">
        <v>10</v>
      </c>
      <c r="B43" t="s">
        <v>25</v>
      </c>
      <c r="C43" t="s">
        <v>35</v>
      </c>
      <c r="D43">
        <v>2022</v>
      </c>
    </row>
    <row r="44" spans="1:5" x14ac:dyDescent="0.25">
      <c r="A44" t="s">
        <v>10</v>
      </c>
      <c r="B44" t="s">
        <v>25</v>
      </c>
      <c r="C44" t="s">
        <v>35</v>
      </c>
      <c r="D44">
        <v>2023</v>
      </c>
      <c r="E44">
        <v>150.75611111111112</v>
      </c>
    </row>
    <row r="45" spans="1:5" x14ac:dyDescent="0.25">
      <c r="A45" t="s">
        <v>10</v>
      </c>
      <c r="B45" t="s">
        <v>25</v>
      </c>
      <c r="C45" t="s">
        <v>35</v>
      </c>
      <c r="D45">
        <v>2024</v>
      </c>
      <c r="E45">
        <v>171.98249999999999</v>
      </c>
    </row>
    <row r="46" spans="1:5" x14ac:dyDescent="0.25">
      <c r="A46" t="s">
        <v>10</v>
      </c>
      <c r="B46" t="s">
        <v>25</v>
      </c>
      <c r="C46" t="s">
        <v>35</v>
      </c>
      <c r="D46">
        <v>2025</v>
      </c>
      <c r="E46">
        <v>978.20277777777778</v>
      </c>
    </row>
    <row r="47" spans="1:5" x14ac:dyDescent="0.25">
      <c r="A47" t="s">
        <v>10</v>
      </c>
      <c r="B47" t="s">
        <v>25</v>
      </c>
      <c r="C47" t="s">
        <v>18</v>
      </c>
      <c r="D47">
        <v>2023</v>
      </c>
      <c r="E47">
        <v>178.39476190476191</v>
      </c>
    </row>
    <row r="48" spans="1:5" x14ac:dyDescent="0.25">
      <c r="A48" t="s">
        <v>10</v>
      </c>
      <c r="B48" t="s">
        <v>25</v>
      </c>
      <c r="C48" t="s">
        <v>18</v>
      </c>
      <c r="D48">
        <v>2024</v>
      </c>
      <c r="E48">
        <v>257.96274999999997</v>
      </c>
    </row>
    <row r="49" spans="1:5" x14ac:dyDescent="0.25">
      <c r="A49" t="s">
        <v>10</v>
      </c>
      <c r="B49" t="s">
        <v>25</v>
      </c>
      <c r="C49" t="s">
        <v>18</v>
      </c>
      <c r="D49">
        <v>2025</v>
      </c>
      <c r="E49">
        <v>146.0000634920635</v>
      </c>
    </row>
    <row r="50" spans="1:5" x14ac:dyDescent="0.25">
      <c r="A50" t="s">
        <v>10</v>
      </c>
      <c r="B50" t="s">
        <v>25</v>
      </c>
      <c r="C50" t="s">
        <v>3348</v>
      </c>
      <c r="D50">
        <v>2022</v>
      </c>
      <c r="E50">
        <v>37.859611111111114</v>
      </c>
    </row>
    <row r="51" spans="1:5" x14ac:dyDescent="0.25">
      <c r="A51" t="s">
        <v>10</v>
      </c>
      <c r="B51" t="s">
        <v>25</v>
      </c>
      <c r="C51" t="s">
        <v>3348</v>
      </c>
      <c r="D51">
        <v>2023</v>
      </c>
      <c r="E51">
        <v>334.60292857142855</v>
      </c>
    </row>
    <row r="52" spans="1:5" x14ac:dyDescent="0.25">
      <c r="A52" t="s">
        <v>10</v>
      </c>
      <c r="B52" t="s">
        <v>25</v>
      </c>
      <c r="C52" t="s">
        <v>3348</v>
      </c>
      <c r="D52">
        <v>2024</v>
      </c>
      <c r="E52">
        <v>329.54250000000002</v>
      </c>
    </row>
    <row r="53" spans="1:5" x14ac:dyDescent="0.25">
      <c r="A53" t="s">
        <v>10</v>
      </c>
      <c r="B53" t="s">
        <v>25</v>
      </c>
      <c r="C53" t="s">
        <v>3348</v>
      </c>
      <c r="D53">
        <v>2025</v>
      </c>
      <c r="E53">
        <v>470.72134126984128</v>
      </c>
    </row>
    <row r="54" spans="1:5" x14ac:dyDescent="0.25">
      <c r="A54" t="s">
        <v>10</v>
      </c>
      <c r="B54" t="s">
        <v>25</v>
      </c>
      <c r="C54" t="s">
        <v>3346</v>
      </c>
      <c r="D54">
        <v>2022</v>
      </c>
      <c r="E54">
        <v>109.03300000000002</v>
      </c>
    </row>
    <row r="55" spans="1:5" x14ac:dyDescent="0.25">
      <c r="A55" t="s">
        <v>10</v>
      </c>
      <c r="B55" t="s">
        <v>25</v>
      </c>
      <c r="C55" t="s">
        <v>3346</v>
      </c>
      <c r="D55">
        <v>2023</v>
      </c>
      <c r="E55">
        <v>131.3463630952381</v>
      </c>
    </row>
    <row r="56" spans="1:5" x14ac:dyDescent="0.25">
      <c r="A56" t="s">
        <v>10</v>
      </c>
      <c r="B56" t="s">
        <v>25</v>
      </c>
      <c r="C56" t="s">
        <v>3346</v>
      </c>
      <c r="D56">
        <v>2024</v>
      </c>
      <c r="E56">
        <v>273.4640277777778</v>
      </c>
    </row>
    <row r="57" spans="1:5" x14ac:dyDescent="0.25">
      <c r="A57" t="s">
        <v>10</v>
      </c>
      <c r="B57" t="s">
        <v>25</v>
      </c>
      <c r="C57" t="s">
        <v>3346</v>
      </c>
      <c r="D57">
        <v>2025</v>
      </c>
      <c r="E57">
        <v>167.92333333333332</v>
      </c>
    </row>
    <row r="58" spans="1:5" x14ac:dyDescent="0.25">
      <c r="A58" t="s">
        <v>10</v>
      </c>
      <c r="B58" t="s">
        <v>34</v>
      </c>
      <c r="C58" t="s">
        <v>15</v>
      </c>
      <c r="D58">
        <v>2022</v>
      </c>
      <c r="E58">
        <v>482.17611111111114</v>
      </c>
    </row>
    <row r="59" spans="1:5" x14ac:dyDescent="0.25">
      <c r="A59" t="s">
        <v>10</v>
      </c>
      <c r="B59" t="s">
        <v>34</v>
      </c>
      <c r="C59" t="s">
        <v>15</v>
      </c>
      <c r="D59">
        <v>2023</v>
      </c>
      <c r="E59">
        <v>162.767875</v>
      </c>
    </row>
    <row r="60" spans="1:5" x14ac:dyDescent="0.25">
      <c r="A60" t="s">
        <v>10</v>
      </c>
      <c r="B60" t="s">
        <v>34</v>
      </c>
      <c r="C60" t="s">
        <v>15</v>
      </c>
      <c r="D60">
        <v>2024</v>
      </c>
      <c r="E60">
        <v>357.88896944444446</v>
      </c>
    </row>
    <row r="61" spans="1:5" x14ac:dyDescent="0.25">
      <c r="A61" t="s">
        <v>10</v>
      </c>
      <c r="B61" t="s">
        <v>34</v>
      </c>
      <c r="C61" t="s">
        <v>15</v>
      </c>
      <c r="D61">
        <v>2025</v>
      </c>
      <c r="E61">
        <v>30.049999999999997</v>
      </c>
    </row>
    <row r="62" spans="1:5" x14ac:dyDescent="0.25">
      <c r="A62" t="s">
        <v>10</v>
      </c>
      <c r="B62" t="s">
        <v>34</v>
      </c>
      <c r="C62" t="s">
        <v>35</v>
      </c>
      <c r="D62">
        <v>2022</v>
      </c>
      <c r="E62">
        <v>570.19666666666672</v>
      </c>
    </row>
    <row r="63" spans="1:5" x14ac:dyDescent="0.25">
      <c r="A63" t="s">
        <v>10</v>
      </c>
      <c r="B63" t="s">
        <v>34</v>
      </c>
      <c r="C63" t="s">
        <v>35</v>
      </c>
      <c r="D63">
        <v>2023</v>
      </c>
      <c r="E63">
        <v>186.36954894179891</v>
      </c>
    </row>
    <row r="64" spans="1:5" x14ac:dyDescent="0.25">
      <c r="A64" t="s">
        <v>10</v>
      </c>
      <c r="B64" t="s">
        <v>34</v>
      </c>
      <c r="C64" t="s">
        <v>35</v>
      </c>
      <c r="D64">
        <v>2024</v>
      </c>
      <c r="E64">
        <v>323.45306547619055</v>
      </c>
    </row>
    <row r="65" spans="1:5" x14ac:dyDescent="0.25">
      <c r="A65" t="s">
        <v>10</v>
      </c>
      <c r="B65" t="s">
        <v>34</v>
      </c>
      <c r="C65" t="s">
        <v>35</v>
      </c>
      <c r="D65">
        <v>2025</v>
      </c>
      <c r="E65">
        <v>339.2358055555556</v>
      </c>
    </row>
    <row r="66" spans="1:5" x14ac:dyDescent="0.25">
      <c r="A66" t="s">
        <v>10</v>
      </c>
      <c r="B66" t="s">
        <v>34</v>
      </c>
      <c r="C66" t="s">
        <v>18</v>
      </c>
      <c r="D66">
        <v>2022</v>
      </c>
      <c r="E66">
        <v>231.60624999999999</v>
      </c>
    </row>
    <row r="67" spans="1:5" x14ac:dyDescent="0.25">
      <c r="A67" t="s">
        <v>10</v>
      </c>
      <c r="B67" t="s">
        <v>34</v>
      </c>
      <c r="C67" t="s">
        <v>18</v>
      </c>
      <c r="D67">
        <v>2023</v>
      </c>
      <c r="E67">
        <v>281.80251455026456</v>
      </c>
    </row>
    <row r="68" spans="1:5" x14ac:dyDescent="0.25">
      <c r="A68" t="s">
        <v>10</v>
      </c>
      <c r="B68" t="s">
        <v>34</v>
      </c>
      <c r="C68" t="s">
        <v>18</v>
      </c>
      <c r="D68">
        <v>2024</v>
      </c>
      <c r="E68">
        <v>444.02878124999995</v>
      </c>
    </row>
    <row r="69" spans="1:5" x14ac:dyDescent="0.25">
      <c r="A69" t="s">
        <v>10</v>
      </c>
      <c r="B69" t="s">
        <v>34</v>
      </c>
      <c r="C69" t="s">
        <v>18</v>
      </c>
      <c r="D69">
        <v>2025</v>
      </c>
      <c r="E69">
        <v>227.59460317460318</v>
      </c>
    </row>
    <row r="70" spans="1:5" x14ac:dyDescent="0.25">
      <c r="A70" t="s">
        <v>10</v>
      </c>
      <c r="B70" t="s">
        <v>34</v>
      </c>
      <c r="C70" t="s">
        <v>3348</v>
      </c>
      <c r="D70">
        <v>2022</v>
      </c>
      <c r="E70">
        <v>35.783999999999999</v>
      </c>
    </row>
    <row r="71" spans="1:5" x14ac:dyDescent="0.25">
      <c r="A71" t="s">
        <v>10</v>
      </c>
      <c r="B71" t="s">
        <v>34</v>
      </c>
      <c r="C71" t="s">
        <v>3348</v>
      </c>
      <c r="D71">
        <v>2023</v>
      </c>
      <c r="E71">
        <v>371.47104166666668</v>
      </c>
    </row>
    <row r="72" spans="1:5" x14ac:dyDescent="0.25">
      <c r="A72" t="s">
        <v>10</v>
      </c>
      <c r="B72" t="s">
        <v>34</v>
      </c>
      <c r="C72" t="s">
        <v>3348</v>
      </c>
      <c r="D72">
        <v>2024</v>
      </c>
      <c r="E72">
        <v>359.35166666666669</v>
      </c>
    </row>
    <row r="73" spans="1:5" x14ac:dyDescent="0.25">
      <c r="A73" t="s">
        <v>10</v>
      </c>
      <c r="B73" t="s">
        <v>34</v>
      </c>
      <c r="C73" t="s">
        <v>3348</v>
      </c>
      <c r="D73">
        <v>2025</v>
      </c>
      <c r="E73">
        <v>411.67579999999998</v>
      </c>
    </row>
    <row r="74" spans="1:5" x14ac:dyDescent="0.25">
      <c r="A74" t="s">
        <v>10</v>
      </c>
      <c r="B74" t="s">
        <v>34</v>
      </c>
      <c r="C74" t="s">
        <v>3346</v>
      </c>
      <c r="D74">
        <v>2022</v>
      </c>
      <c r="E74">
        <v>159.54222222222222</v>
      </c>
    </row>
    <row r="75" spans="1:5" x14ac:dyDescent="0.25">
      <c r="A75" t="s">
        <v>10</v>
      </c>
      <c r="B75" t="s">
        <v>34</v>
      </c>
      <c r="C75" t="s">
        <v>3346</v>
      </c>
      <c r="D75">
        <v>2023</v>
      </c>
      <c r="E75">
        <v>256.60713333333337</v>
      </c>
    </row>
    <row r="76" spans="1:5" x14ac:dyDescent="0.25">
      <c r="A76" t="s">
        <v>10</v>
      </c>
      <c r="B76" t="s">
        <v>34</v>
      </c>
      <c r="C76" t="s">
        <v>3346</v>
      </c>
      <c r="D76">
        <v>2024</v>
      </c>
      <c r="E76">
        <v>262.50656746031746</v>
      </c>
    </row>
    <row r="77" spans="1:5" x14ac:dyDescent="0.25">
      <c r="A77" t="s">
        <v>10</v>
      </c>
      <c r="B77" t="s">
        <v>34</v>
      </c>
      <c r="C77" t="s">
        <v>3346</v>
      </c>
      <c r="D77">
        <v>2025</v>
      </c>
      <c r="E77">
        <v>220.19732539682539</v>
      </c>
    </row>
    <row r="78" spans="1:5" x14ac:dyDescent="0.25">
      <c r="A78" t="s">
        <v>3347</v>
      </c>
      <c r="B78" t="s">
        <v>11</v>
      </c>
      <c r="C78" t="s">
        <v>15</v>
      </c>
      <c r="D78">
        <v>2023</v>
      </c>
      <c r="E78">
        <v>714.08944444444444</v>
      </c>
    </row>
    <row r="79" spans="1:5" x14ac:dyDescent="0.25">
      <c r="A79" t="s">
        <v>3347</v>
      </c>
      <c r="B79" t="s">
        <v>11</v>
      </c>
      <c r="C79" t="s">
        <v>15</v>
      </c>
      <c r="D79">
        <v>2024</v>
      </c>
      <c r="E79">
        <v>152.94691534391535</v>
      </c>
    </row>
    <row r="80" spans="1:5" x14ac:dyDescent="0.25">
      <c r="A80" t="s">
        <v>3347</v>
      </c>
      <c r="B80" t="s">
        <v>11</v>
      </c>
      <c r="C80" t="s">
        <v>15</v>
      </c>
      <c r="D80">
        <v>2025</v>
      </c>
      <c r="E80">
        <v>642.44020833333332</v>
      </c>
    </row>
    <row r="81" spans="1:5" x14ac:dyDescent="0.25">
      <c r="A81" t="s">
        <v>3347</v>
      </c>
      <c r="B81" t="s">
        <v>11</v>
      </c>
      <c r="C81" t="s">
        <v>35</v>
      </c>
      <c r="D81">
        <v>2022</v>
      </c>
      <c r="E81">
        <v>75.796000000000006</v>
      </c>
    </row>
    <row r="82" spans="1:5" x14ac:dyDescent="0.25">
      <c r="A82" t="s">
        <v>3347</v>
      </c>
      <c r="B82" t="s">
        <v>11</v>
      </c>
      <c r="C82" t="s">
        <v>35</v>
      </c>
      <c r="D82">
        <v>2023</v>
      </c>
      <c r="E82">
        <v>99.624590476190477</v>
      </c>
    </row>
    <row r="83" spans="1:5" x14ac:dyDescent="0.25">
      <c r="A83" t="s">
        <v>3347</v>
      </c>
      <c r="B83" t="s">
        <v>11</v>
      </c>
      <c r="C83" t="s">
        <v>35</v>
      </c>
      <c r="D83">
        <v>2024</v>
      </c>
      <c r="E83">
        <v>245.01045833333333</v>
      </c>
    </row>
    <row r="84" spans="1:5" x14ac:dyDescent="0.25">
      <c r="A84" t="s">
        <v>3347</v>
      </c>
      <c r="B84" t="s">
        <v>11</v>
      </c>
      <c r="C84" t="s">
        <v>35</v>
      </c>
      <c r="D84">
        <v>2025</v>
      </c>
      <c r="E84">
        <v>141.52729166666666</v>
      </c>
    </row>
    <row r="85" spans="1:5" x14ac:dyDescent="0.25">
      <c r="A85" t="s">
        <v>3347</v>
      </c>
      <c r="B85" t="s">
        <v>11</v>
      </c>
      <c r="C85" t="s">
        <v>18</v>
      </c>
      <c r="D85">
        <v>2022</v>
      </c>
      <c r="E85">
        <v>262.29571428571427</v>
      </c>
    </row>
    <row r="86" spans="1:5" x14ac:dyDescent="0.25">
      <c r="A86" t="s">
        <v>3347</v>
      </c>
      <c r="B86" t="s">
        <v>11</v>
      </c>
      <c r="C86" t="s">
        <v>18</v>
      </c>
      <c r="D86">
        <v>2023</v>
      </c>
      <c r="E86">
        <v>603.98768253968251</v>
      </c>
    </row>
    <row r="87" spans="1:5" x14ac:dyDescent="0.25">
      <c r="A87" t="s">
        <v>3347</v>
      </c>
      <c r="B87" t="s">
        <v>11</v>
      </c>
      <c r="C87" t="s">
        <v>18</v>
      </c>
      <c r="D87">
        <v>2024</v>
      </c>
      <c r="E87">
        <v>241.08188888888887</v>
      </c>
    </row>
    <row r="88" spans="1:5" x14ac:dyDescent="0.25">
      <c r="A88" t="s">
        <v>3347</v>
      </c>
      <c r="B88" t="s">
        <v>11</v>
      </c>
      <c r="C88" t="s">
        <v>18</v>
      </c>
      <c r="D88">
        <v>2025</v>
      </c>
      <c r="E88">
        <v>366.13541666666663</v>
      </c>
    </row>
    <row r="89" spans="1:5" x14ac:dyDescent="0.25">
      <c r="A89" t="s">
        <v>3347</v>
      </c>
      <c r="B89" t="s">
        <v>11</v>
      </c>
      <c r="C89" t="s">
        <v>3348</v>
      </c>
      <c r="D89">
        <v>2022</v>
      </c>
      <c r="E89">
        <v>122.38</v>
      </c>
    </row>
    <row r="90" spans="1:5" x14ac:dyDescent="0.25">
      <c r="A90" t="s">
        <v>3347</v>
      </c>
      <c r="B90" t="s">
        <v>11</v>
      </c>
      <c r="C90" t="s">
        <v>3348</v>
      </c>
      <c r="D90">
        <v>2023</v>
      </c>
      <c r="E90">
        <v>105.98142857142858</v>
      </c>
    </row>
    <row r="91" spans="1:5" x14ac:dyDescent="0.25">
      <c r="A91" t="s">
        <v>3347</v>
      </c>
      <c r="B91" t="s">
        <v>11</v>
      </c>
      <c r="C91" t="s">
        <v>3348</v>
      </c>
      <c r="D91">
        <v>2024</v>
      </c>
      <c r="E91">
        <v>661.73085317460323</v>
      </c>
    </row>
    <row r="92" spans="1:5" x14ac:dyDescent="0.25">
      <c r="A92" t="s">
        <v>3347</v>
      </c>
      <c r="B92" t="s">
        <v>11</v>
      </c>
      <c r="C92" t="s">
        <v>3348</v>
      </c>
      <c r="D92">
        <v>2025</v>
      </c>
      <c r="E92">
        <v>534.48916666666673</v>
      </c>
    </row>
    <row r="93" spans="1:5" x14ac:dyDescent="0.25">
      <c r="A93" t="s">
        <v>3347</v>
      </c>
      <c r="B93" t="s">
        <v>11</v>
      </c>
      <c r="C93" t="s">
        <v>3346</v>
      </c>
      <c r="D93">
        <v>2022</v>
      </c>
      <c r="E93">
        <v>246.29766666666669</v>
      </c>
    </row>
    <row r="94" spans="1:5" x14ac:dyDescent="0.25">
      <c r="A94" t="s">
        <v>3347</v>
      </c>
      <c r="B94" t="s">
        <v>11</v>
      </c>
      <c r="C94" t="s">
        <v>3346</v>
      </c>
      <c r="D94">
        <v>2023</v>
      </c>
      <c r="E94">
        <v>215.67104166666664</v>
      </c>
    </row>
    <row r="95" spans="1:5" x14ac:dyDescent="0.25">
      <c r="A95" t="s">
        <v>3347</v>
      </c>
      <c r="B95" t="s">
        <v>11</v>
      </c>
      <c r="C95" t="s">
        <v>3346</v>
      </c>
      <c r="D95">
        <v>2024</v>
      </c>
      <c r="E95">
        <v>342.62399999999997</v>
      </c>
    </row>
    <row r="96" spans="1:5" x14ac:dyDescent="0.25">
      <c r="A96" t="s">
        <v>3347</v>
      </c>
      <c r="B96" t="s">
        <v>11</v>
      </c>
      <c r="C96" t="s">
        <v>3346</v>
      </c>
      <c r="D96">
        <v>2025</v>
      </c>
      <c r="E96">
        <v>159.7726851851852</v>
      </c>
    </row>
    <row r="97" spans="1:5" x14ac:dyDescent="0.25">
      <c r="A97" t="s">
        <v>3347</v>
      </c>
      <c r="B97" t="s">
        <v>22</v>
      </c>
      <c r="C97" t="s">
        <v>15</v>
      </c>
      <c r="D97">
        <v>2022</v>
      </c>
      <c r="E97">
        <v>163.82249999999999</v>
      </c>
    </row>
    <row r="98" spans="1:5" x14ac:dyDescent="0.25">
      <c r="A98" t="s">
        <v>3347</v>
      </c>
      <c r="B98" t="s">
        <v>22</v>
      </c>
      <c r="C98" t="s">
        <v>15</v>
      </c>
      <c r="D98">
        <v>2023</v>
      </c>
      <c r="E98">
        <v>235.72909523809525</v>
      </c>
    </row>
    <row r="99" spans="1:5" x14ac:dyDescent="0.25">
      <c r="A99" t="s">
        <v>3347</v>
      </c>
      <c r="B99" t="s">
        <v>22</v>
      </c>
      <c r="C99" t="s">
        <v>15</v>
      </c>
      <c r="D99">
        <v>2024</v>
      </c>
      <c r="E99">
        <v>216.07422839506177</v>
      </c>
    </row>
    <row r="100" spans="1:5" x14ac:dyDescent="0.25">
      <c r="A100" t="s">
        <v>3347</v>
      </c>
      <c r="B100" t="s">
        <v>22</v>
      </c>
      <c r="C100" t="s">
        <v>15</v>
      </c>
      <c r="D100">
        <v>2025</v>
      </c>
      <c r="E100">
        <v>135.2011613756614</v>
      </c>
    </row>
    <row r="101" spans="1:5" x14ac:dyDescent="0.25">
      <c r="A101" t="s">
        <v>3347</v>
      </c>
      <c r="B101" t="s">
        <v>22</v>
      </c>
      <c r="C101" t="s">
        <v>35</v>
      </c>
      <c r="D101">
        <v>2022</v>
      </c>
    </row>
    <row r="102" spans="1:5" x14ac:dyDescent="0.25">
      <c r="A102" t="s">
        <v>3347</v>
      </c>
      <c r="B102" t="s">
        <v>22</v>
      </c>
      <c r="C102" t="s">
        <v>35</v>
      </c>
      <c r="D102">
        <v>2023</v>
      </c>
      <c r="E102">
        <v>350.19674999999995</v>
      </c>
    </row>
    <row r="103" spans="1:5" x14ac:dyDescent="0.25">
      <c r="A103" t="s">
        <v>3347</v>
      </c>
      <c r="B103" t="s">
        <v>22</v>
      </c>
      <c r="C103" t="s">
        <v>35</v>
      </c>
      <c r="D103">
        <v>2024</v>
      </c>
      <c r="E103">
        <v>326.14244444444444</v>
      </c>
    </row>
    <row r="104" spans="1:5" x14ac:dyDescent="0.25">
      <c r="A104" t="s">
        <v>3347</v>
      </c>
      <c r="B104" t="s">
        <v>22</v>
      </c>
      <c r="C104" t="s">
        <v>35</v>
      </c>
      <c r="D104">
        <v>2025</v>
      </c>
      <c r="E104">
        <v>1470.11</v>
      </c>
    </row>
    <row r="105" spans="1:5" x14ac:dyDescent="0.25">
      <c r="A105" t="s">
        <v>3347</v>
      </c>
      <c r="B105" t="s">
        <v>22</v>
      </c>
      <c r="C105" t="s">
        <v>18</v>
      </c>
      <c r="D105">
        <v>2022</v>
      </c>
      <c r="E105">
        <v>295.68833333333333</v>
      </c>
    </row>
    <row r="106" spans="1:5" x14ac:dyDescent="0.25">
      <c r="A106" t="s">
        <v>3347</v>
      </c>
      <c r="B106" t="s">
        <v>22</v>
      </c>
      <c r="C106" t="s">
        <v>18</v>
      </c>
      <c r="D106">
        <v>2023</v>
      </c>
      <c r="E106">
        <v>184.21653108465605</v>
      </c>
    </row>
    <row r="107" spans="1:5" x14ac:dyDescent="0.25">
      <c r="A107" t="s">
        <v>3347</v>
      </c>
      <c r="B107" t="s">
        <v>22</v>
      </c>
      <c r="C107" t="s">
        <v>18</v>
      </c>
      <c r="D107">
        <v>2024</v>
      </c>
      <c r="E107">
        <v>164.27017777777775</v>
      </c>
    </row>
    <row r="108" spans="1:5" x14ac:dyDescent="0.25">
      <c r="A108" t="s">
        <v>3347</v>
      </c>
      <c r="B108" t="s">
        <v>22</v>
      </c>
      <c r="C108" t="s">
        <v>18</v>
      </c>
      <c r="D108">
        <v>2025</v>
      </c>
      <c r="E108">
        <v>386.83979166666671</v>
      </c>
    </row>
    <row r="109" spans="1:5" x14ac:dyDescent="0.25">
      <c r="A109" t="s">
        <v>3347</v>
      </c>
      <c r="B109" t="s">
        <v>22</v>
      </c>
      <c r="C109" t="s">
        <v>3348</v>
      </c>
      <c r="D109">
        <v>2022</v>
      </c>
      <c r="E109">
        <v>812.91499999999996</v>
      </c>
    </row>
    <row r="110" spans="1:5" x14ac:dyDescent="0.25">
      <c r="A110" t="s">
        <v>3347</v>
      </c>
      <c r="B110" t="s">
        <v>22</v>
      </c>
      <c r="C110" t="s">
        <v>3348</v>
      </c>
      <c r="D110">
        <v>2023</v>
      </c>
      <c r="E110">
        <v>577.44316534391533</v>
      </c>
    </row>
    <row r="111" spans="1:5" x14ac:dyDescent="0.25">
      <c r="A111" t="s">
        <v>3347</v>
      </c>
      <c r="B111" t="s">
        <v>22</v>
      </c>
      <c r="C111" t="s">
        <v>3348</v>
      </c>
      <c r="D111">
        <v>2024</v>
      </c>
      <c r="E111">
        <v>295.52261616161621</v>
      </c>
    </row>
    <row r="112" spans="1:5" x14ac:dyDescent="0.25">
      <c r="A112" t="s">
        <v>3347</v>
      </c>
      <c r="B112" t="s">
        <v>22</v>
      </c>
      <c r="C112" t="s">
        <v>3348</v>
      </c>
      <c r="D112">
        <v>2025</v>
      </c>
      <c r="E112">
        <v>340.07715625000003</v>
      </c>
    </row>
    <row r="113" spans="1:5" x14ac:dyDescent="0.25">
      <c r="A113" t="s">
        <v>3347</v>
      </c>
      <c r="B113" t="s">
        <v>22</v>
      </c>
      <c r="C113" t="s">
        <v>3346</v>
      </c>
      <c r="D113">
        <v>2022</v>
      </c>
      <c r="E113">
        <v>325.36</v>
      </c>
    </row>
    <row r="114" spans="1:5" x14ac:dyDescent="0.25">
      <c r="A114" t="s">
        <v>3347</v>
      </c>
      <c r="B114" t="s">
        <v>22</v>
      </c>
      <c r="C114" t="s">
        <v>3346</v>
      </c>
      <c r="D114">
        <v>2023</v>
      </c>
      <c r="E114">
        <v>378.24253439153443</v>
      </c>
    </row>
    <row r="115" spans="1:5" x14ac:dyDescent="0.25">
      <c r="A115" t="s">
        <v>3347</v>
      </c>
      <c r="B115" t="s">
        <v>22</v>
      </c>
      <c r="C115" t="s">
        <v>3346</v>
      </c>
      <c r="D115">
        <v>2024</v>
      </c>
      <c r="E115">
        <v>340.9203843537415</v>
      </c>
    </row>
    <row r="116" spans="1:5" x14ac:dyDescent="0.25">
      <c r="A116" t="s">
        <v>3347</v>
      </c>
      <c r="B116" t="s">
        <v>22</v>
      </c>
      <c r="C116" t="s">
        <v>3346</v>
      </c>
      <c r="D116">
        <v>2025</v>
      </c>
      <c r="E116">
        <v>431.69513945578234</v>
      </c>
    </row>
    <row r="117" spans="1:5" x14ac:dyDescent="0.25">
      <c r="A117" t="s">
        <v>3347</v>
      </c>
      <c r="B117" t="s">
        <v>25</v>
      </c>
      <c r="C117" t="s">
        <v>15</v>
      </c>
      <c r="D117">
        <v>2023</v>
      </c>
      <c r="E117">
        <v>534.07860714285721</v>
      </c>
    </row>
    <row r="118" spans="1:5" x14ac:dyDescent="0.25">
      <c r="A118" t="s">
        <v>3347</v>
      </c>
      <c r="B118" t="s">
        <v>25</v>
      </c>
      <c r="C118" t="s">
        <v>15</v>
      </c>
      <c r="D118">
        <v>2024</v>
      </c>
      <c r="E118">
        <v>231.80197222222222</v>
      </c>
    </row>
    <row r="119" spans="1:5" x14ac:dyDescent="0.25">
      <c r="A119" t="s">
        <v>3347</v>
      </c>
      <c r="B119" t="s">
        <v>25</v>
      </c>
      <c r="C119" t="s">
        <v>15</v>
      </c>
      <c r="D119">
        <v>2025</v>
      </c>
      <c r="E119">
        <v>473.38577551020404</v>
      </c>
    </row>
    <row r="120" spans="1:5" x14ac:dyDescent="0.25">
      <c r="A120" t="s">
        <v>3347</v>
      </c>
      <c r="B120" t="s">
        <v>25</v>
      </c>
      <c r="C120" t="s">
        <v>35</v>
      </c>
      <c r="D120">
        <v>2022</v>
      </c>
      <c r="E120">
        <v>155.52000000000001</v>
      </c>
    </row>
    <row r="121" spans="1:5" x14ac:dyDescent="0.25">
      <c r="A121" t="s">
        <v>3347</v>
      </c>
      <c r="B121" t="s">
        <v>25</v>
      </c>
      <c r="C121" t="s">
        <v>35</v>
      </c>
      <c r="D121">
        <v>2023</v>
      </c>
      <c r="E121">
        <v>440.70571428571429</v>
      </c>
    </row>
    <row r="122" spans="1:5" x14ac:dyDescent="0.25">
      <c r="A122" t="s">
        <v>3347</v>
      </c>
      <c r="B122" t="s">
        <v>25</v>
      </c>
      <c r="C122" t="s">
        <v>35</v>
      </c>
      <c r="D122">
        <v>2024</v>
      </c>
      <c r="E122">
        <v>359.97661904761901</v>
      </c>
    </row>
    <row r="123" spans="1:5" x14ac:dyDescent="0.25">
      <c r="A123" t="s">
        <v>3347</v>
      </c>
      <c r="B123" t="s">
        <v>25</v>
      </c>
      <c r="C123" t="s">
        <v>35</v>
      </c>
      <c r="D123">
        <v>2025</v>
      </c>
      <c r="E123">
        <v>134.77140740740742</v>
      </c>
    </row>
    <row r="124" spans="1:5" x14ac:dyDescent="0.25">
      <c r="A124" t="s">
        <v>3347</v>
      </c>
      <c r="B124" t="s">
        <v>25</v>
      </c>
      <c r="C124" t="s">
        <v>18</v>
      </c>
      <c r="D124">
        <v>2022</v>
      </c>
      <c r="E124">
        <v>89.538749999999993</v>
      </c>
    </row>
    <row r="125" spans="1:5" x14ac:dyDescent="0.25">
      <c r="A125" t="s">
        <v>3347</v>
      </c>
      <c r="B125" t="s">
        <v>25</v>
      </c>
      <c r="C125" t="s">
        <v>18</v>
      </c>
      <c r="D125">
        <v>2023</v>
      </c>
      <c r="E125">
        <v>258.82693849206345</v>
      </c>
    </row>
    <row r="126" spans="1:5" x14ac:dyDescent="0.25">
      <c r="A126" t="s">
        <v>3347</v>
      </c>
      <c r="B126" t="s">
        <v>25</v>
      </c>
      <c r="C126" t="s">
        <v>18</v>
      </c>
      <c r="D126">
        <v>2024</v>
      </c>
      <c r="E126">
        <v>95.316666666666663</v>
      </c>
    </row>
    <row r="127" spans="1:5" x14ac:dyDescent="0.25">
      <c r="A127" t="s">
        <v>3347</v>
      </c>
      <c r="B127" t="s">
        <v>25</v>
      </c>
      <c r="C127" t="s">
        <v>18</v>
      </c>
      <c r="D127">
        <v>2025</v>
      </c>
      <c r="E127">
        <v>179.03353571428573</v>
      </c>
    </row>
    <row r="128" spans="1:5" x14ac:dyDescent="0.25">
      <c r="A128" t="s">
        <v>3347</v>
      </c>
      <c r="B128" t="s">
        <v>25</v>
      </c>
      <c r="C128" t="s">
        <v>3348</v>
      </c>
      <c r="D128">
        <v>2023</v>
      </c>
      <c r="E128">
        <v>249.72749999999999</v>
      </c>
    </row>
    <row r="129" spans="1:5" x14ac:dyDescent="0.25">
      <c r="A129" t="s">
        <v>3347</v>
      </c>
      <c r="B129" t="s">
        <v>25</v>
      </c>
      <c r="C129" t="s">
        <v>3348</v>
      </c>
      <c r="D129">
        <v>2024</v>
      </c>
      <c r="E129">
        <v>340.82305555555558</v>
      </c>
    </row>
    <row r="130" spans="1:5" x14ac:dyDescent="0.25">
      <c r="A130" t="s">
        <v>3347</v>
      </c>
      <c r="B130" t="s">
        <v>25</v>
      </c>
      <c r="C130" t="s">
        <v>3346</v>
      </c>
      <c r="D130">
        <v>2022</v>
      </c>
      <c r="E130">
        <v>197.90799999999999</v>
      </c>
    </row>
    <row r="131" spans="1:5" x14ac:dyDescent="0.25">
      <c r="A131" t="s">
        <v>3347</v>
      </c>
      <c r="B131" t="s">
        <v>25</v>
      </c>
      <c r="C131" t="s">
        <v>3346</v>
      </c>
      <c r="D131">
        <v>2023</v>
      </c>
      <c r="E131">
        <v>336.56122222222223</v>
      </c>
    </row>
    <row r="132" spans="1:5" x14ac:dyDescent="0.25">
      <c r="A132" t="s">
        <v>3347</v>
      </c>
      <c r="B132" t="s">
        <v>25</v>
      </c>
      <c r="C132" t="s">
        <v>3346</v>
      </c>
      <c r="D132">
        <v>2024</v>
      </c>
      <c r="E132">
        <v>172.99932539682541</v>
      </c>
    </row>
    <row r="133" spans="1:5" x14ac:dyDescent="0.25">
      <c r="A133" t="s">
        <v>3347</v>
      </c>
      <c r="B133" t="s">
        <v>25</v>
      </c>
      <c r="C133" t="s">
        <v>3346</v>
      </c>
      <c r="D133">
        <v>2025</v>
      </c>
      <c r="E133">
        <v>607.09312499999999</v>
      </c>
    </row>
    <row r="134" spans="1:5" x14ac:dyDescent="0.25">
      <c r="A134" t="s">
        <v>3347</v>
      </c>
      <c r="B134" t="s">
        <v>34</v>
      </c>
      <c r="C134" t="s">
        <v>15</v>
      </c>
      <c r="D134">
        <v>2023</v>
      </c>
      <c r="E134">
        <v>278.25814153439154</v>
      </c>
    </row>
    <row r="135" spans="1:5" x14ac:dyDescent="0.25">
      <c r="A135" t="s">
        <v>3347</v>
      </c>
      <c r="B135" t="s">
        <v>34</v>
      </c>
      <c r="C135" t="s">
        <v>15</v>
      </c>
      <c r="D135">
        <v>2024</v>
      </c>
      <c r="E135">
        <v>210.79387037037037</v>
      </c>
    </row>
    <row r="136" spans="1:5" x14ac:dyDescent="0.25">
      <c r="A136" t="s">
        <v>3347</v>
      </c>
      <c r="B136" t="s">
        <v>34</v>
      </c>
      <c r="C136" t="s">
        <v>15</v>
      </c>
      <c r="D136">
        <v>2025</v>
      </c>
      <c r="E136">
        <v>213.45268204365081</v>
      </c>
    </row>
    <row r="137" spans="1:5" x14ac:dyDescent="0.25">
      <c r="A137" t="s">
        <v>3347</v>
      </c>
      <c r="B137" t="s">
        <v>34</v>
      </c>
      <c r="C137" t="s">
        <v>35</v>
      </c>
      <c r="D137">
        <v>2022</v>
      </c>
      <c r="E137">
        <v>435.47</v>
      </c>
    </row>
    <row r="138" spans="1:5" x14ac:dyDescent="0.25">
      <c r="A138" t="s">
        <v>3347</v>
      </c>
      <c r="B138" t="s">
        <v>34</v>
      </c>
      <c r="C138" t="s">
        <v>35</v>
      </c>
      <c r="D138">
        <v>2023</v>
      </c>
      <c r="E138">
        <v>164.27409375000002</v>
      </c>
    </row>
    <row r="139" spans="1:5" x14ac:dyDescent="0.25">
      <c r="A139" t="s">
        <v>3347</v>
      </c>
      <c r="B139" t="s">
        <v>34</v>
      </c>
      <c r="C139" t="s">
        <v>35</v>
      </c>
      <c r="D139">
        <v>2024</v>
      </c>
      <c r="E139">
        <v>569.79253571428569</v>
      </c>
    </row>
    <row r="140" spans="1:5" x14ac:dyDescent="0.25">
      <c r="A140" t="s">
        <v>3347</v>
      </c>
      <c r="B140" t="s">
        <v>34</v>
      </c>
      <c r="C140" t="s">
        <v>35</v>
      </c>
      <c r="D140">
        <v>2025</v>
      </c>
      <c r="E140">
        <v>329.55219047619045</v>
      </c>
    </row>
    <row r="141" spans="1:5" x14ac:dyDescent="0.25">
      <c r="A141" t="s">
        <v>3347</v>
      </c>
      <c r="B141" t="s">
        <v>34</v>
      </c>
      <c r="C141" t="s">
        <v>18</v>
      </c>
      <c r="D141">
        <v>2022</v>
      </c>
    </row>
    <row r="142" spans="1:5" x14ac:dyDescent="0.25">
      <c r="A142" t="s">
        <v>3347</v>
      </c>
      <c r="B142" t="s">
        <v>34</v>
      </c>
      <c r="C142" t="s">
        <v>18</v>
      </c>
      <c r="D142">
        <v>2023</v>
      </c>
      <c r="E142">
        <v>214.34435648148147</v>
      </c>
    </row>
    <row r="143" spans="1:5" x14ac:dyDescent="0.25">
      <c r="A143" t="s">
        <v>3347</v>
      </c>
      <c r="B143" t="s">
        <v>34</v>
      </c>
      <c r="C143" t="s">
        <v>18</v>
      </c>
      <c r="D143">
        <v>2024</v>
      </c>
      <c r="E143">
        <v>574.68056547619051</v>
      </c>
    </row>
    <row r="144" spans="1:5" x14ac:dyDescent="0.25">
      <c r="A144" t="s">
        <v>3347</v>
      </c>
      <c r="B144" t="s">
        <v>34</v>
      </c>
      <c r="C144" t="s">
        <v>18</v>
      </c>
      <c r="D144">
        <v>2025</v>
      </c>
      <c r="E144">
        <v>609.77208333333328</v>
      </c>
    </row>
    <row r="145" spans="1:5" x14ac:dyDescent="0.25">
      <c r="A145" t="s">
        <v>3347</v>
      </c>
      <c r="B145" t="s">
        <v>34</v>
      </c>
      <c r="C145" t="s">
        <v>3348</v>
      </c>
      <c r="D145">
        <v>2022</v>
      </c>
      <c r="E145">
        <v>264.20349206349204</v>
      </c>
    </row>
    <row r="146" spans="1:5" x14ac:dyDescent="0.25">
      <c r="A146" t="s">
        <v>3347</v>
      </c>
      <c r="B146" t="s">
        <v>34</v>
      </c>
      <c r="C146" t="s">
        <v>3348</v>
      </c>
      <c r="D146">
        <v>2023</v>
      </c>
      <c r="E146">
        <v>540.57193055555558</v>
      </c>
    </row>
    <row r="147" spans="1:5" x14ac:dyDescent="0.25">
      <c r="A147" t="s">
        <v>3347</v>
      </c>
      <c r="B147" t="s">
        <v>34</v>
      </c>
      <c r="C147" t="s">
        <v>3348</v>
      </c>
      <c r="D147">
        <v>2024</v>
      </c>
      <c r="E147">
        <v>306.79209523809521</v>
      </c>
    </row>
    <row r="148" spans="1:5" x14ac:dyDescent="0.25">
      <c r="A148" t="s">
        <v>3347</v>
      </c>
      <c r="B148" t="s">
        <v>34</v>
      </c>
      <c r="C148" t="s">
        <v>3348</v>
      </c>
      <c r="D148">
        <v>2025</v>
      </c>
      <c r="E148">
        <v>194.67406249999996</v>
      </c>
    </row>
    <row r="149" spans="1:5" x14ac:dyDescent="0.25">
      <c r="A149" t="s">
        <v>3347</v>
      </c>
      <c r="B149" t="s">
        <v>34</v>
      </c>
      <c r="C149" t="s">
        <v>3346</v>
      </c>
      <c r="D149">
        <v>2022</v>
      </c>
      <c r="E149">
        <v>10.387499999999999</v>
      </c>
    </row>
    <row r="150" spans="1:5" x14ac:dyDescent="0.25">
      <c r="A150" t="s">
        <v>3347</v>
      </c>
      <c r="B150" t="s">
        <v>34</v>
      </c>
      <c r="C150" t="s">
        <v>3346</v>
      </c>
      <c r="D150">
        <v>2023</v>
      </c>
      <c r="E150">
        <v>351.6691851851852</v>
      </c>
    </row>
    <row r="151" spans="1:5" x14ac:dyDescent="0.25">
      <c r="A151" t="s">
        <v>3347</v>
      </c>
      <c r="B151" t="s">
        <v>34</v>
      </c>
      <c r="C151" t="s">
        <v>3346</v>
      </c>
      <c r="D151">
        <v>2024</v>
      </c>
      <c r="E151">
        <v>345.64232738095234</v>
      </c>
    </row>
    <row r="152" spans="1:5" x14ac:dyDescent="0.25">
      <c r="A152" t="s">
        <v>3347</v>
      </c>
      <c r="B152" t="s">
        <v>34</v>
      </c>
      <c r="C152" t="s">
        <v>3346</v>
      </c>
      <c r="D152">
        <v>2025</v>
      </c>
      <c r="E152">
        <v>315.58964761904764</v>
      </c>
    </row>
    <row r="153" spans="1:5" x14ac:dyDescent="0.25">
      <c r="A153" t="s">
        <v>14</v>
      </c>
      <c r="B153" t="s">
        <v>11</v>
      </c>
      <c r="C153" t="s">
        <v>15</v>
      </c>
      <c r="D153">
        <v>2023</v>
      </c>
      <c r="E153">
        <v>322.79416666666668</v>
      </c>
    </row>
    <row r="154" spans="1:5" x14ac:dyDescent="0.25">
      <c r="A154" t="s">
        <v>14</v>
      </c>
      <c r="B154" t="s">
        <v>11</v>
      </c>
      <c r="C154" t="s">
        <v>15</v>
      </c>
      <c r="D154">
        <v>2024</v>
      </c>
      <c r="E154">
        <v>295.25261111111109</v>
      </c>
    </row>
    <row r="155" spans="1:5" x14ac:dyDescent="0.25">
      <c r="A155" t="s">
        <v>14</v>
      </c>
      <c r="B155" t="s">
        <v>11</v>
      </c>
      <c r="C155" t="s">
        <v>15</v>
      </c>
      <c r="D155">
        <v>2025</v>
      </c>
      <c r="E155">
        <v>33.692</v>
      </c>
    </row>
    <row r="156" spans="1:5" x14ac:dyDescent="0.25">
      <c r="A156" t="s">
        <v>14</v>
      </c>
      <c r="B156" t="s">
        <v>11</v>
      </c>
      <c r="C156" t="s">
        <v>35</v>
      </c>
      <c r="D156">
        <v>2022</v>
      </c>
      <c r="E156">
        <v>311.68761904761902</v>
      </c>
    </row>
    <row r="157" spans="1:5" x14ac:dyDescent="0.25">
      <c r="A157" t="s">
        <v>14</v>
      </c>
      <c r="B157" t="s">
        <v>11</v>
      </c>
      <c r="C157" t="s">
        <v>35</v>
      </c>
      <c r="D157">
        <v>2023</v>
      </c>
      <c r="E157">
        <v>275.56111111111113</v>
      </c>
    </row>
    <row r="158" spans="1:5" x14ac:dyDescent="0.25">
      <c r="A158" t="s">
        <v>14</v>
      </c>
      <c r="B158" t="s">
        <v>11</v>
      </c>
      <c r="C158" t="s">
        <v>35</v>
      </c>
      <c r="D158">
        <v>2024</v>
      </c>
      <c r="E158">
        <v>333.42691666666667</v>
      </c>
    </row>
    <row r="159" spans="1:5" x14ac:dyDescent="0.25">
      <c r="A159" t="s">
        <v>14</v>
      </c>
      <c r="B159" t="s">
        <v>11</v>
      </c>
      <c r="C159" t="s">
        <v>35</v>
      </c>
      <c r="D159">
        <v>2025</v>
      </c>
      <c r="E159">
        <v>151.27009259259259</v>
      </c>
    </row>
    <row r="160" spans="1:5" x14ac:dyDescent="0.25">
      <c r="A160" t="s">
        <v>14</v>
      </c>
      <c r="B160" t="s">
        <v>11</v>
      </c>
      <c r="C160" t="s">
        <v>18</v>
      </c>
      <c r="D160">
        <v>2023</v>
      </c>
      <c r="E160">
        <v>343.38708333333335</v>
      </c>
    </row>
    <row r="161" spans="1:5" x14ac:dyDescent="0.25">
      <c r="A161" t="s">
        <v>14</v>
      </c>
      <c r="B161" t="s">
        <v>11</v>
      </c>
      <c r="C161" t="s">
        <v>18</v>
      </c>
      <c r="D161">
        <v>2024</v>
      </c>
      <c r="E161">
        <v>60.980825396825395</v>
      </c>
    </row>
    <row r="162" spans="1:5" x14ac:dyDescent="0.25">
      <c r="A162" t="s">
        <v>14</v>
      </c>
      <c r="B162" t="s">
        <v>11</v>
      </c>
      <c r="C162" t="s">
        <v>18</v>
      </c>
      <c r="D162">
        <v>2025</v>
      </c>
      <c r="E162">
        <v>687.06388888888887</v>
      </c>
    </row>
    <row r="163" spans="1:5" x14ac:dyDescent="0.25">
      <c r="A163" t="s">
        <v>14</v>
      </c>
      <c r="B163" t="s">
        <v>11</v>
      </c>
      <c r="C163" t="s">
        <v>3348</v>
      </c>
      <c r="D163">
        <v>2022</v>
      </c>
      <c r="E163">
        <v>61.011249999999997</v>
      </c>
    </row>
    <row r="164" spans="1:5" x14ac:dyDescent="0.25">
      <c r="A164" t="s">
        <v>14</v>
      </c>
      <c r="B164" t="s">
        <v>11</v>
      </c>
      <c r="C164" t="s">
        <v>3348</v>
      </c>
      <c r="D164">
        <v>2023</v>
      </c>
      <c r="E164">
        <v>372.62759722222222</v>
      </c>
    </row>
    <row r="165" spans="1:5" x14ac:dyDescent="0.25">
      <c r="A165" t="s">
        <v>14</v>
      </c>
      <c r="B165" t="s">
        <v>11</v>
      </c>
      <c r="C165" t="s">
        <v>3348</v>
      </c>
      <c r="D165">
        <v>2024</v>
      </c>
      <c r="E165">
        <v>1250.9749999999999</v>
      </c>
    </row>
    <row r="166" spans="1:5" x14ac:dyDescent="0.25">
      <c r="A166" t="s">
        <v>14</v>
      </c>
      <c r="B166" t="s">
        <v>11</v>
      </c>
      <c r="C166" t="s">
        <v>3348</v>
      </c>
      <c r="D166">
        <v>2025</v>
      </c>
      <c r="E166">
        <v>350.35172222222218</v>
      </c>
    </row>
    <row r="167" spans="1:5" x14ac:dyDescent="0.25">
      <c r="A167" t="s">
        <v>14</v>
      </c>
      <c r="B167" t="s">
        <v>11</v>
      </c>
      <c r="C167" t="s">
        <v>3346</v>
      </c>
      <c r="D167">
        <v>2023</v>
      </c>
      <c r="E167">
        <v>313.25808333333327</v>
      </c>
    </row>
    <row r="168" spans="1:5" x14ac:dyDescent="0.25">
      <c r="A168" t="s">
        <v>14</v>
      </c>
      <c r="B168" t="s">
        <v>11</v>
      </c>
      <c r="C168" t="s">
        <v>3346</v>
      </c>
      <c r="D168">
        <v>2024</v>
      </c>
      <c r="E168">
        <v>162.66860267857143</v>
      </c>
    </row>
    <row r="169" spans="1:5" x14ac:dyDescent="0.25">
      <c r="A169" t="s">
        <v>14</v>
      </c>
      <c r="B169" t="s">
        <v>11</v>
      </c>
      <c r="C169" t="s">
        <v>3346</v>
      </c>
      <c r="D169">
        <v>2025</v>
      </c>
      <c r="E169">
        <v>607.39377142857143</v>
      </c>
    </row>
    <row r="170" spans="1:5" x14ac:dyDescent="0.25">
      <c r="A170" t="s">
        <v>14</v>
      </c>
      <c r="B170" t="s">
        <v>22</v>
      </c>
      <c r="C170" t="s">
        <v>15</v>
      </c>
      <c r="D170">
        <v>2022</v>
      </c>
      <c r="E170">
        <v>166.64666666666665</v>
      </c>
    </row>
    <row r="171" spans="1:5" x14ac:dyDescent="0.25">
      <c r="A171" t="s">
        <v>14</v>
      </c>
      <c r="B171" t="s">
        <v>22</v>
      </c>
      <c r="C171" t="s">
        <v>15</v>
      </c>
      <c r="D171">
        <v>2023</v>
      </c>
      <c r="E171">
        <v>193.27346145124719</v>
      </c>
    </row>
    <row r="172" spans="1:5" x14ac:dyDescent="0.25">
      <c r="A172" t="s">
        <v>14</v>
      </c>
      <c r="B172" t="s">
        <v>22</v>
      </c>
      <c r="C172" t="s">
        <v>15</v>
      </c>
      <c r="D172">
        <v>2024</v>
      </c>
      <c r="E172">
        <v>253.10291666666669</v>
      </c>
    </row>
    <row r="173" spans="1:5" x14ac:dyDescent="0.25">
      <c r="A173" t="s">
        <v>14</v>
      </c>
      <c r="B173" t="s">
        <v>22</v>
      </c>
      <c r="C173" t="s">
        <v>15</v>
      </c>
      <c r="D173">
        <v>2025</v>
      </c>
      <c r="E173">
        <v>248.23302083333337</v>
      </c>
    </row>
    <row r="174" spans="1:5" x14ac:dyDescent="0.25">
      <c r="A174" t="s">
        <v>14</v>
      </c>
      <c r="B174" t="s">
        <v>22</v>
      </c>
      <c r="C174" t="s">
        <v>35</v>
      </c>
      <c r="D174">
        <v>2022</v>
      </c>
      <c r="E174">
        <v>230.55833333333334</v>
      </c>
    </row>
    <row r="175" spans="1:5" x14ac:dyDescent="0.25">
      <c r="A175" t="s">
        <v>14</v>
      </c>
      <c r="B175" t="s">
        <v>22</v>
      </c>
      <c r="C175" t="s">
        <v>35</v>
      </c>
      <c r="D175">
        <v>2023</v>
      </c>
      <c r="E175">
        <v>221.71176530612249</v>
      </c>
    </row>
    <row r="176" spans="1:5" x14ac:dyDescent="0.25">
      <c r="A176" t="s">
        <v>14</v>
      </c>
      <c r="B176" t="s">
        <v>22</v>
      </c>
      <c r="C176" t="s">
        <v>35</v>
      </c>
      <c r="D176">
        <v>2024</v>
      </c>
      <c r="E176">
        <v>411.5419</v>
      </c>
    </row>
    <row r="177" spans="1:5" x14ac:dyDescent="0.25">
      <c r="A177" t="s">
        <v>14</v>
      </c>
      <c r="B177" t="s">
        <v>22</v>
      </c>
      <c r="C177" t="s">
        <v>35</v>
      </c>
      <c r="D177">
        <v>2025</v>
      </c>
      <c r="E177">
        <v>197.96322222222221</v>
      </c>
    </row>
    <row r="178" spans="1:5" x14ac:dyDescent="0.25">
      <c r="A178" t="s">
        <v>14</v>
      </c>
      <c r="B178" t="s">
        <v>22</v>
      </c>
      <c r="C178" t="s">
        <v>18</v>
      </c>
      <c r="D178">
        <v>2022</v>
      </c>
    </row>
    <row r="179" spans="1:5" x14ac:dyDescent="0.25">
      <c r="A179" t="s">
        <v>14</v>
      </c>
      <c r="B179" t="s">
        <v>22</v>
      </c>
      <c r="C179" t="s">
        <v>18</v>
      </c>
      <c r="D179">
        <v>2023</v>
      </c>
      <c r="E179">
        <v>230.5160595238095</v>
      </c>
    </row>
    <row r="180" spans="1:5" x14ac:dyDescent="0.25">
      <c r="A180" t="s">
        <v>14</v>
      </c>
      <c r="B180" t="s">
        <v>22</v>
      </c>
      <c r="C180" t="s">
        <v>18</v>
      </c>
      <c r="D180">
        <v>2024</v>
      </c>
      <c r="E180">
        <v>95.473722222222221</v>
      </c>
    </row>
    <row r="181" spans="1:5" x14ac:dyDescent="0.25">
      <c r="A181" t="s">
        <v>14</v>
      </c>
      <c r="B181" t="s">
        <v>22</v>
      </c>
      <c r="C181" t="s">
        <v>18</v>
      </c>
      <c r="D181">
        <v>2025</v>
      </c>
      <c r="E181">
        <v>554.16966825396821</v>
      </c>
    </row>
    <row r="182" spans="1:5" x14ac:dyDescent="0.25">
      <c r="A182" t="s">
        <v>14</v>
      </c>
      <c r="B182" t="s">
        <v>22</v>
      </c>
      <c r="C182" t="s">
        <v>3348</v>
      </c>
      <c r="D182">
        <v>2022</v>
      </c>
      <c r="E182">
        <v>165.26333333333332</v>
      </c>
    </row>
    <row r="183" spans="1:5" x14ac:dyDescent="0.25">
      <c r="A183" t="s">
        <v>14</v>
      </c>
      <c r="B183" t="s">
        <v>22</v>
      </c>
      <c r="C183" t="s">
        <v>3348</v>
      </c>
      <c r="D183">
        <v>2023</v>
      </c>
      <c r="E183">
        <v>330.12573809523803</v>
      </c>
    </row>
    <row r="184" spans="1:5" x14ac:dyDescent="0.25">
      <c r="A184" t="s">
        <v>14</v>
      </c>
      <c r="B184" t="s">
        <v>22</v>
      </c>
      <c r="C184" t="s">
        <v>3348</v>
      </c>
      <c r="D184">
        <v>2024</v>
      </c>
      <c r="E184">
        <v>189.17411111111113</v>
      </c>
    </row>
    <row r="185" spans="1:5" x14ac:dyDescent="0.25">
      <c r="A185" t="s">
        <v>14</v>
      </c>
      <c r="B185" t="s">
        <v>22</v>
      </c>
      <c r="C185" t="s">
        <v>3348</v>
      </c>
      <c r="D185">
        <v>2025</v>
      </c>
      <c r="E185">
        <v>400.27690917107583</v>
      </c>
    </row>
    <row r="186" spans="1:5" x14ac:dyDescent="0.25">
      <c r="A186" t="s">
        <v>14</v>
      </c>
      <c r="B186" t="s">
        <v>22</v>
      </c>
      <c r="C186" t="s">
        <v>3346</v>
      </c>
      <c r="D186">
        <v>2022</v>
      </c>
      <c r="E186">
        <v>156.65362500000001</v>
      </c>
    </row>
    <row r="187" spans="1:5" x14ac:dyDescent="0.25">
      <c r="A187" t="s">
        <v>14</v>
      </c>
      <c r="B187" t="s">
        <v>22</v>
      </c>
      <c r="C187" t="s">
        <v>3346</v>
      </c>
      <c r="D187">
        <v>2023</v>
      </c>
      <c r="E187">
        <v>176.08027777777778</v>
      </c>
    </row>
    <row r="188" spans="1:5" x14ac:dyDescent="0.25">
      <c r="A188" t="s">
        <v>14</v>
      </c>
      <c r="B188" t="s">
        <v>22</v>
      </c>
      <c r="C188" t="s">
        <v>3346</v>
      </c>
      <c r="D188">
        <v>2024</v>
      </c>
      <c r="E188">
        <v>138.48499553571429</v>
      </c>
    </row>
    <row r="189" spans="1:5" x14ac:dyDescent="0.25">
      <c r="A189" t="s">
        <v>14</v>
      </c>
      <c r="B189" t="s">
        <v>22</v>
      </c>
      <c r="C189" t="s">
        <v>3346</v>
      </c>
      <c r="D189">
        <v>2025</v>
      </c>
      <c r="E189">
        <v>441.14807256235827</v>
      </c>
    </row>
    <row r="190" spans="1:5" x14ac:dyDescent="0.25">
      <c r="A190" t="s">
        <v>14</v>
      </c>
      <c r="B190" t="s">
        <v>25</v>
      </c>
      <c r="C190" t="s">
        <v>15</v>
      </c>
      <c r="D190">
        <v>2023</v>
      </c>
      <c r="E190">
        <v>657.95380952380935</v>
      </c>
    </row>
    <row r="191" spans="1:5" x14ac:dyDescent="0.25">
      <c r="A191" t="s">
        <v>14</v>
      </c>
      <c r="B191" t="s">
        <v>25</v>
      </c>
      <c r="C191" t="s">
        <v>15</v>
      </c>
      <c r="D191">
        <v>2024</v>
      </c>
      <c r="E191">
        <v>290.32208571428572</v>
      </c>
    </row>
    <row r="192" spans="1:5" x14ac:dyDescent="0.25">
      <c r="A192" t="s">
        <v>14</v>
      </c>
      <c r="B192" t="s">
        <v>25</v>
      </c>
      <c r="C192" t="s">
        <v>15</v>
      </c>
      <c r="D192">
        <v>2025</v>
      </c>
      <c r="E192">
        <v>266.72481481481486</v>
      </c>
    </row>
    <row r="193" spans="1:5" x14ac:dyDescent="0.25">
      <c r="A193" t="s">
        <v>14</v>
      </c>
      <c r="B193" t="s">
        <v>25</v>
      </c>
      <c r="C193" t="s">
        <v>35</v>
      </c>
      <c r="D193">
        <v>2023</v>
      </c>
      <c r="E193">
        <v>236.49944444444444</v>
      </c>
    </row>
    <row r="194" spans="1:5" x14ac:dyDescent="0.25">
      <c r="A194" t="s">
        <v>14</v>
      </c>
      <c r="B194" t="s">
        <v>25</v>
      </c>
      <c r="C194" t="s">
        <v>35</v>
      </c>
      <c r="D194">
        <v>2024</v>
      </c>
      <c r="E194">
        <v>470.84481944444445</v>
      </c>
    </row>
    <row r="195" spans="1:5" x14ac:dyDescent="0.25">
      <c r="A195" t="s">
        <v>14</v>
      </c>
      <c r="B195" t="s">
        <v>25</v>
      </c>
      <c r="C195" t="s">
        <v>35</v>
      </c>
      <c r="D195">
        <v>2025</v>
      </c>
      <c r="E195">
        <v>156.28166666666667</v>
      </c>
    </row>
    <row r="196" spans="1:5" x14ac:dyDescent="0.25">
      <c r="A196" t="s">
        <v>14</v>
      </c>
      <c r="B196" t="s">
        <v>25</v>
      </c>
      <c r="C196" t="s">
        <v>18</v>
      </c>
      <c r="D196">
        <v>2022</v>
      </c>
    </row>
    <row r="197" spans="1:5" x14ac:dyDescent="0.25">
      <c r="A197" t="s">
        <v>14</v>
      </c>
      <c r="B197" t="s">
        <v>25</v>
      </c>
      <c r="C197" t="s">
        <v>18</v>
      </c>
      <c r="D197">
        <v>2023</v>
      </c>
      <c r="E197">
        <v>500.10511666666662</v>
      </c>
    </row>
    <row r="198" spans="1:5" x14ac:dyDescent="0.25">
      <c r="A198" t="s">
        <v>14</v>
      </c>
      <c r="B198" t="s">
        <v>25</v>
      </c>
      <c r="C198" t="s">
        <v>18</v>
      </c>
      <c r="D198">
        <v>2024</v>
      </c>
      <c r="E198">
        <v>517.42422222222228</v>
      </c>
    </row>
    <row r="199" spans="1:5" x14ac:dyDescent="0.25">
      <c r="A199" t="s">
        <v>14</v>
      </c>
      <c r="B199" t="s">
        <v>25</v>
      </c>
      <c r="C199" t="s">
        <v>18</v>
      </c>
      <c r="D199">
        <v>2025</v>
      </c>
      <c r="E199">
        <v>266.12583333333333</v>
      </c>
    </row>
    <row r="200" spans="1:5" x14ac:dyDescent="0.25">
      <c r="A200" t="s">
        <v>14</v>
      </c>
      <c r="B200" t="s">
        <v>25</v>
      </c>
      <c r="C200" t="s">
        <v>3348</v>
      </c>
      <c r="D200">
        <v>2022</v>
      </c>
      <c r="E200">
        <v>45.984999999999999</v>
      </c>
    </row>
    <row r="201" spans="1:5" x14ac:dyDescent="0.25">
      <c r="A201" t="s">
        <v>14</v>
      </c>
      <c r="B201" t="s">
        <v>25</v>
      </c>
      <c r="C201" t="s">
        <v>3348</v>
      </c>
      <c r="D201">
        <v>2023</v>
      </c>
      <c r="E201">
        <v>222.57294444444446</v>
      </c>
    </row>
    <row r="202" spans="1:5" x14ac:dyDescent="0.25">
      <c r="A202" t="s">
        <v>14</v>
      </c>
      <c r="B202" t="s">
        <v>25</v>
      </c>
      <c r="C202" t="s">
        <v>3348</v>
      </c>
      <c r="D202">
        <v>2024</v>
      </c>
      <c r="E202">
        <v>94.34454523809525</v>
      </c>
    </row>
    <row r="203" spans="1:5" x14ac:dyDescent="0.25">
      <c r="A203" t="s">
        <v>14</v>
      </c>
      <c r="B203" t="s">
        <v>25</v>
      </c>
      <c r="C203" t="s">
        <v>3348</v>
      </c>
      <c r="D203">
        <v>2025</v>
      </c>
      <c r="E203">
        <v>193.53714285714287</v>
      </c>
    </row>
    <row r="204" spans="1:5" x14ac:dyDescent="0.25">
      <c r="A204" t="s">
        <v>14</v>
      </c>
      <c r="B204" t="s">
        <v>25</v>
      </c>
      <c r="C204" t="s">
        <v>3346</v>
      </c>
      <c r="D204">
        <v>2022</v>
      </c>
      <c r="E204">
        <v>25.735714285714288</v>
      </c>
    </row>
    <row r="205" spans="1:5" x14ac:dyDescent="0.25">
      <c r="A205" t="s">
        <v>14</v>
      </c>
      <c r="B205" t="s">
        <v>25</v>
      </c>
      <c r="C205" t="s">
        <v>3346</v>
      </c>
      <c r="D205">
        <v>2023</v>
      </c>
      <c r="E205">
        <v>283.5199777777778</v>
      </c>
    </row>
    <row r="206" spans="1:5" x14ac:dyDescent="0.25">
      <c r="A206" t="s">
        <v>14</v>
      </c>
      <c r="B206" t="s">
        <v>25</v>
      </c>
      <c r="C206" t="s">
        <v>3346</v>
      </c>
      <c r="D206">
        <v>2024</v>
      </c>
      <c r="E206">
        <v>161.66500000000002</v>
      </c>
    </row>
    <row r="207" spans="1:5" x14ac:dyDescent="0.25">
      <c r="A207" t="s">
        <v>14</v>
      </c>
      <c r="B207" t="s">
        <v>25</v>
      </c>
      <c r="C207" t="s">
        <v>3346</v>
      </c>
      <c r="D207">
        <v>2025</v>
      </c>
    </row>
    <row r="208" spans="1:5" x14ac:dyDescent="0.25">
      <c r="A208" t="s">
        <v>14</v>
      </c>
      <c r="B208" t="s">
        <v>34</v>
      </c>
      <c r="C208" t="s">
        <v>15</v>
      </c>
      <c r="D208">
        <v>2022</v>
      </c>
      <c r="E208">
        <v>150.07</v>
      </c>
    </row>
    <row r="209" spans="1:5" x14ac:dyDescent="0.25">
      <c r="A209" t="s">
        <v>14</v>
      </c>
      <c r="B209" t="s">
        <v>34</v>
      </c>
      <c r="C209" t="s">
        <v>15</v>
      </c>
      <c r="D209">
        <v>2023</v>
      </c>
      <c r="E209">
        <v>325.3580119047619</v>
      </c>
    </row>
    <row r="210" spans="1:5" x14ac:dyDescent="0.25">
      <c r="A210" t="s">
        <v>14</v>
      </c>
      <c r="B210" t="s">
        <v>34</v>
      </c>
      <c r="C210" t="s">
        <v>15</v>
      </c>
      <c r="D210">
        <v>2024</v>
      </c>
      <c r="E210">
        <v>252.27955555555556</v>
      </c>
    </row>
    <row r="211" spans="1:5" x14ac:dyDescent="0.25">
      <c r="A211" t="s">
        <v>14</v>
      </c>
      <c r="B211" t="s">
        <v>34</v>
      </c>
      <c r="C211" t="s">
        <v>15</v>
      </c>
      <c r="D211">
        <v>2025</v>
      </c>
      <c r="E211">
        <v>189.99304166666667</v>
      </c>
    </row>
    <row r="212" spans="1:5" x14ac:dyDescent="0.25">
      <c r="A212" t="s">
        <v>14</v>
      </c>
      <c r="B212" t="s">
        <v>34</v>
      </c>
      <c r="C212" t="s">
        <v>35</v>
      </c>
      <c r="D212">
        <v>2022</v>
      </c>
      <c r="E212">
        <v>184.23020833333334</v>
      </c>
    </row>
    <row r="213" spans="1:5" x14ac:dyDescent="0.25">
      <c r="A213" t="s">
        <v>14</v>
      </c>
      <c r="B213" t="s">
        <v>34</v>
      </c>
      <c r="C213" t="s">
        <v>35</v>
      </c>
      <c r="D213">
        <v>2023</v>
      </c>
      <c r="E213">
        <v>524.29053472222222</v>
      </c>
    </row>
    <row r="214" spans="1:5" x14ac:dyDescent="0.25">
      <c r="A214" t="s">
        <v>14</v>
      </c>
      <c r="B214" t="s">
        <v>34</v>
      </c>
      <c r="C214" t="s">
        <v>35</v>
      </c>
      <c r="D214">
        <v>2024</v>
      </c>
      <c r="E214">
        <v>111.54675510204082</v>
      </c>
    </row>
    <row r="215" spans="1:5" x14ac:dyDescent="0.25">
      <c r="A215" t="s">
        <v>14</v>
      </c>
      <c r="B215" t="s">
        <v>34</v>
      </c>
      <c r="C215" t="s">
        <v>35</v>
      </c>
      <c r="D215">
        <v>2025</v>
      </c>
      <c r="E215">
        <v>340.33410912698412</v>
      </c>
    </row>
    <row r="216" spans="1:5" x14ac:dyDescent="0.25">
      <c r="A216" t="s">
        <v>14</v>
      </c>
      <c r="B216" t="s">
        <v>34</v>
      </c>
      <c r="C216" t="s">
        <v>18</v>
      </c>
      <c r="D216">
        <v>2023</v>
      </c>
      <c r="E216">
        <v>315.65933080808082</v>
      </c>
    </row>
    <row r="217" spans="1:5" x14ac:dyDescent="0.25">
      <c r="A217" t="s">
        <v>14</v>
      </c>
      <c r="B217" t="s">
        <v>34</v>
      </c>
      <c r="C217" t="s">
        <v>18</v>
      </c>
      <c r="D217">
        <v>2024</v>
      </c>
      <c r="E217">
        <v>161.15630505952382</v>
      </c>
    </row>
    <row r="218" spans="1:5" x14ac:dyDescent="0.25">
      <c r="A218" t="s">
        <v>14</v>
      </c>
      <c r="B218" t="s">
        <v>34</v>
      </c>
      <c r="C218" t="s">
        <v>18</v>
      </c>
      <c r="D218">
        <v>2025</v>
      </c>
      <c r="E218">
        <v>277.73072916666666</v>
      </c>
    </row>
    <row r="219" spans="1:5" x14ac:dyDescent="0.25">
      <c r="A219" t="s">
        <v>14</v>
      </c>
      <c r="B219" t="s">
        <v>34</v>
      </c>
      <c r="C219" t="s">
        <v>3348</v>
      </c>
      <c r="D219">
        <v>2022</v>
      </c>
      <c r="E219">
        <v>125.07</v>
      </c>
    </row>
    <row r="220" spans="1:5" x14ac:dyDescent="0.25">
      <c r="A220" t="s">
        <v>14</v>
      </c>
      <c r="B220" t="s">
        <v>34</v>
      </c>
      <c r="C220" t="s">
        <v>3348</v>
      </c>
      <c r="D220">
        <v>2023</v>
      </c>
      <c r="E220">
        <v>390.75545833333331</v>
      </c>
    </row>
    <row r="221" spans="1:5" x14ac:dyDescent="0.25">
      <c r="A221" t="s">
        <v>14</v>
      </c>
      <c r="B221" t="s">
        <v>34</v>
      </c>
      <c r="C221" t="s">
        <v>3348</v>
      </c>
      <c r="D221">
        <v>2024</v>
      </c>
      <c r="E221">
        <v>351.11972335600905</v>
      </c>
    </row>
    <row r="222" spans="1:5" x14ac:dyDescent="0.25">
      <c r="A222" t="s">
        <v>14</v>
      </c>
      <c r="B222" t="s">
        <v>34</v>
      </c>
      <c r="C222" t="s">
        <v>3348</v>
      </c>
      <c r="D222">
        <v>2025</v>
      </c>
      <c r="E222">
        <v>457.93064814814807</v>
      </c>
    </row>
    <row r="223" spans="1:5" x14ac:dyDescent="0.25">
      <c r="A223" t="s">
        <v>14</v>
      </c>
      <c r="B223" t="s">
        <v>34</v>
      </c>
      <c r="C223" t="s">
        <v>3346</v>
      </c>
      <c r="D223">
        <v>2023</v>
      </c>
      <c r="E223">
        <v>394.67101851851857</v>
      </c>
    </row>
    <row r="224" spans="1:5" x14ac:dyDescent="0.25">
      <c r="A224" t="s">
        <v>14</v>
      </c>
      <c r="B224" t="s">
        <v>34</v>
      </c>
      <c r="C224" t="s">
        <v>3346</v>
      </c>
      <c r="D224">
        <v>2025</v>
      </c>
      <c r="E224">
        <v>105.77410185185185</v>
      </c>
    </row>
    <row r="225" spans="1:5" x14ac:dyDescent="0.25">
      <c r="A225" t="s">
        <v>21</v>
      </c>
      <c r="B225" t="s">
        <v>11</v>
      </c>
      <c r="C225" t="s">
        <v>15</v>
      </c>
      <c r="D225">
        <v>2023</v>
      </c>
      <c r="E225">
        <v>694.33</v>
      </c>
    </row>
    <row r="226" spans="1:5" x14ac:dyDescent="0.25">
      <c r="A226" t="s">
        <v>21</v>
      </c>
      <c r="B226" t="s">
        <v>11</v>
      </c>
      <c r="C226" t="s">
        <v>15</v>
      </c>
      <c r="D226">
        <v>2024</v>
      </c>
      <c r="E226">
        <v>345.56814814814817</v>
      </c>
    </row>
    <row r="227" spans="1:5" x14ac:dyDescent="0.25">
      <c r="A227" t="s">
        <v>21</v>
      </c>
      <c r="B227" t="s">
        <v>11</v>
      </c>
      <c r="C227" t="s">
        <v>15</v>
      </c>
      <c r="D227">
        <v>2025</v>
      </c>
      <c r="E227">
        <v>372.79854166666667</v>
      </c>
    </row>
    <row r="228" spans="1:5" x14ac:dyDescent="0.25">
      <c r="A228" t="s">
        <v>21</v>
      </c>
      <c r="B228" t="s">
        <v>11</v>
      </c>
      <c r="C228" t="s">
        <v>35</v>
      </c>
      <c r="D228">
        <v>2022</v>
      </c>
      <c r="E228">
        <v>977.35500000000002</v>
      </c>
    </row>
    <row r="229" spans="1:5" x14ac:dyDescent="0.25">
      <c r="A229" t="s">
        <v>21</v>
      </c>
      <c r="B229" t="s">
        <v>11</v>
      </c>
      <c r="C229" t="s">
        <v>35</v>
      </c>
      <c r="D229">
        <v>2023</v>
      </c>
      <c r="E229">
        <v>164.35821428571427</v>
      </c>
    </row>
    <row r="230" spans="1:5" x14ac:dyDescent="0.25">
      <c r="A230" t="s">
        <v>21</v>
      </c>
      <c r="B230" t="s">
        <v>11</v>
      </c>
      <c r="C230" t="s">
        <v>35</v>
      </c>
      <c r="D230">
        <v>2024</v>
      </c>
      <c r="E230">
        <v>503.54863888888883</v>
      </c>
    </row>
    <row r="231" spans="1:5" x14ac:dyDescent="0.25">
      <c r="A231" t="s">
        <v>21</v>
      </c>
      <c r="B231" t="s">
        <v>11</v>
      </c>
      <c r="C231" t="s">
        <v>35</v>
      </c>
      <c r="D231">
        <v>2025</v>
      </c>
      <c r="E231">
        <v>274.60970833333334</v>
      </c>
    </row>
    <row r="232" spans="1:5" x14ac:dyDescent="0.25">
      <c r="A232" t="s">
        <v>21</v>
      </c>
      <c r="B232" t="s">
        <v>11</v>
      </c>
      <c r="C232" t="s">
        <v>18</v>
      </c>
      <c r="D232">
        <v>2022</v>
      </c>
      <c r="E232">
        <v>254.76035714285715</v>
      </c>
    </row>
    <row r="233" spans="1:5" x14ac:dyDescent="0.25">
      <c r="A233" t="s">
        <v>21</v>
      </c>
      <c r="B233" t="s">
        <v>11</v>
      </c>
      <c r="C233" t="s">
        <v>18</v>
      </c>
      <c r="D233">
        <v>2023</v>
      </c>
      <c r="E233">
        <v>897.666875</v>
      </c>
    </row>
    <row r="234" spans="1:5" x14ac:dyDescent="0.25">
      <c r="A234" t="s">
        <v>21</v>
      </c>
      <c r="B234" t="s">
        <v>11</v>
      </c>
      <c r="C234" t="s">
        <v>18</v>
      </c>
      <c r="D234">
        <v>2024</v>
      </c>
      <c r="E234">
        <v>334.8658333333334</v>
      </c>
    </row>
    <row r="235" spans="1:5" x14ac:dyDescent="0.25">
      <c r="A235" t="s">
        <v>21</v>
      </c>
      <c r="B235" t="s">
        <v>11</v>
      </c>
      <c r="C235" t="s">
        <v>18</v>
      </c>
      <c r="D235">
        <v>2025</v>
      </c>
      <c r="E235">
        <v>146.41199999999998</v>
      </c>
    </row>
    <row r="236" spans="1:5" x14ac:dyDescent="0.25">
      <c r="A236" t="s">
        <v>21</v>
      </c>
      <c r="B236" t="s">
        <v>11</v>
      </c>
      <c r="C236" t="s">
        <v>3348</v>
      </c>
      <c r="D236">
        <v>2022</v>
      </c>
      <c r="E236">
        <v>347.64492063492065</v>
      </c>
    </row>
    <row r="237" spans="1:5" x14ac:dyDescent="0.25">
      <c r="A237" t="s">
        <v>21</v>
      </c>
      <c r="B237" t="s">
        <v>11</v>
      </c>
      <c r="C237" t="s">
        <v>3348</v>
      </c>
      <c r="D237">
        <v>2023</v>
      </c>
      <c r="E237">
        <v>206.73795238095235</v>
      </c>
    </row>
    <row r="238" spans="1:5" x14ac:dyDescent="0.25">
      <c r="A238" t="s">
        <v>21</v>
      </c>
      <c r="B238" t="s">
        <v>11</v>
      </c>
      <c r="C238" t="s">
        <v>3348</v>
      </c>
      <c r="D238">
        <v>2024</v>
      </c>
      <c r="E238">
        <v>197.51111111111109</v>
      </c>
    </row>
    <row r="239" spans="1:5" x14ac:dyDescent="0.25">
      <c r="A239" t="s">
        <v>21</v>
      </c>
      <c r="B239" t="s">
        <v>11</v>
      </c>
      <c r="C239" t="s">
        <v>3348</v>
      </c>
      <c r="D239">
        <v>2025</v>
      </c>
      <c r="E239">
        <v>408.6275</v>
      </c>
    </row>
    <row r="240" spans="1:5" x14ac:dyDescent="0.25">
      <c r="A240" t="s">
        <v>21</v>
      </c>
      <c r="B240" t="s">
        <v>11</v>
      </c>
      <c r="C240" t="s">
        <v>3346</v>
      </c>
      <c r="D240">
        <v>2022</v>
      </c>
      <c r="E240">
        <v>86.604285714285723</v>
      </c>
    </row>
    <row r="241" spans="1:5" x14ac:dyDescent="0.25">
      <c r="A241" t="s">
        <v>21</v>
      </c>
      <c r="B241" t="s">
        <v>11</v>
      </c>
      <c r="C241" t="s">
        <v>3346</v>
      </c>
      <c r="D241">
        <v>2023</v>
      </c>
      <c r="E241">
        <v>255.3495396825397</v>
      </c>
    </row>
    <row r="242" spans="1:5" x14ac:dyDescent="0.25">
      <c r="A242" t="s">
        <v>21</v>
      </c>
      <c r="B242" t="s">
        <v>11</v>
      </c>
      <c r="C242" t="s">
        <v>3346</v>
      </c>
      <c r="D242">
        <v>2024</v>
      </c>
      <c r="E242">
        <v>56.196785714285717</v>
      </c>
    </row>
    <row r="243" spans="1:5" x14ac:dyDescent="0.25">
      <c r="A243" t="s">
        <v>21</v>
      </c>
      <c r="B243" t="s">
        <v>11</v>
      </c>
      <c r="C243" t="s">
        <v>3346</v>
      </c>
      <c r="D243">
        <v>2025</v>
      </c>
      <c r="E243">
        <v>113.79089285714285</v>
      </c>
    </row>
    <row r="244" spans="1:5" x14ac:dyDescent="0.25">
      <c r="A244" t="s">
        <v>21</v>
      </c>
      <c r="B244" t="s">
        <v>22</v>
      </c>
      <c r="C244" t="s">
        <v>15</v>
      </c>
      <c r="D244">
        <v>2022</v>
      </c>
      <c r="E244">
        <v>192.74857142857144</v>
      </c>
    </row>
    <row r="245" spans="1:5" x14ac:dyDescent="0.25">
      <c r="A245" t="s">
        <v>21</v>
      </c>
      <c r="B245" t="s">
        <v>22</v>
      </c>
      <c r="C245" t="s">
        <v>15</v>
      </c>
      <c r="D245">
        <v>2023</v>
      </c>
      <c r="E245">
        <v>272.82067893217896</v>
      </c>
    </row>
    <row r="246" spans="1:5" x14ac:dyDescent="0.25">
      <c r="A246" t="s">
        <v>21</v>
      </c>
      <c r="B246" t="s">
        <v>22</v>
      </c>
      <c r="C246" t="s">
        <v>15</v>
      </c>
      <c r="D246">
        <v>2024</v>
      </c>
      <c r="E246">
        <v>324.92793934240359</v>
      </c>
    </row>
    <row r="247" spans="1:5" x14ac:dyDescent="0.25">
      <c r="A247" t="s">
        <v>21</v>
      </c>
      <c r="B247" t="s">
        <v>22</v>
      </c>
      <c r="C247" t="s">
        <v>15</v>
      </c>
      <c r="D247">
        <v>2025</v>
      </c>
      <c r="E247">
        <v>566.1393333333333</v>
      </c>
    </row>
    <row r="248" spans="1:5" x14ac:dyDescent="0.25">
      <c r="A248" t="s">
        <v>21</v>
      </c>
      <c r="B248" t="s">
        <v>22</v>
      </c>
      <c r="C248" t="s">
        <v>35</v>
      </c>
      <c r="D248">
        <v>2022</v>
      </c>
      <c r="E248">
        <v>127.53194444444445</v>
      </c>
    </row>
    <row r="249" spans="1:5" x14ac:dyDescent="0.25">
      <c r="A249" t="s">
        <v>21</v>
      </c>
      <c r="B249" t="s">
        <v>22</v>
      </c>
      <c r="C249" t="s">
        <v>35</v>
      </c>
      <c r="D249">
        <v>2023</v>
      </c>
      <c r="E249">
        <v>132.4784132653061</v>
      </c>
    </row>
    <row r="250" spans="1:5" x14ac:dyDescent="0.25">
      <c r="A250" t="s">
        <v>21</v>
      </c>
      <c r="B250" t="s">
        <v>22</v>
      </c>
      <c r="C250" t="s">
        <v>35</v>
      </c>
      <c r="D250">
        <v>2024</v>
      </c>
      <c r="E250">
        <v>226.04293562610232</v>
      </c>
    </row>
    <row r="251" spans="1:5" x14ac:dyDescent="0.25">
      <c r="A251" t="s">
        <v>21</v>
      </c>
      <c r="B251" t="s">
        <v>22</v>
      </c>
      <c r="C251" t="s">
        <v>35</v>
      </c>
      <c r="D251">
        <v>2025</v>
      </c>
      <c r="E251">
        <v>298.37445578231291</v>
      </c>
    </row>
    <row r="252" spans="1:5" x14ac:dyDescent="0.25">
      <c r="A252" t="s">
        <v>21</v>
      </c>
      <c r="B252" t="s">
        <v>22</v>
      </c>
      <c r="C252" t="s">
        <v>18</v>
      </c>
      <c r="D252">
        <v>2022</v>
      </c>
      <c r="E252">
        <v>285.57166666666666</v>
      </c>
    </row>
    <row r="253" spans="1:5" x14ac:dyDescent="0.25">
      <c r="A253" t="s">
        <v>21</v>
      </c>
      <c r="B253" t="s">
        <v>22</v>
      </c>
      <c r="C253" t="s">
        <v>18</v>
      </c>
      <c r="D253">
        <v>2023</v>
      </c>
      <c r="E253">
        <v>167.28291666666667</v>
      </c>
    </row>
    <row r="254" spans="1:5" x14ac:dyDescent="0.25">
      <c r="A254" t="s">
        <v>21</v>
      </c>
      <c r="B254" t="s">
        <v>22</v>
      </c>
      <c r="C254" t="s">
        <v>18</v>
      </c>
      <c r="D254">
        <v>2024</v>
      </c>
      <c r="E254">
        <v>379.20491666666669</v>
      </c>
    </row>
    <row r="255" spans="1:5" x14ac:dyDescent="0.25">
      <c r="A255" t="s">
        <v>21</v>
      </c>
      <c r="B255" t="s">
        <v>22</v>
      </c>
      <c r="C255" t="s">
        <v>18</v>
      </c>
      <c r="D255">
        <v>2025</v>
      </c>
      <c r="E255">
        <v>236.73055555555553</v>
      </c>
    </row>
    <row r="256" spans="1:5" x14ac:dyDescent="0.25">
      <c r="A256" t="s">
        <v>21</v>
      </c>
      <c r="B256" t="s">
        <v>22</v>
      </c>
      <c r="C256" t="s">
        <v>3348</v>
      </c>
      <c r="D256">
        <v>2022</v>
      </c>
      <c r="E256">
        <v>92.691666666666663</v>
      </c>
    </row>
    <row r="257" spans="1:5" x14ac:dyDescent="0.25">
      <c r="A257" t="s">
        <v>21</v>
      </c>
      <c r="B257" t="s">
        <v>22</v>
      </c>
      <c r="C257" t="s">
        <v>3348</v>
      </c>
      <c r="D257">
        <v>2023</v>
      </c>
      <c r="E257">
        <v>253.30313492063493</v>
      </c>
    </row>
    <row r="258" spans="1:5" x14ac:dyDescent="0.25">
      <c r="A258" t="s">
        <v>21</v>
      </c>
      <c r="B258" t="s">
        <v>22</v>
      </c>
      <c r="C258" t="s">
        <v>3348</v>
      </c>
      <c r="D258">
        <v>2024</v>
      </c>
      <c r="E258">
        <v>428.9487738095238</v>
      </c>
    </row>
    <row r="259" spans="1:5" x14ac:dyDescent="0.25">
      <c r="A259" t="s">
        <v>21</v>
      </c>
      <c r="B259" t="s">
        <v>22</v>
      </c>
      <c r="C259" t="s">
        <v>3348</v>
      </c>
      <c r="D259">
        <v>2025</v>
      </c>
      <c r="E259">
        <v>125.25285714285714</v>
      </c>
    </row>
    <row r="260" spans="1:5" x14ac:dyDescent="0.25">
      <c r="A260" t="s">
        <v>21</v>
      </c>
      <c r="B260" t="s">
        <v>22</v>
      </c>
      <c r="C260" t="s">
        <v>3346</v>
      </c>
      <c r="D260">
        <v>2023</v>
      </c>
      <c r="E260">
        <v>149.88264444444445</v>
      </c>
    </row>
    <row r="261" spans="1:5" x14ac:dyDescent="0.25">
      <c r="A261" t="s">
        <v>21</v>
      </c>
      <c r="B261" t="s">
        <v>22</v>
      </c>
      <c r="C261" t="s">
        <v>3346</v>
      </c>
      <c r="D261">
        <v>2024</v>
      </c>
      <c r="E261">
        <v>215.20665</v>
      </c>
    </row>
    <row r="262" spans="1:5" x14ac:dyDescent="0.25">
      <c r="A262" t="s">
        <v>21</v>
      </c>
      <c r="B262" t="s">
        <v>22</v>
      </c>
      <c r="C262" t="s">
        <v>3346</v>
      </c>
      <c r="D262">
        <v>2025</v>
      </c>
      <c r="E262">
        <v>269.95944047619054</v>
      </c>
    </row>
    <row r="263" spans="1:5" x14ac:dyDescent="0.25">
      <c r="A263" t="s">
        <v>21</v>
      </c>
      <c r="B263" t="s">
        <v>25</v>
      </c>
      <c r="C263" t="s">
        <v>15</v>
      </c>
      <c r="D263">
        <v>2022</v>
      </c>
      <c r="E263">
        <v>116.38</v>
      </c>
    </row>
    <row r="264" spans="1:5" x14ac:dyDescent="0.25">
      <c r="A264" t="s">
        <v>21</v>
      </c>
      <c r="B264" t="s">
        <v>25</v>
      </c>
      <c r="C264" t="s">
        <v>15</v>
      </c>
      <c r="D264">
        <v>2023</v>
      </c>
      <c r="E264">
        <v>379.13800000000003</v>
      </c>
    </row>
    <row r="265" spans="1:5" x14ac:dyDescent="0.25">
      <c r="A265" t="s">
        <v>21</v>
      </c>
      <c r="B265" t="s">
        <v>25</v>
      </c>
      <c r="C265" t="s">
        <v>15</v>
      </c>
      <c r="D265">
        <v>2024</v>
      </c>
      <c r="E265">
        <v>183.05051020408163</v>
      </c>
    </row>
    <row r="266" spans="1:5" x14ac:dyDescent="0.25">
      <c r="A266" t="s">
        <v>21</v>
      </c>
      <c r="B266" t="s">
        <v>25</v>
      </c>
      <c r="C266" t="s">
        <v>15</v>
      </c>
      <c r="D266">
        <v>2025</v>
      </c>
      <c r="E266">
        <v>387.53</v>
      </c>
    </row>
    <row r="267" spans="1:5" x14ac:dyDescent="0.25">
      <c r="A267" t="s">
        <v>21</v>
      </c>
      <c r="B267" t="s">
        <v>25</v>
      </c>
      <c r="C267" t="s">
        <v>35</v>
      </c>
      <c r="D267">
        <v>2023</v>
      </c>
      <c r="E267">
        <v>135.2342857142857</v>
      </c>
    </row>
    <row r="268" spans="1:5" x14ac:dyDescent="0.25">
      <c r="A268" t="s">
        <v>21</v>
      </c>
      <c r="B268" t="s">
        <v>25</v>
      </c>
      <c r="C268" t="s">
        <v>35</v>
      </c>
      <c r="D268">
        <v>2024</v>
      </c>
      <c r="E268">
        <v>130.9334761904762</v>
      </c>
    </row>
    <row r="269" spans="1:5" x14ac:dyDescent="0.25">
      <c r="A269" t="s">
        <v>21</v>
      </c>
      <c r="B269" t="s">
        <v>25</v>
      </c>
      <c r="C269" t="s">
        <v>35</v>
      </c>
      <c r="D269">
        <v>2025</v>
      </c>
      <c r="E269">
        <v>133.03108333333333</v>
      </c>
    </row>
    <row r="270" spans="1:5" x14ac:dyDescent="0.25">
      <c r="A270" t="s">
        <v>21</v>
      </c>
      <c r="B270" t="s">
        <v>25</v>
      </c>
      <c r="C270" t="s">
        <v>18</v>
      </c>
      <c r="D270">
        <v>2022</v>
      </c>
    </row>
    <row r="271" spans="1:5" x14ac:dyDescent="0.25">
      <c r="A271" t="s">
        <v>21</v>
      </c>
      <c r="B271" t="s">
        <v>25</v>
      </c>
      <c r="C271" t="s">
        <v>18</v>
      </c>
      <c r="D271">
        <v>2023</v>
      </c>
      <c r="E271">
        <v>96.949666666666687</v>
      </c>
    </row>
    <row r="272" spans="1:5" x14ac:dyDescent="0.25">
      <c r="A272" t="s">
        <v>21</v>
      </c>
      <c r="B272" t="s">
        <v>25</v>
      </c>
      <c r="C272" t="s">
        <v>18</v>
      </c>
      <c r="D272">
        <v>2024</v>
      </c>
      <c r="E272">
        <v>213.51069642857144</v>
      </c>
    </row>
    <row r="273" spans="1:5" x14ac:dyDescent="0.25">
      <c r="A273" t="s">
        <v>21</v>
      </c>
      <c r="B273" t="s">
        <v>25</v>
      </c>
      <c r="C273" t="s">
        <v>18</v>
      </c>
      <c r="D273">
        <v>2025</v>
      </c>
      <c r="E273">
        <v>602.04750000000001</v>
      </c>
    </row>
    <row r="274" spans="1:5" x14ac:dyDescent="0.25">
      <c r="A274" t="s">
        <v>21</v>
      </c>
      <c r="B274" t="s">
        <v>25</v>
      </c>
      <c r="C274" t="s">
        <v>3348</v>
      </c>
      <c r="D274">
        <v>2022</v>
      </c>
      <c r="E274">
        <v>643.71</v>
      </c>
    </row>
    <row r="275" spans="1:5" x14ac:dyDescent="0.25">
      <c r="A275" t="s">
        <v>21</v>
      </c>
      <c r="B275" t="s">
        <v>25</v>
      </c>
      <c r="C275" t="s">
        <v>3348</v>
      </c>
      <c r="D275">
        <v>2023</v>
      </c>
      <c r="E275">
        <v>221.19479365079366</v>
      </c>
    </row>
    <row r="276" spans="1:5" x14ac:dyDescent="0.25">
      <c r="A276" t="s">
        <v>21</v>
      </c>
      <c r="B276" t="s">
        <v>25</v>
      </c>
      <c r="C276" t="s">
        <v>3348</v>
      </c>
      <c r="D276">
        <v>2024</v>
      </c>
      <c r="E276">
        <v>471.44636111111112</v>
      </c>
    </row>
    <row r="277" spans="1:5" x14ac:dyDescent="0.25">
      <c r="A277" t="s">
        <v>21</v>
      </c>
      <c r="B277" t="s">
        <v>25</v>
      </c>
      <c r="C277" t="s">
        <v>3348</v>
      </c>
      <c r="D277">
        <v>2025</v>
      </c>
      <c r="E277">
        <v>270.67729166666669</v>
      </c>
    </row>
    <row r="278" spans="1:5" x14ac:dyDescent="0.25">
      <c r="A278" t="s">
        <v>21</v>
      </c>
      <c r="B278" t="s">
        <v>25</v>
      </c>
      <c r="C278" t="s">
        <v>3346</v>
      </c>
      <c r="D278">
        <v>2023</v>
      </c>
      <c r="E278">
        <v>183.67878472222225</v>
      </c>
    </row>
    <row r="279" spans="1:5" x14ac:dyDescent="0.25">
      <c r="A279" t="s">
        <v>21</v>
      </c>
      <c r="B279" t="s">
        <v>25</v>
      </c>
      <c r="C279" t="s">
        <v>3346</v>
      </c>
      <c r="D279">
        <v>2024</v>
      </c>
      <c r="E279">
        <v>202.55611111111111</v>
      </c>
    </row>
    <row r="280" spans="1:5" x14ac:dyDescent="0.25">
      <c r="A280" t="s">
        <v>21</v>
      </c>
      <c r="B280" t="s">
        <v>25</v>
      </c>
      <c r="C280" t="s">
        <v>3346</v>
      </c>
      <c r="D280">
        <v>2025</v>
      </c>
      <c r="E280">
        <v>141.24111111111111</v>
      </c>
    </row>
    <row r="281" spans="1:5" x14ac:dyDescent="0.25">
      <c r="A281" t="s">
        <v>21</v>
      </c>
      <c r="B281" t="s">
        <v>34</v>
      </c>
      <c r="C281" t="s">
        <v>15</v>
      </c>
      <c r="D281">
        <v>2022</v>
      </c>
      <c r="E281">
        <v>1896.8</v>
      </c>
    </row>
    <row r="282" spans="1:5" x14ac:dyDescent="0.25">
      <c r="A282" t="s">
        <v>21</v>
      </c>
      <c r="B282" t="s">
        <v>34</v>
      </c>
      <c r="C282" t="s">
        <v>15</v>
      </c>
      <c r="D282">
        <v>2023</v>
      </c>
      <c r="E282">
        <v>153.92233333333334</v>
      </c>
    </row>
    <row r="283" spans="1:5" x14ac:dyDescent="0.25">
      <c r="A283" t="s">
        <v>21</v>
      </c>
      <c r="B283" t="s">
        <v>34</v>
      </c>
      <c r="C283" t="s">
        <v>15</v>
      </c>
      <c r="D283">
        <v>2024</v>
      </c>
      <c r="E283">
        <v>292.9436031746032</v>
      </c>
    </row>
    <row r="284" spans="1:5" x14ac:dyDescent="0.25">
      <c r="A284" t="s">
        <v>21</v>
      </c>
      <c r="B284" t="s">
        <v>34</v>
      </c>
      <c r="C284" t="s">
        <v>15</v>
      </c>
      <c r="D284">
        <v>2025</v>
      </c>
      <c r="E284">
        <v>168.64838888888889</v>
      </c>
    </row>
    <row r="285" spans="1:5" x14ac:dyDescent="0.25">
      <c r="A285" t="s">
        <v>21</v>
      </c>
      <c r="B285" t="s">
        <v>34</v>
      </c>
      <c r="C285" t="s">
        <v>35</v>
      </c>
      <c r="D285">
        <v>2022</v>
      </c>
      <c r="E285">
        <v>91.606333333333339</v>
      </c>
    </row>
    <row r="286" spans="1:5" x14ac:dyDescent="0.25">
      <c r="A286" t="s">
        <v>21</v>
      </c>
      <c r="B286" t="s">
        <v>34</v>
      </c>
      <c r="C286" t="s">
        <v>35</v>
      </c>
      <c r="D286">
        <v>2023</v>
      </c>
      <c r="E286">
        <v>254.29479563492063</v>
      </c>
    </row>
    <row r="287" spans="1:5" x14ac:dyDescent="0.25">
      <c r="A287" t="s">
        <v>21</v>
      </c>
      <c r="B287" t="s">
        <v>34</v>
      </c>
      <c r="C287" t="s">
        <v>35</v>
      </c>
      <c r="D287">
        <v>2024</v>
      </c>
      <c r="E287">
        <v>164.04357142857143</v>
      </c>
    </row>
    <row r="288" spans="1:5" x14ac:dyDescent="0.25">
      <c r="A288" t="s">
        <v>21</v>
      </c>
      <c r="B288" t="s">
        <v>34</v>
      </c>
      <c r="C288" t="s">
        <v>35</v>
      </c>
      <c r="D288">
        <v>2025</v>
      </c>
      <c r="E288">
        <v>402.94178535353529</v>
      </c>
    </row>
    <row r="289" spans="1:5" x14ac:dyDescent="0.25">
      <c r="A289" t="s">
        <v>21</v>
      </c>
      <c r="B289" t="s">
        <v>34</v>
      </c>
      <c r="C289" t="s">
        <v>18</v>
      </c>
      <c r="D289">
        <v>2023</v>
      </c>
      <c r="E289">
        <v>151.93</v>
      </c>
    </row>
    <row r="290" spans="1:5" x14ac:dyDescent="0.25">
      <c r="A290" t="s">
        <v>21</v>
      </c>
      <c r="B290" t="s">
        <v>34</v>
      </c>
      <c r="C290" t="s">
        <v>18</v>
      </c>
      <c r="D290">
        <v>2024</v>
      </c>
      <c r="E290">
        <v>377.9392559523809</v>
      </c>
    </row>
    <row r="291" spans="1:5" x14ac:dyDescent="0.25">
      <c r="A291" t="s">
        <v>21</v>
      </c>
      <c r="B291" t="s">
        <v>34</v>
      </c>
      <c r="C291" t="s">
        <v>18</v>
      </c>
      <c r="D291">
        <v>2025</v>
      </c>
      <c r="E291">
        <v>163.69258928571429</v>
      </c>
    </row>
    <row r="292" spans="1:5" x14ac:dyDescent="0.25">
      <c r="A292" t="s">
        <v>21</v>
      </c>
      <c r="B292" t="s">
        <v>34</v>
      </c>
      <c r="C292" t="s">
        <v>3348</v>
      </c>
      <c r="D292">
        <v>2022</v>
      </c>
      <c r="E292">
        <v>77.416666666666671</v>
      </c>
    </row>
    <row r="293" spans="1:5" x14ac:dyDescent="0.25">
      <c r="A293" t="s">
        <v>21</v>
      </c>
      <c r="B293" t="s">
        <v>34</v>
      </c>
      <c r="C293" t="s">
        <v>3348</v>
      </c>
      <c r="D293">
        <v>2023</v>
      </c>
      <c r="E293">
        <v>696.78047619047629</v>
      </c>
    </row>
    <row r="294" spans="1:5" x14ac:dyDescent="0.25">
      <c r="A294" t="s">
        <v>21</v>
      </c>
      <c r="B294" t="s">
        <v>34</v>
      </c>
      <c r="C294" t="s">
        <v>3348</v>
      </c>
      <c r="D294">
        <v>2024</v>
      </c>
      <c r="E294">
        <v>224.88217120181406</v>
      </c>
    </row>
    <row r="295" spans="1:5" x14ac:dyDescent="0.25">
      <c r="A295" t="s">
        <v>21</v>
      </c>
      <c r="B295" t="s">
        <v>34</v>
      </c>
      <c r="C295" t="s">
        <v>3348</v>
      </c>
      <c r="D295">
        <v>2025</v>
      </c>
      <c r="E295">
        <v>244.68114087301586</v>
      </c>
    </row>
    <row r="296" spans="1:5" x14ac:dyDescent="0.25">
      <c r="A296" t="s">
        <v>21</v>
      </c>
      <c r="B296" t="s">
        <v>34</v>
      </c>
      <c r="C296" t="s">
        <v>3346</v>
      </c>
      <c r="D296">
        <v>2023</v>
      </c>
      <c r="E296">
        <v>215.10603108465611</v>
      </c>
    </row>
    <row r="297" spans="1:5" x14ac:dyDescent="0.25">
      <c r="A297" t="s">
        <v>21</v>
      </c>
      <c r="B297" t="s">
        <v>34</v>
      </c>
      <c r="C297" t="s">
        <v>3346</v>
      </c>
      <c r="D297">
        <v>2024</v>
      </c>
      <c r="E297">
        <v>442.88673280423279</v>
      </c>
    </row>
    <row r="298" spans="1:5" x14ac:dyDescent="0.25">
      <c r="A298" t="s">
        <v>21</v>
      </c>
      <c r="B298" t="s">
        <v>34</v>
      </c>
      <c r="C298" t="s">
        <v>3346</v>
      </c>
      <c r="D298">
        <v>2025</v>
      </c>
      <c r="E298">
        <v>177.42493333333331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21CB4-234E-4A44-92E0-45793BC8E046}">
  <dimension ref="A1:K50"/>
  <sheetViews>
    <sheetView tabSelected="1" zoomScaleNormal="100" workbookViewId="0">
      <selection activeCell="I3" sqref="I3"/>
    </sheetView>
  </sheetViews>
  <sheetFormatPr defaultRowHeight="13.8" x14ac:dyDescent="0.25"/>
  <cols>
    <col min="1" max="1" width="31.19921875" customWidth="1"/>
    <col min="2" max="2" width="22.8984375" customWidth="1"/>
  </cols>
  <sheetData>
    <row r="1" spans="1:11" ht="24.6" x14ac:dyDescent="0.4">
      <c r="A1" s="30" t="s">
        <v>3451</v>
      </c>
    </row>
    <row r="3" spans="1:11" ht="17.399999999999999" x14ac:dyDescent="0.3">
      <c r="A3" s="31" t="s">
        <v>3452</v>
      </c>
      <c r="B3" s="32"/>
      <c r="C3" s="32"/>
      <c r="D3" s="32"/>
    </row>
    <row r="4" spans="1:11" x14ac:dyDescent="0.25">
      <c r="A4" t="s">
        <v>3453</v>
      </c>
      <c r="B4">
        <f>ROWS(Original_Data!A2:A1811)</f>
        <v>1810</v>
      </c>
      <c r="K4" t="s">
        <v>3481</v>
      </c>
    </row>
    <row r="5" spans="1:11" x14ac:dyDescent="0.25">
      <c r="A5" t="s">
        <v>3454</v>
      </c>
      <c r="B5">
        <f>1810-1743</f>
        <v>67</v>
      </c>
    </row>
    <row r="6" spans="1:11" x14ac:dyDescent="0.25">
      <c r="A6" t="s">
        <v>3455</v>
      </c>
      <c r="B6">
        <f>ROWS(Table17[Transaction_ID])</f>
        <v>1743</v>
      </c>
    </row>
    <row r="7" spans="1:11" x14ac:dyDescent="0.25">
      <c r="A7" t="s">
        <v>3456</v>
      </c>
      <c r="B7">
        <v>216</v>
      </c>
    </row>
    <row r="8" spans="1:11" x14ac:dyDescent="0.25">
      <c r="A8" t="s">
        <v>3457</v>
      </c>
      <c r="B8">
        <v>135</v>
      </c>
    </row>
    <row r="10" spans="1:11" ht="17.399999999999999" x14ac:dyDescent="0.3">
      <c r="A10" s="31" t="s">
        <v>3458</v>
      </c>
      <c r="B10" s="32"/>
      <c r="C10" s="32"/>
      <c r="D10" s="32"/>
    </row>
    <row r="11" spans="1:11" ht="15.6" x14ac:dyDescent="0.3">
      <c r="A11" t="s">
        <v>3459</v>
      </c>
      <c r="B11" s="33">
        <v>1907728.86146537</v>
      </c>
    </row>
    <row r="12" spans="1:11" ht="15.6" x14ac:dyDescent="0.3">
      <c r="A12" t="s">
        <v>3460</v>
      </c>
      <c r="B12" s="34">
        <v>9297</v>
      </c>
    </row>
    <row r="13" spans="1:11" ht="15.6" x14ac:dyDescent="0.3">
      <c r="A13" t="s">
        <v>3461</v>
      </c>
      <c r="B13" s="34">
        <v>1743</v>
      </c>
    </row>
    <row r="15" spans="1:11" ht="17.399999999999999" x14ac:dyDescent="0.3">
      <c r="A15" s="31" t="s">
        <v>3462</v>
      </c>
      <c r="B15" s="32"/>
      <c r="C15" s="32"/>
    </row>
    <row r="16" spans="1:11" x14ac:dyDescent="0.25">
      <c r="A16" s="35" t="s">
        <v>3</v>
      </c>
      <c r="B16" s="35" t="s">
        <v>3463</v>
      </c>
      <c r="C16" s="35" t="s">
        <v>3464</v>
      </c>
    </row>
    <row r="17" spans="1:3" x14ac:dyDescent="0.25">
      <c r="A17" s="3" t="s">
        <v>3347</v>
      </c>
      <c r="B17" s="29">
        <v>534340.28140763403</v>
      </c>
      <c r="C17" s="36">
        <f>B17/$B$11</f>
        <v>0.28009236123690823</v>
      </c>
    </row>
    <row r="18" spans="1:3" x14ac:dyDescent="0.25">
      <c r="A18" s="3" t="s">
        <v>14</v>
      </c>
      <c r="B18" s="29">
        <v>470628.25001639192</v>
      </c>
      <c r="C18" s="36">
        <f>B18/$B$11</f>
        <v>0.24669556535140513</v>
      </c>
    </row>
    <row r="19" spans="1:3" x14ac:dyDescent="0.25">
      <c r="A19" s="3" t="s">
        <v>10</v>
      </c>
      <c r="B19" s="29">
        <v>454885.20927175949</v>
      </c>
      <c r="C19" s="36">
        <f>B19/$B$11</f>
        <v>0.23844332308436733</v>
      </c>
    </row>
    <row r="20" spans="1:3" x14ac:dyDescent="0.25">
      <c r="A20" s="3" t="s">
        <v>21</v>
      </c>
      <c r="B20" s="29">
        <v>447875.12076957687</v>
      </c>
      <c r="C20" s="36">
        <f>B20/$B$11</f>
        <v>0.23476875032731526</v>
      </c>
    </row>
    <row r="22" spans="1:3" ht="17.399999999999999" x14ac:dyDescent="0.3">
      <c r="A22" s="31" t="s">
        <v>3465</v>
      </c>
      <c r="B22" s="32"/>
      <c r="C22" s="32"/>
    </row>
    <row r="23" spans="1:3" x14ac:dyDescent="0.25">
      <c r="A23" s="35" t="s">
        <v>7</v>
      </c>
      <c r="B23" s="35" t="s">
        <v>3463</v>
      </c>
      <c r="C23" s="35" t="s">
        <v>3466</v>
      </c>
    </row>
    <row r="24" spans="1:3" x14ac:dyDescent="0.25">
      <c r="A24" s="3" t="s">
        <v>3348</v>
      </c>
      <c r="B24" s="29">
        <v>417249.00252334017</v>
      </c>
      <c r="C24">
        <v>363</v>
      </c>
    </row>
    <row r="25" spans="1:3" x14ac:dyDescent="0.25">
      <c r="A25" s="3" t="s">
        <v>15</v>
      </c>
      <c r="B25" s="29">
        <v>395065.5396579018</v>
      </c>
      <c r="C25">
        <v>367</v>
      </c>
    </row>
    <row r="26" spans="1:3" x14ac:dyDescent="0.25">
      <c r="A26" s="3" t="s">
        <v>3346</v>
      </c>
      <c r="B26" s="29">
        <v>374464.45154216886</v>
      </c>
      <c r="C26">
        <v>351</v>
      </c>
    </row>
    <row r="27" spans="1:3" x14ac:dyDescent="0.25">
      <c r="A27" s="3" t="s">
        <v>35</v>
      </c>
      <c r="B27" s="29">
        <v>369236.97940670792</v>
      </c>
      <c r="C27">
        <v>348</v>
      </c>
    </row>
    <row r="28" spans="1:3" x14ac:dyDescent="0.25">
      <c r="A28" s="3" t="s">
        <v>18</v>
      </c>
      <c r="B28" s="29">
        <v>351712.88833524339</v>
      </c>
      <c r="C28">
        <v>314</v>
      </c>
    </row>
    <row r="29" spans="1:3" x14ac:dyDescent="0.25">
      <c r="A29" s="37" t="s">
        <v>3467</v>
      </c>
      <c r="B29" s="38">
        <f>SUM(B24:B28)</f>
        <v>1907728.8614653621</v>
      </c>
      <c r="C29" s="39">
        <f>SUM(C24:C28)</f>
        <v>1743</v>
      </c>
    </row>
    <row r="30" spans="1:3" ht="17.399999999999999" x14ac:dyDescent="0.3">
      <c r="A30" s="31" t="s">
        <v>3468</v>
      </c>
      <c r="B30" s="32"/>
      <c r="C30" s="32"/>
    </row>
    <row r="31" spans="1:3" x14ac:dyDescent="0.25">
      <c r="A31" s="35" t="s">
        <v>4</v>
      </c>
      <c r="B31" s="35" t="s">
        <v>3463</v>
      </c>
      <c r="C31" s="35" t="s">
        <v>3466</v>
      </c>
    </row>
    <row r="32" spans="1:3" x14ac:dyDescent="0.25">
      <c r="A32" s="3" t="s">
        <v>34</v>
      </c>
      <c r="B32" s="29">
        <v>581382.7871142833</v>
      </c>
      <c r="C32">
        <v>548</v>
      </c>
    </row>
    <row r="33" spans="1:3" x14ac:dyDescent="0.25">
      <c r="A33" s="3" t="s">
        <v>22</v>
      </c>
      <c r="B33" s="29">
        <v>580188.5425356112</v>
      </c>
      <c r="C33">
        <v>537</v>
      </c>
    </row>
    <row r="34" spans="1:3" x14ac:dyDescent="0.25">
      <c r="A34" s="3" t="s">
        <v>11</v>
      </c>
      <c r="B34" s="29">
        <v>394844.7562447089</v>
      </c>
      <c r="C34">
        <v>339</v>
      </c>
    </row>
    <row r="35" spans="1:3" x14ac:dyDescent="0.25">
      <c r="A35" s="3" t="s">
        <v>25</v>
      </c>
      <c r="B35" s="29">
        <v>351312.77557075844</v>
      </c>
      <c r="C35">
        <v>319</v>
      </c>
    </row>
    <row r="36" spans="1:3" x14ac:dyDescent="0.25">
      <c r="A36" s="37" t="s">
        <v>3467</v>
      </c>
      <c r="B36" s="38">
        <f>SUM(B32:B35)</f>
        <v>1907728.8614653617</v>
      </c>
      <c r="C36" s="39">
        <f>SUM(C32:C35)</f>
        <v>1743</v>
      </c>
    </row>
    <row r="38" spans="1:3" ht="15.6" x14ac:dyDescent="0.3">
      <c r="A38" s="40" t="s">
        <v>3469</v>
      </c>
      <c r="B38" s="32"/>
      <c r="C38" s="32"/>
    </row>
    <row r="39" spans="1:3" x14ac:dyDescent="0.25">
      <c r="A39" s="35" t="s">
        <v>3470</v>
      </c>
    </row>
    <row r="40" spans="1:3" x14ac:dyDescent="0.25">
      <c r="A40" t="s">
        <v>3471</v>
      </c>
    </row>
    <row r="41" spans="1:3" x14ac:dyDescent="0.25">
      <c r="A41" t="s">
        <v>3472</v>
      </c>
    </row>
    <row r="43" spans="1:3" x14ac:dyDescent="0.25">
      <c r="A43" s="35" t="s">
        <v>3473</v>
      </c>
    </row>
    <row r="44" spans="1:3" x14ac:dyDescent="0.25">
      <c r="A44" t="s">
        <v>3476</v>
      </c>
    </row>
    <row r="45" spans="1:3" x14ac:dyDescent="0.25">
      <c r="A45" t="s">
        <v>3477</v>
      </c>
    </row>
    <row r="46" spans="1:3" x14ac:dyDescent="0.25">
      <c r="A46" t="s">
        <v>3478</v>
      </c>
    </row>
    <row r="48" spans="1:3" x14ac:dyDescent="0.25">
      <c r="A48" s="35" t="s">
        <v>3474</v>
      </c>
    </row>
    <row r="49" spans="1:1" x14ac:dyDescent="0.25">
      <c r="A49" t="s">
        <v>3479</v>
      </c>
    </row>
    <row r="50" spans="1:1" x14ac:dyDescent="0.25">
      <c r="A50" t="s">
        <v>3475</v>
      </c>
    </row>
  </sheetData>
  <sortState xmlns:xlrd2="http://schemas.microsoft.com/office/spreadsheetml/2017/richdata2" ref="A24:B28">
    <sortCondition descending="1" ref="A24:A28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27E58-5D62-4F61-A38E-A4719EFC8D94}">
  <dimension ref="A1"/>
  <sheetViews>
    <sheetView workbookViewId="0">
      <selection activeCell="K8" sqref="K8"/>
    </sheetView>
  </sheetViews>
  <sheetFormatPr defaultRowHeight="13.8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6403A-50EA-41F7-A4E1-FC3CE02CC848}">
  <dimension ref="A1:D24"/>
  <sheetViews>
    <sheetView tabSelected="1" workbookViewId="0">
      <selection activeCell="I3" sqref="I3"/>
    </sheetView>
  </sheetViews>
  <sheetFormatPr defaultRowHeight="13.8" x14ac:dyDescent="0.25"/>
  <cols>
    <col min="1" max="1" width="24.19921875" customWidth="1"/>
    <col min="2" max="2" width="17.69921875" customWidth="1"/>
    <col min="3" max="3" width="21.3984375" customWidth="1"/>
    <col min="4" max="4" width="19.8984375" customWidth="1"/>
  </cols>
  <sheetData>
    <row r="1" spans="1:4" ht="54" customHeight="1" x14ac:dyDescent="0.25">
      <c r="A1" s="42" t="s">
        <v>3480</v>
      </c>
      <c r="B1" s="42"/>
      <c r="C1" s="42"/>
      <c r="D1" s="42"/>
    </row>
    <row r="2" spans="1:4" s="5" customFormat="1" ht="39.6" customHeight="1" x14ac:dyDescent="0.25">
      <c r="A2" s="6" t="s">
        <v>3365</v>
      </c>
      <c r="B2" s="7" t="s">
        <v>3366</v>
      </c>
      <c r="C2" s="7" t="s">
        <v>3367</v>
      </c>
      <c r="D2" s="8" t="s">
        <v>3368</v>
      </c>
    </row>
    <row r="3" spans="1:4" s="5" customFormat="1" ht="61.2" customHeight="1" x14ac:dyDescent="0.25">
      <c r="A3" s="28">
        <v>1907728.86146537</v>
      </c>
      <c r="B3" s="9">
        <v>9297</v>
      </c>
      <c r="C3" s="41">
        <v>3548.2821388888901</v>
      </c>
      <c r="D3" s="10" t="s">
        <v>3347</v>
      </c>
    </row>
    <row r="4" spans="1:4" s="5" customFormat="1" x14ac:dyDescent="0.25"/>
    <row r="5" spans="1:4" s="5" customFormat="1" x14ac:dyDescent="0.25"/>
    <row r="6" spans="1:4" s="5" customFormat="1" x14ac:dyDescent="0.25"/>
    <row r="7" spans="1:4" s="5" customFormat="1" x14ac:dyDescent="0.25"/>
    <row r="8" spans="1:4" s="5" customFormat="1" x14ac:dyDescent="0.25"/>
    <row r="9" spans="1:4" s="5" customFormat="1" x14ac:dyDescent="0.25"/>
    <row r="10" spans="1:4" s="5" customFormat="1" x14ac:dyDescent="0.25"/>
    <row r="11" spans="1:4" s="5" customFormat="1" x14ac:dyDescent="0.25"/>
    <row r="12" spans="1:4" s="5" customFormat="1" x14ac:dyDescent="0.25"/>
    <row r="13" spans="1:4" s="5" customFormat="1" x14ac:dyDescent="0.25"/>
    <row r="14" spans="1:4" s="5" customFormat="1" x14ac:dyDescent="0.25"/>
    <row r="15" spans="1:4" s="5" customFormat="1" x14ac:dyDescent="0.25"/>
    <row r="16" spans="1:4" s="5" customFormat="1" x14ac:dyDescent="0.25"/>
    <row r="17" s="5" customFormat="1" x14ac:dyDescent="0.25"/>
    <row r="18" s="5" customFormat="1" x14ac:dyDescent="0.25"/>
    <row r="19" s="5" customFormat="1" x14ac:dyDescent="0.25"/>
    <row r="20" s="5" customFormat="1" x14ac:dyDescent="0.25"/>
    <row r="21" s="5" customFormat="1" x14ac:dyDescent="0.25"/>
    <row r="22" s="5" customFormat="1" x14ac:dyDescent="0.25"/>
    <row r="23" s="5" customFormat="1" x14ac:dyDescent="0.25"/>
    <row r="24" s="5" customFormat="1" x14ac:dyDescent="0.25"/>
  </sheetData>
  <mergeCells count="1">
    <mergeCell ref="A1:D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750A1-838F-444D-B9BC-85478AE9D317}">
  <dimension ref="A1:M1756"/>
  <sheetViews>
    <sheetView workbookViewId="0">
      <selection activeCell="H7" sqref="H7"/>
    </sheetView>
  </sheetViews>
  <sheetFormatPr defaultRowHeight="13.8" x14ac:dyDescent="0.25"/>
  <cols>
    <col min="3" max="3" width="12.09765625" customWidth="1"/>
    <col min="8" max="8" width="13.796875" customWidth="1"/>
    <col min="9" max="9" width="14" customWidth="1"/>
    <col min="10" max="10" width="17.09765625" customWidth="1"/>
    <col min="11" max="11" width="16.59765625" customWidth="1"/>
    <col min="12" max="12" width="18.69921875" customWidth="1"/>
    <col min="13" max="13" width="22.3984375" customWidth="1"/>
  </cols>
  <sheetData>
    <row r="1" spans="1:13" s="5" customFormat="1" x14ac:dyDescent="0.25">
      <c r="A1" s="22" t="s">
        <v>0</v>
      </c>
      <c r="B1" s="23" t="s">
        <v>1</v>
      </c>
      <c r="C1" s="23" t="s">
        <v>2</v>
      </c>
      <c r="D1" s="23" t="s">
        <v>3349</v>
      </c>
      <c r="E1" s="23" t="s">
        <v>3</v>
      </c>
      <c r="F1" s="23" t="s">
        <v>4</v>
      </c>
      <c r="G1" s="24" t="s">
        <v>5</v>
      </c>
      <c r="H1" s="23" t="s">
        <v>3352</v>
      </c>
      <c r="I1" s="23" t="s">
        <v>6</v>
      </c>
      <c r="J1" s="23" t="s">
        <v>3353</v>
      </c>
      <c r="K1" s="23" t="s">
        <v>7</v>
      </c>
      <c r="L1" s="25" t="s">
        <v>3350</v>
      </c>
      <c r="M1" s="26" t="s">
        <v>3351</v>
      </c>
    </row>
    <row r="2" spans="1:13" s="5" customFormat="1" x14ac:dyDescent="0.25">
      <c r="A2" s="12" t="s">
        <v>8</v>
      </c>
      <c r="B2" s="13" t="s">
        <v>9</v>
      </c>
      <c r="C2" s="14">
        <v>45713</v>
      </c>
      <c r="D2" s="13">
        <v>2025</v>
      </c>
      <c r="E2" s="13" t="s">
        <v>10</v>
      </c>
      <c r="F2" s="13" t="s">
        <v>11</v>
      </c>
      <c r="G2" s="15">
        <v>1428.6</v>
      </c>
      <c r="H2" s="15">
        <v>1428.6</v>
      </c>
      <c r="I2" s="13">
        <v>4</v>
      </c>
      <c r="J2" s="13">
        <v>4</v>
      </c>
      <c r="K2" s="13" t="s">
        <v>3346</v>
      </c>
      <c r="L2" s="15">
        <v>357.15</v>
      </c>
      <c r="M2" s="16">
        <v>357.15</v>
      </c>
    </row>
    <row r="3" spans="1:13" s="5" customFormat="1" x14ac:dyDescent="0.25">
      <c r="A3" s="12" t="s">
        <v>12</v>
      </c>
      <c r="B3" s="13" t="s">
        <v>13</v>
      </c>
      <c r="C3" s="14">
        <v>44929</v>
      </c>
      <c r="D3" s="13">
        <v>2023</v>
      </c>
      <c r="E3" s="13" t="s">
        <v>14</v>
      </c>
      <c r="F3" s="13" t="s">
        <v>34</v>
      </c>
      <c r="G3" s="15">
        <v>264.27999999999997</v>
      </c>
      <c r="H3" s="15">
        <v>264.27999999999997</v>
      </c>
      <c r="I3" s="13">
        <v>7</v>
      </c>
      <c r="J3" s="13">
        <v>7</v>
      </c>
      <c r="K3" s="13" t="s">
        <v>15</v>
      </c>
      <c r="L3" s="15">
        <v>37.754285714285707</v>
      </c>
      <c r="M3" s="16">
        <v>37.754285714285707</v>
      </c>
    </row>
    <row r="4" spans="1:13" s="5" customFormat="1" x14ac:dyDescent="0.25">
      <c r="A4" s="12" t="s">
        <v>16</v>
      </c>
      <c r="B4" s="13" t="s">
        <v>17</v>
      </c>
      <c r="C4" s="14">
        <v>45869</v>
      </c>
      <c r="D4" s="13">
        <v>2025</v>
      </c>
      <c r="E4" s="13" t="s">
        <v>14</v>
      </c>
      <c r="F4" s="13" t="s">
        <v>22</v>
      </c>
      <c r="G4" s="15">
        <v>1229.1199999999999</v>
      </c>
      <c r="H4" s="15">
        <v>1229.1199999999999</v>
      </c>
      <c r="I4" s="13">
        <v>1</v>
      </c>
      <c r="J4" s="13">
        <v>1</v>
      </c>
      <c r="K4" s="13" t="s">
        <v>18</v>
      </c>
      <c r="L4" s="15">
        <v>1229.1199999999999</v>
      </c>
      <c r="M4" s="16">
        <v>1229.1199999999999</v>
      </c>
    </row>
    <row r="5" spans="1:13" s="5" customFormat="1" x14ac:dyDescent="0.25">
      <c r="A5" s="12" t="s">
        <v>19</v>
      </c>
      <c r="B5" s="13" t="s">
        <v>20</v>
      </c>
      <c r="C5" s="14">
        <v>45175</v>
      </c>
      <c r="D5" s="13">
        <v>2023</v>
      </c>
      <c r="E5" s="13" t="s">
        <v>21</v>
      </c>
      <c r="F5" s="13" t="s">
        <v>22</v>
      </c>
      <c r="G5" s="15">
        <v>684.78</v>
      </c>
      <c r="H5" s="15">
        <v>684.78</v>
      </c>
      <c r="I5" s="13">
        <v>1</v>
      </c>
      <c r="J5" s="13">
        <v>1</v>
      </c>
      <c r="K5" s="13" t="s">
        <v>15</v>
      </c>
      <c r="L5" s="15">
        <v>684.78</v>
      </c>
      <c r="M5" s="16">
        <v>684.78</v>
      </c>
    </row>
    <row r="6" spans="1:13" s="5" customFormat="1" x14ac:dyDescent="0.25">
      <c r="A6" s="12" t="s">
        <v>23</v>
      </c>
      <c r="B6" s="13" t="s">
        <v>24</v>
      </c>
      <c r="C6" s="14">
        <v>45882</v>
      </c>
      <c r="D6" s="13">
        <v>2025</v>
      </c>
      <c r="E6" s="13" t="s">
        <v>3347</v>
      </c>
      <c r="F6" s="13" t="s">
        <v>25</v>
      </c>
      <c r="G6" s="15">
        <v>1970.46</v>
      </c>
      <c r="H6" s="15">
        <v>1970.46</v>
      </c>
      <c r="I6" s="13">
        <v>3</v>
      </c>
      <c r="J6" s="13">
        <v>3</v>
      </c>
      <c r="K6" s="13" t="s">
        <v>15</v>
      </c>
      <c r="L6" s="15">
        <v>656.82</v>
      </c>
      <c r="M6" s="16">
        <v>656.82</v>
      </c>
    </row>
    <row r="7" spans="1:13" s="5" customFormat="1" x14ac:dyDescent="0.25">
      <c r="A7" s="12" t="s">
        <v>26</v>
      </c>
      <c r="B7" s="13" t="s">
        <v>27</v>
      </c>
      <c r="C7" s="14">
        <v>45726</v>
      </c>
      <c r="D7" s="13">
        <v>2025</v>
      </c>
      <c r="E7" s="13" t="s">
        <v>14</v>
      </c>
      <c r="F7" s="13" t="s">
        <v>22</v>
      </c>
      <c r="G7" s="15">
        <v>1214.24</v>
      </c>
      <c r="H7" s="15">
        <v>1214.24</v>
      </c>
      <c r="I7" s="13">
        <v>8</v>
      </c>
      <c r="J7" s="13">
        <v>8</v>
      </c>
      <c r="K7" s="13" t="s">
        <v>18</v>
      </c>
      <c r="L7" s="15">
        <v>151.78</v>
      </c>
      <c r="M7" s="16">
        <v>151.78</v>
      </c>
    </row>
    <row r="8" spans="1:13" s="5" customFormat="1" x14ac:dyDescent="0.25">
      <c r="A8" s="12" t="s">
        <v>28</v>
      </c>
      <c r="B8" s="13" t="s">
        <v>29</v>
      </c>
      <c r="C8" s="14">
        <v>45056</v>
      </c>
      <c r="D8" s="13">
        <v>2023</v>
      </c>
      <c r="E8" s="13" t="s">
        <v>3347</v>
      </c>
      <c r="F8" s="13" t="s">
        <v>11</v>
      </c>
      <c r="G8" s="15">
        <v>1716.91</v>
      </c>
      <c r="H8" s="15">
        <v>1716.91</v>
      </c>
      <c r="I8" s="13">
        <v>7</v>
      </c>
      <c r="J8" s="13">
        <v>7</v>
      </c>
      <c r="K8" s="13" t="s">
        <v>18</v>
      </c>
      <c r="L8" s="15">
        <v>245.27285714285716</v>
      </c>
      <c r="M8" s="16">
        <v>245.27285714285716</v>
      </c>
    </row>
    <row r="9" spans="1:13" s="5" customFormat="1" x14ac:dyDescent="0.25">
      <c r="A9" s="12" t="s">
        <v>30</v>
      </c>
      <c r="B9" s="13" t="s">
        <v>31</v>
      </c>
      <c r="C9" s="14">
        <v>45385</v>
      </c>
      <c r="D9" s="13">
        <v>2024</v>
      </c>
      <c r="E9" s="13" t="s">
        <v>10</v>
      </c>
      <c r="F9" s="13" t="s">
        <v>34</v>
      </c>
      <c r="G9" s="15">
        <v>157.07</v>
      </c>
      <c r="H9" s="15">
        <v>157.07</v>
      </c>
      <c r="I9" s="13">
        <v>8</v>
      </c>
      <c r="J9" s="13">
        <v>8</v>
      </c>
      <c r="K9" s="13" t="s">
        <v>3346</v>
      </c>
      <c r="L9" s="15">
        <v>19.633749999999999</v>
      </c>
      <c r="M9" s="16">
        <v>19.633749999999999</v>
      </c>
    </row>
    <row r="10" spans="1:13" s="5" customFormat="1" x14ac:dyDescent="0.25">
      <c r="A10" s="12" t="s">
        <v>32</v>
      </c>
      <c r="B10" s="13" t="s">
        <v>33</v>
      </c>
      <c r="C10" s="14">
        <v>45071</v>
      </c>
      <c r="D10" s="13">
        <v>2023</v>
      </c>
      <c r="E10" s="13" t="s">
        <v>3347</v>
      </c>
      <c r="F10" s="13" t="s">
        <v>34</v>
      </c>
      <c r="G10" s="15">
        <v>604.16999999999996</v>
      </c>
      <c r="H10" s="15">
        <v>604.16999999999996</v>
      </c>
      <c r="I10" s="13"/>
      <c r="J10" s="13">
        <v>4</v>
      </c>
      <c r="K10" s="13" t="s">
        <v>35</v>
      </c>
      <c r="L10" s="15">
        <v>164.27409375000002</v>
      </c>
      <c r="M10" s="16">
        <v>164.27409375000002</v>
      </c>
    </row>
    <row r="11" spans="1:13" s="5" customFormat="1" x14ac:dyDescent="0.25">
      <c r="A11" s="12" t="s">
        <v>36</v>
      </c>
      <c r="B11" s="13" t="s">
        <v>37</v>
      </c>
      <c r="C11" s="14">
        <v>45168</v>
      </c>
      <c r="D11" s="13">
        <v>2023</v>
      </c>
      <c r="E11" s="13" t="s">
        <v>10</v>
      </c>
      <c r="F11" s="13" t="s">
        <v>22</v>
      </c>
      <c r="G11" s="15">
        <v>1498.65</v>
      </c>
      <c r="H11" s="15">
        <v>1498.65</v>
      </c>
      <c r="I11" s="13">
        <v>10</v>
      </c>
      <c r="J11" s="13">
        <v>10</v>
      </c>
      <c r="K11" s="13" t="s">
        <v>3346</v>
      </c>
      <c r="L11" s="15">
        <v>149.86500000000001</v>
      </c>
      <c r="M11" s="16">
        <v>149.86500000000001</v>
      </c>
    </row>
    <row r="12" spans="1:13" s="5" customFormat="1" x14ac:dyDescent="0.25">
      <c r="A12" s="12" t="s">
        <v>38</v>
      </c>
      <c r="B12" s="13" t="s">
        <v>39</v>
      </c>
      <c r="C12" s="14">
        <v>44964</v>
      </c>
      <c r="D12" s="13">
        <v>2023</v>
      </c>
      <c r="E12" s="13" t="s">
        <v>10</v>
      </c>
      <c r="F12" s="13" t="s">
        <v>11</v>
      </c>
      <c r="G12" s="15"/>
      <c r="H12" s="15">
        <v>1747.8556666666666</v>
      </c>
      <c r="I12" s="13">
        <v>3</v>
      </c>
      <c r="J12" s="13">
        <v>3</v>
      </c>
      <c r="K12" s="13" t="s">
        <v>35</v>
      </c>
      <c r="L12" s="15">
        <v>582.61855555555553</v>
      </c>
      <c r="M12" s="16">
        <v>582.61855555555553</v>
      </c>
    </row>
    <row r="13" spans="1:13" s="5" customFormat="1" x14ac:dyDescent="0.25">
      <c r="A13" s="12" t="s">
        <v>40</v>
      </c>
      <c r="B13" s="13" t="s">
        <v>41</v>
      </c>
      <c r="C13" s="14">
        <v>45116</v>
      </c>
      <c r="D13" s="13">
        <v>2023</v>
      </c>
      <c r="E13" s="13" t="s">
        <v>10</v>
      </c>
      <c r="F13" s="13" t="s">
        <v>22</v>
      </c>
      <c r="G13" s="15">
        <v>924.82</v>
      </c>
      <c r="H13" s="15">
        <v>924.82</v>
      </c>
      <c r="I13" s="13">
        <v>10</v>
      </c>
      <c r="J13" s="13">
        <v>10</v>
      </c>
      <c r="K13" s="13" t="s">
        <v>15</v>
      </c>
      <c r="L13" s="15">
        <v>92.481999999999999</v>
      </c>
      <c r="M13" s="16">
        <v>92.481999999999999</v>
      </c>
    </row>
    <row r="14" spans="1:13" s="5" customFormat="1" x14ac:dyDescent="0.25">
      <c r="A14" s="12" t="s">
        <v>42</v>
      </c>
      <c r="B14" s="13" t="s">
        <v>43</v>
      </c>
      <c r="C14" s="14">
        <v>45497</v>
      </c>
      <c r="D14" s="13">
        <v>2024</v>
      </c>
      <c r="E14" s="13" t="s">
        <v>14</v>
      </c>
      <c r="F14" s="13" t="s">
        <v>34</v>
      </c>
      <c r="G14" s="15">
        <v>1774.52</v>
      </c>
      <c r="H14" s="15">
        <v>1774.52</v>
      </c>
      <c r="I14" s="13">
        <v>10</v>
      </c>
      <c r="J14" s="13">
        <v>10</v>
      </c>
      <c r="K14" s="13" t="s">
        <v>3348</v>
      </c>
      <c r="L14" s="15">
        <v>177.452</v>
      </c>
      <c r="M14" s="16">
        <v>177.452</v>
      </c>
    </row>
    <row r="15" spans="1:13" s="5" customFormat="1" x14ac:dyDescent="0.25">
      <c r="A15" s="12" t="s">
        <v>44</v>
      </c>
      <c r="B15" s="13" t="s">
        <v>45</v>
      </c>
      <c r="C15" s="14">
        <v>45729</v>
      </c>
      <c r="D15" s="13">
        <v>2025</v>
      </c>
      <c r="E15" s="13" t="s">
        <v>10</v>
      </c>
      <c r="F15" s="13" t="s">
        <v>34</v>
      </c>
      <c r="G15" s="15">
        <v>179.62</v>
      </c>
      <c r="H15" s="15">
        <v>179.62</v>
      </c>
      <c r="I15" s="13">
        <v>5</v>
      </c>
      <c r="J15" s="13">
        <v>5</v>
      </c>
      <c r="K15" s="13" t="s">
        <v>3348</v>
      </c>
      <c r="L15" s="15">
        <v>35.923999999999999</v>
      </c>
      <c r="M15" s="16">
        <v>35.923999999999999</v>
      </c>
    </row>
    <row r="16" spans="1:13" s="5" customFormat="1" x14ac:dyDescent="0.25">
      <c r="A16" s="12" t="s">
        <v>46</v>
      </c>
      <c r="B16" s="13" t="s">
        <v>47</v>
      </c>
      <c r="C16" s="14">
        <v>45149</v>
      </c>
      <c r="D16" s="13">
        <v>2023</v>
      </c>
      <c r="E16" s="13" t="s">
        <v>3347</v>
      </c>
      <c r="F16" s="13" t="s">
        <v>34</v>
      </c>
      <c r="G16" s="15">
        <v>1075.44</v>
      </c>
      <c r="H16" s="15">
        <v>1075.44</v>
      </c>
      <c r="I16" s="13">
        <v>10</v>
      </c>
      <c r="J16" s="13">
        <v>10</v>
      </c>
      <c r="K16" s="13" t="s">
        <v>35</v>
      </c>
      <c r="L16" s="15">
        <v>107.54400000000001</v>
      </c>
      <c r="M16" s="16">
        <v>107.54400000000001</v>
      </c>
    </row>
    <row r="17" spans="1:13" s="5" customFormat="1" x14ac:dyDescent="0.25">
      <c r="A17" s="12" t="s">
        <v>48</v>
      </c>
      <c r="B17" s="13" t="s">
        <v>49</v>
      </c>
      <c r="C17" s="14">
        <v>45579</v>
      </c>
      <c r="D17" s="13">
        <v>2024</v>
      </c>
      <c r="E17" s="13" t="s">
        <v>21</v>
      </c>
      <c r="F17" s="13" t="s">
        <v>34</v>
      </c>
      <c r="G17" s="15">
        <v>202.51</v>
      </c>
      <c r="H17" s="15">
        <v>202.51</v>
      </c>
      <c r="I17" s="13">
        <v>6</v>
      </c>
      <c r="J17" s="13">
        <v>6</v>
      </c>
      <c r="K17" s="13" t="s">
        <v>3346</v>
      </c>
      <c r="L17" s="15">
        <v>33.751666666666665</v>
      </c>
      <c r="M17" s="16">
        <v>33.751666666666665</v>
      </c>
    </row>
    <row r="18" spans="1:13" s="5" customFormat="1" x14ac:dyDescent="0.25">
      <c r="A18" s="12" t="s">
        <v>50</v>
      </c>
      <c r="B18" s="13" t="s">
        <v>51</v>
      </c>
      <c r="C18" s="14">
        <v>45226</v>
      </c>
      <c r="D18" s="13">
        <v>2023</v>
      </c>
      <c r="E18" s="13" t="s">
        <v>10</v>
      </c>
      <c r="F18" s="13" t="s">
        <v>34</v>
      </c>
      <c r="G18" s="15">
        <v>803.76</v>
      </c>
      <c r="H18" s="15">
        <v>803.76</v>
      </c>
      <c r="I18" s="13">
        <v>10</v>
      </c>
      <c r="J18" s="13">
        <v>10</v>
      </c>
      <c r="K18" s="13" t="s">
        <v>3348</v>
      </c>
      <c r="L18" s="15">
        <v>80.376000000000005</v>
      </c>
      <c r="M18" s="16">
        <v>80.376000000000005</v>
      </c>
    </row>
    <row r="19" spans="1:13" s="5" customFormat="1" x14ac:dyDescent="0.25">
      <c r="A19" s="12" t="s">
        <v>52</v>
      </c>
      <c r="B19" s="13" t="s">
        <v>53</v>
      </c>
      <c r="C19" s="14">
        <v>45916</v>
      </c>
      <c r="D19" s="13">
        <v>2025</v>
      </c>
      <c r="E19" s="13" t="s">
        <v>3347</v>
      </c>
      <c r="F19" s="13" t="s">
        <v>34</v>
      </c>
      <c r="G19" s="15">
        <v>1002.66</v>
      </c>
      <c r="H19" s="15">
        <v>1002.66</v>
      </c>
      <c r="I19" s="13">
        <v>4</v>
      </c>
      <c r="J19" s="13">
        <v>4</v>
      </c>
      <c r="K19" s="13" t="s">
        <v>3348</v>
      </c>
      <c r="L19" s="15">
        <v>250.66499999999999</v>
      </c>
      <c r="M19" s="16">
        <v>250.66499999999999</v>
      </c>
    </row>
    <row r="20" spans="1:13" s="5" customFormat="1" x14ac:dyDescent="0.25">
      <c r="A20" s="12" t="s">
        <v>54</v>
      </c>
      <c r="B20" s="13" t="s">
        <v>55</v>
      </c>
      <c r="C20" s="14">
        <v>45906</v>
      </c>
      <c r="D20" s="13">
        <v>2025</v>
      </c>
      <c r="E20" s="13" t="s">
        <v>14</v>
      </c>
      <c r="F20" s="13" t="s">
        <v>22</v>
      </c>
      <c r="G20" s="15">
        <v>1153.22</v>
      </c>
      <c r="H20" s="15">
        <v>1153.22</v>
      </c>
      <c r="I20" s="13">
        <v>1</v>
      </c>
      <c r="J20" s="13">
        <v>1</v>
      </c>
      <c r="K20" s="13" t="s">
        <v>3346</v>
      </c>
      <c r="L20" s="15">
        <v>1153.22</v>
      </c>
      <c r="M20" s="16">
        <v>1153.22</v>
      </c>
    </row>
    <row r="21" spans="1:13" s="5" customFormat="1" x14ac:dyDescent="0.25">
      <c r="A21" s="12" t="s">
        <v>56</v>
      </c>
      <c r="B21" s="13" t="s">
        <v>57</v>
      </c>
      <c r="C21" s="14">
        <v>45706</v>
      </c>
      <c r="D21" s="13">
        <v>2025</v>
      </c>
      <c r="E21" s="13" t="s">
        <v>3347</v>
      </c>
      <c r="F21" s="13" t="s">
        <v>34</v>
      </c>
      <c r="G21" s="15">
        <v>896.2</v>
      </c>
      <c r="H21" s="15">
        <v>896.2</v>
      </c>
      <c r="I21" s="13">
        <v>5</v>
      </c>
      <c r="J21" s="13">
        <v>5</v>
      </c>
      <c r="K21" s="13" t="s">
        <v>35</v>
      </c>
      <c r="L21" s="15">
        <v>179.24</v>
      </c>
      <c r="M21" s="16">
        <v>179.24</v>
      </c>
    </row>
    <row r="22" spans="1:13" s="5" customFormat="1" x14ac:dyDescent="0.25">
      <c r="A22" s="12" t="s">
        <v>58</v>
      </c>
      <c r="B22" s="13" t="s">
        <v>59</v>
      </c>
      <c r="C22" s="14">
        <v>45186</v>
      </c>
      <c r="D22" s="13">
        <v>2023</v>
      </c>
      <c r="E22" s="13" t="s">
        <v>3347</v>
      </c>
      <c r="F22" s="13" t="s">
        <v>22</v>
      </c>
      <c r="G22" s="15"/>
      <c r="H22" s="15">
        <v>3404.1828095238097</v>
      </c>
      <c r="I22" s="13">
        <v>9</v>
      </c>
      <c r="J22" s="13">
        <v>9</v>
      </c>
      <c r="K22" s="13" t="s">
        <v>3346</v>
      </c>
      <c r="L22" s="15">
        <v>378.24253439153443</v>
      </c>
      <c r="M22" s="16">
        <v>378.24253439153443</v>
      </c>
    </row>
    <row r="23" spans="1:13" s="5" customFormat="1" x14ac:dyDescent="0.25">
      <c r="A23" s="12" t="s">
        <v>60</v>
      </c>
      <c r="B23" s="13" t="s">
        <v>61</v>
      </c>
      <c r="C23" s="14">
        <v>45204</v>
      </c>
      <c r="D23" s="13">
        <v>2023</v>
      </c>
      <c r="E23" s="13" t="s">
        <v>21</v>
      </c>
      <c r="F23" s="13" t="s">
        <v>25</v>
      </c>
      <c r="G23" s="15">
        <v>253.65</v>
      </c>
      <c r="H23" s="15">
        <v>253.65</v>
      </c>
      <c r="I23" s="13">
        <v>10</v>
      </c>
      <c r="J23" s="13">
        <v>10</v>
      </c>
      <c r="K23" s="13" t="s">
        <v>18</v>
      </c>
      <c r="L23" s="15">
        <v>25.365000000000002</v>
      </c>
      <c r="M23" s="16">
        <v>25.365000000000002</v>
      </c>
    </row>
    <row r="24" spans="1:13" s="5" customFormat="1" x14ac:dyDescent="0.25">
      <c r="A24" s="12" t="s">
        <v>62</v>
      </c>
      <c r="B24" s="13" t="s">
        <v>63</v>
      </c>
      <c r="C24" s="14">
        <v>45851</v>
      </c>
      <c r="D24" s="13">
        <v>2025</v>
      </c>
      <c r="E24" s="13" t="s">
        <v>14</v>
      </c>
      <c r="F24" s="13" t="s">
        <v>25</v>
      </c>
      <c r="G24" s="15">
        <v>1110.18</v>
      </c>
      <c r="H24" s="15">
        <v>1110.18</v>
      </c>
      <c r="I24" s="13">
        <v>4</v>
      </c>
      <c r="J24" s="13">
        <v>4</v>
      </c>
      <c r="K24" s="13" t="s">
        <v>18</v>
      </c>
      <c r="L24" s="15">
        <v>277.54500000000002</v>
      </c>
      <c r="M24" s="16">
        <v>277.54500000000002</v>
      </c>
    </row>
    <row r="25" spans="1:13" s="5" customFormat="1" x14ac:dyDescent="0.25">
      <c r="A25" s="12" t="s">
        <v>64</v>
      </c>
      <c r="B25" s="13" t="s">
        <v>65</v>
      </c>
      <c r="C25" s="14">
        <v>45795</v>
      </c>
      <c r="D25" s="13">
        <v>2025</v>
      </c>
      <c r="E25" s="13" t="s">
        <v>10</v>
      </c>
      <c r="F25" s="13" t="s">
        <v>34</v>
      </c>
      <c r="G25" s="15">
        <v>801.95</v>
      </c>
      <c r="H25" s="15">
        <v>801.95</v>
      </c>
      <c r="I25" s="13">
        <v>8</v>
      </c>
      <c r="J25" s="13">
        <v>8</v>
      </c>
      <c r="K25" s="13" t="s">
        <v>3346</v>
      </c>
      <c r="L25" s="15">
        <v>100.24375000000001</v>
      </c>
      <c r="M25" s="16">
        <v>100.24375000000001</v>
      </c>
    </row>
    <row r="26" spans="1:13" s="5" customFormat="1" x14ac:dyDescent="0.25">
      <c r="A26" s="12" t="s">
        <v>66</v>
      </c>
      <c r="B26" s="13" t="s">
        <v>67</v>
      </c>
      <c r="C26" s="14">
        <v>45570</v>
      </c>
      <c r="D26" s="13">
        <v>2024</v>
      </c>
      <c r="E26" s="13" t="s">
        <v>10</v>
      </c>
      <c r="F26" s="13" t="s">
        <v>22</v>
      </c>
      <c r="G26" s="15">
        <v>1444.05</v>
      </c>
      <c r="H26" s="15">
        <v>1444.05</v>
      </c>
      <c r="I26" s="13">
        <v>2</v>
      </c>
      <c r="J26" s="13">
        <v>2</v>
      </c>
      <c r="K26" s="13" t="s">
        <v>3348</v>
      </c>
      <c r="L26" s="15">
        <v>722.02499999999998</v>
      </c>
      <c r="M26" s="16">
        <v>722.02499999999998</v>
      </c>
    </row>
    <row r="27" spans="1:13" s="5" customFormat="1" x14ac:dyDescent="0.25">
      <c r="A27" s="12" t="s">
        <v>68</v>
      </c>
      <c r="B27" s="13" t="s">
        <v>69</v>
      </c>
      <c r="C27" s="14">
        <v>45855</v>
      </c>
      <c r="D27" s="13">
        <v>2025</v>
      </c>
      <c r="E27" s="13" t="s">
        <v>10</v>
      </c>
      <c r="F27" s="13" t="s">
        <v>34</v>
      </c>
      <c r="G27" s="15">
        <v>344.25</v>
      </c>
      <c r="H27" s="15">
        <v>344.25</v>
      </c>
      <c r="I27" s="13">
        <v>9</v>
      </c>
      <c r="J27" s="13">
        <v>9</v>
      </c>
      <c r="K27" s="13" t="s">
        <v>15</v>
      </c>
      <c r="L27" s="15">
        <v>38.25</v>
      </c>
      <c r="M27" s="16">
        <v>38.25</v>
      </c>
    </row>
    <row r="28" spans="1:13" s="5" customFormat="1" x14ac:dyDescent="0.25">
      <c r="A28" s="12" t="s">
        <v>70</v>
      </c>
      <c r="B28" s="13" t="s">
        <v>71</v>
      </c>
      <c r="C28" s="14">
        <v>45892</v>
      </c>
      <c r="D28" s="13">
        <v>2025</v>
      </c>
      <c r="E28" s="13" t="s">
        <v>10</v>
      </c>
      <c r="F28" s="13" t="s">
        <v>34</v>
      </c>
      <c r="G28" s="15">
        <v>787.32</v>
      </c>
      <c r="H28" s="15">
        <v>787.32</v>
      </c>
      <c r="I28" s="13">
        <v>7</v>
      </c>
      <c r="J28" s="13">
        <v>7</v>
      </c>
      <c r="K28" s="13" t="s">
        <v>3346</v>
      </c>
      <c r="L28" s="15">
        <v>112.47428571428573</v>
      </c>
      <c r="M28" s="16">
        <v>112.47428571428573</v>
      </c>
    </row>
    <row r="29" spans="1:13" s="5" customFormat="1" x14ac:dyDescent="0.25">
      <c r="A29" s="12" t="s">
        <v>72</v>
      </c>
      <c r="B29" s="13" t="s">
        <v>73</v>
      </c>
      <c r="C29" s="14">
        <v>45136</v>
      </c>
      <c r="D29" s="13">
        <v>2023</v>
      </c>
      <c r="E29" s="13" t="s">
        <v>3347</v>
      </c>
      <c r="F29" s="13" t="s">
        <v>22</v>
      </c>
      <c r="G29" s="15"/>
      <c r="H29" s="15">
        <v>2801.5739999999996</v>
      </c>
      <c r="I29" s="13">
        <v>8</v>
      </c>
      <c r="J29" s="13">
        <v>8</v>
      </c>
      <c r="K29" s="13" t="s">
        <v>35</v>
      </c>
      <c r="L29" s="15">
        <v>350.19674999999995</v>
      </c>
      <c r="M29" s="16">
        <v>350.19674999999995</v>
      </c>
    </row>
    <row r="30" spans="1:13" s="5" customFormat="1" x14ac:dyDescent="0.25">
      <c r="A30" s="12" t="s">
        <v>74</v>
      </c>
      <c r="B30" s="13" t="s">
        <v>75</v>
      </c>
      <c r="C30" s="14">
        <v>45729</v>
      </c>
      <c r="D30" s="13">
        <v>2025</v>
      </c>
      <c r="E30" s="13" t="s">
        <v>10</v>
      </c>
      <c r="F30" s="13" t="s">
        <v>34</v>
      </c>
      <c r="G30" s="15"/>
      <c r="H30" s="15">
        <v>2713.8864444444448</v>
      </c>
      <c r="I30" s="13">
        <v>8</v>
      </c>
      <c r="J30" s="13">
        <v>8</v>
      </c>
      <c r="K30" s="13" t="s">
        <v>35</v>
      </c>
      <c r="L30" s="15">
        <v>339.2358055555556</v>
      </c>
      <c r="M30" s="16">
        <v>339.2358055555556</v>
      </c>
    </row>
    <row r="31" spans="1:13" s="5" customFormat="1" x14ac:dyDescent="0.25">
      <c r="A31" s="12" t="s">
        <v>76</v>
      </c>
      <c r="B31" s="13" t="s">
        <v>77</v>
      </c>
      <c r="C31" s="14">
        <v>45214</v>
      </c>
      <c r="D31" s="13">
        <v>2023</v>
      </c>
      <c r="E31" s="13" t="s">
        <v>10</v>
      </c>
      <c r="F31" s="13" t="s">
        <v>11</v>
      </c>
      <c r="G31" s="15">
        <v>608.26</v>
      </c>
      <c r="H31" s="15">
        <v>608.26</v>
      </c>
      <c r="I31" s="13">
        <v>4</v>
      </c>
      <c r="J31" s="13">
        <v>4</v>
      </c>
      <c r="K31" s="13" t="s">
        <v>3346</v>
      </c>
      <c r="L31" s="15">
        <v>152.065</v>
      </c>
      <c r="M31" s="16">
        <v>152.065</v>
      </c>
    </row>
    <row r="32" spans="1:13" s="5" customFormat="1" x14ac:dyDescent="0.25">
      <c r="A32" s="12" t="s">
        <v>78</v>
      </c>
      <c r="B32" s="13" t="s">
        <v>79</v>
      </c>
      <c r="C32" s="14">
        <v>45823</v>
      </c>
      <c r="D32" s="13">
        <v>2025</v>
      </c>
      <c r="E32" s="13" t="s">
        <v>21</v>
      </c>
      <c r="F32" s="13" t="s">
        <v>34</v>
      </c>
      <c r="G32" s="15">
        <v>1069.98</v>
      </c>
      <c r="H32" s="15">
        <v>1069.98</v>
      </c>
      <c r="I32" s="13">
        <v>8</v>
      </c>
      <c r="J32" s="13">
        <v>8</v>
      </c>
      <c r="K32" s="13" t="s">
        <v>18</v>
      </c>
      <c r="L32" s="15">
        <v>133.7475</v>
      </c>
      <c r="M32" s="16">
        <v>133.7475</v>
      </c>
    </row>
    <row r="33" spans="1:13" s="5" customFormat="1" x14ac:dyDescent="0.25">
      <c r="A33" s="12" t="s">
        <v>80</v>
      </c>
      <c r="B33" s="13" t="s">
        <v>81</v>
      </c>
      <c r="C33" s="14">
        <v>45650</v>
      </c>
      <c r="D33" s="13">
        <v>2024</v>
      </c>
      <c r="E33" s="13" t="s">
        <v>21</v>
      </c>
      <c r="F33" s="13" t="s">
        <v>22</v>
      </c>
      <c r="G33" s="15"/>
      <c r="H33" s="15">
        <v>1291.2399</v>
      </c>
      <c r="I33" s="13">
        <v>6</v>
      </c>
      <c r="J33" s="13">
        <v>6</v>
      </c>
      <c r="K33" s="13" t="s">
        <v>3346</v>
      </c>
      <c r="L33" s="15">
        <v>215.20665</v>
      </c>
      <c r="M33" s="16">
        <v>215.20665</v>
      </c>
    </row>
    <row r="34" spans="1:13" s="5" customFormat="1" x14ac:dyDescent="0.25">
      <c r="A34" s="12" t="s">
        <v>82</v>
      </c>
      <c r="B34" s="13" t="s">
        <v>83</v>
      </c>
      <c r="C34" s="14">
        <v>45151</v>
      </c>
      <c r="D34" s="13">
        <v>2023</v>
      </c>
      <c r="E34" s="13" t="s">
        <v>14</v>
      </c>
      <c r="F34" s="13" t="s">
        <v>11</v>
      </c>
      <c r="G34" s="15"/>
      <c r="H34" s="15">
        <v>1291.1766666666667</v>
      </c>
      <c r="I34" s="13">
        <v>4</v>
      </c>
      <c r="J34" s="13">
        <v>4</v>
      </c>
      <c r="K34" s="13" t="s">
        <v>15</v>
      </c>
      <c r="L34" s="15">
        <v>322.79416666666668</v>
      </c>
      <c r="M34" s="16">
        <v>322.79416666666668</v>
      </c>
    </row>
    <row r="35" spans="1:13" s="5" customFormat="1" x14ac:dyDescent="0.25">
      <c r="A35" s="12" t="s">
        <v>84</v>
      </c>
      <c r="B35" s="13" t="s">
        <v>85</v>
      </c>
      <c r="C35" s="14">
        <v>45731</v>
      </c>
      <c r="D35" s="13">
        <v>2025</v>
      </c>
      <c r="E35" s="13" t="s">
        <v>14</v>
      </c>
      <c r="F35" s="13" t="s">
        <v>22</v>
      </c>
      <c r="G35" s="15">
        <v>1787.89</v>
      </c>
      <c r="H35" s="15">
        <v>1787.89</v>
      </c>
      <c r="I35" s="13">
        <v>2</v>
      </c>
      <c r="J35" s="13">
        <v>2</v>
      </c>
      <c r="K35" s="13" t="s">
        <v>3346</v>
      </c>
      <c r="L35" s="15">
        <v>893.94500000000005</v>
      </c>
      <c r="M35" s="16">
        <v>893.94500000000005</v>
      </c>
    </row>
    <row r="36" spans="1:13" s="5" customFormat="1" x14ac:dyDescent="0.25">
      <c r="A36" s="12" t="s">
        <v>86</v>
      </c>
      <c r="B36" s="13" t="s">
        <v>87</v>
      </c>
      <c r="C36" s="14">
        <v>45684</v>
      </c>
      <c r="D36" s="13">
        <v>2025</v>
      </c>
      <c r="E36" s="13" t="s">
        <v>3347</v>
      </c>
      <c r="F36" s="13" t="s">
        <v>11</v>
      </c>
      <c r="G36" s="15">
        <v>1299.95</v>
      </c>
      <c r="H36" s="15">
        <v>1299.95</v>
      </c>
      <c r="I36" s="13">
        <v>9</v>
      </c>
      <c r="J36" s="13">
        <v>9</v>
      </c>
      <c r="K36" s="13" t="s">
        <v>3346</v>
      </c>
      <c r="L36" s="15">
        <v>144.4388888888889</v>
      </c>
      <c r="M36" s="16">
        <v>144.4388888888889</v>
      </c>
    </row>
    <row r="37" spans="1:13" s="5" customFormat="1" x14ac:dyDescent="0.25">
      <c r="A37" s="12" t="s">
        <v>88</v>
      </c>
      <c r="B37" s="13" t="s">
        <v>89</v>
      </c>
      <c r="C37" s="14">
        <v>44949</v>
      </c>
      <c r="D37" s="13">
        <v>2023</v>
      </c>
      <c r="E37" s="13" t="s">
        <v>21</v>
      </c>
      <c r="F37" s="13" t="s">
        <v>22</v>
      </c>
      <c r="G37" s="15">
        <v>591.9</v>
      </c>
      <c r="H37" s="15">
        <v>591.9</v>
      </c>
      <c r="I37" s="13">
        <v>2</v>
      </c>
      <c r="J37" s="13">
        <v>2</v>
      </c>
      <c r="K37" s="13" t="s">
        <v>18</v>
      </c>
      <c r="L37" s="15">
        <v>295.95</v>
      </c>
      <c r="M37" s="16">
        <v>295.95</v>
      </c>
    </row>
    <row r="38" spans="1:13" s="5" customFormat="1" x14ac:dyDescent="0.25">
      <c r="A38" s="12" t="s">
        <v>90</v>
      </c>
      <c r="B38" s="13" t="s">
        <v>91</v>
      </c>
      <c r="C38" s="14">
        <v>45529</v>
      </c>
      <c r="D38" s="13">
        <v>2024</v>
      </c>
      <c r="E38" s="13" t="s">
        <v>14</v>
      </c>
      <c r="F38" s="13" t="s">
        <v>11</v>
      </c>
      <c r="G38" s="15">
        <v>805.52</v>
      </c>
      <c r="H38" s="15">
        <v>805.52</v>
      </c>
      <c r="I38" s="13">
        <v>1</v>
      </c>
      <c r="J38" s="13">
        <v>1</v>
      </c>
      <c r="K38" s="13" t="s">
        <v>3348</v>
      </c>
      <c r="L38" s="15">
        <v>805.52</v>
      </c>
      <c r="M38" s="16">
        <v>805.52</v>
      </c>
    </row>
    <row r="39" spans="1:13" s="5" customFormat="1" x14ac:dyDescent="0.25">
      <c r="A39" s="12" t="s">
        <v>92</v>
      </c>
      <c r="B39" s="13" t="s">
        <v>93</v>
      </c>
      <c r="C39" s="14">
        <v>45651</v>
      </c>
      <c r="D39" s="13">
        <v>2024</v>
      </c>
      <c r="E39" s="13" t="s">
        <v>3347</v>
      </c>
      <c r="F39" s="13" t="s">
        <v>34</v>
      </c>
      <c r="G39" s="15">
        <v>90.84</v>
      </c>
      <c r="H39" s="15">
        <v>90.84</v>
      </c>
      <c r="I39" s="13">
        <v>1</v>
      </c>
      <c r="J39" s="13">
        <v>1</v>
      </c>
      <c r="K39" s="13" t="s">
        <v>3348</v>
      </c>
      <c r="L39" s="15">
        <v>90.84</v>
      </c>
      <c r="M39" s="16">
        <v>90.84</v>
      </c>
    </row>
    <row r="40" spans="1:13" s="5" customFormat="1" x14ac:dyDescent="0.25">
      <c r="A40" s="12" t="s">
        <v>94</v>
      </c>
      <c r="B40" s="13" t="s">
        <v>95</v>
      </c>
      <c r="C40" s="14">
        <v>45669</v>
      </c>
      <c r="D40" s="13">
        <v>2025</v>
      </c>
      <c r="E40" s="13" t="s">
        <v>21</v>
      </c>
      <c r="F40" s="13" t="s">
        <v>34</v>
      </c>
      <c r="G40" s="15"/>
      <c r="H40" s="15">
        <v>1473.2333035714287</v>
      </c>
      <c r="I40" s="13">
        <v>9</v>
      </c>
      <c r="J40" s="13">
        <v>9</v>
      </c>
      <c r="K40" s="13" t="s">
        <v>18</v>
      </c>
      <c r="L40" s="15">
        <v>163.69258928571429</v>
      </c>
      <c r="M40" s="16">
        <v>163.69258928571429</v>
      </c>
    </row>
    <row r="41" spans="1:13" s="5" customFormat="1" x14ac:dyDescent="0.25">
      <c r="A41" s="12" t="s">
        <v>96</v>
      </c>
      <c r="B41" s="13" t="s">
        <v>97</v>
      </c>
      <c r="C41" s="14">
        <v>45057</v>
      </c>
      <c r="D41" s="13">
        <v>2023</v>
      </c>
      <c r="E41" s="13" t="s">
        <v>3347</v>
      </c>
      <c r="F41" s="13" t="s">
        <v>25</v>
      </c>
      <c r="G41" s="15">
        <v>1563.46</v>
      </c>
      <c r="H41" s="15">
        <v>1563.46</v>
      </c>
      <c r="I41" s="13">
        <v>1</v>
      </c>
      <c r="J41" s="13">
        <v>1</v>
      </c>
      <c r="K41" s="13" t="s">
        <v>15</v>
      </c>
      <c r="L41" s="15">
        <v>1563.46</v>
      </c>
      <c r="M41" s="16">
        <v>1563.46</v>
      </c>
    </row>
    <row r="42" spans="1:13" s="5" customFormat="1" x14ac:dyDescent="0.25">
      <c r="A42" s="12" t="s">
        <v>98</v>
      </c>
      <c r="B42" s="13" t="s">
        <v>99</v>
      </c>
      <c r="C42" s="14">
        <v>45604</v>
      </c>
      <c r="D42" s="13">
        <v>2024</v>
      </c>
      <c r="E42" s="13" t="s">
        <v>10</v>
      </c>
      <c r="F42" s="13" t="s">
        <v>11</v>
      </c>
      <c r="G42" s="15">
        <v>853.63</v>
      </c>
      <c r="H42" s="15">
        <v>853.63</v>
      </c>
      <c r="I42" s="13">
        <v>10</v>
      </c>
      <c r="J42" s="13">
        <v>10</v>
      </c>
      <c r="K42" s="13" t="s">
        <v>15</v>
      </c>
      <c r="L42" s="15">
        <v>85.363</v>
      </c>
      <c r="M42" s="16">
        <v>85.363</v>
      </c>
    </row>
    <row r="43" spans="1:13" s="5" customFormat="1" x14ac:dyDescent="0.25">
      <c r="A43" s="12" t="s">
        <v>100</v>
      </c>
      <c r="B43" s="13" t="s">
        <v>101</v>
      </c>
      <c r="C43" s="14">
        <v>45340</v>
      </c>
      <c r="D43" s="13">
        <v>2024</v>
      </c>
      <c r="E43" s="13" t="s">
        <v>3347</v>
      </c>
      <c r="F43" s="13" t="s">
        <v>34</v>
      </c>
      <c r="G43" s="15">
        <v>1564.49</v>
      </c>
      <c r="H43" s="15">
        <v>1564.49</v>
      </c>
      <c r="I43" s="13">
        <v>6</v>
      </c>
      <c r="J43" s="13">
        <v>6</v>
      </c>
      <c r="K43" s="13" t="s">
        <v>3346</v>
      </c>
      <c r="L43" s="15">
        <v>260.74833333333333</v>
      </c>
      <c r="M43" s="16">
        <v>260.74833333333333</v>
      </c>
    </row>
    <row r="44" spans="1:13" s="5" customFormat="1" x14ac:dyDescent="0.25">
      <c r="A44" s="12" t="s">
        <v>102</v>
      </c>
      <c r="B44" s="13" t="s">
        <v>103</v>
      </c>
      <c r="C44" s="14">
        <v>45600</v>
      </c>
      <c r="D44" s="13">
        <v>2024</v>
      </c>
      <c r="E44" s="13" t="s">
        <v>10</v>
      </c>
      <c r="F44" s="13" t="s">
        <v>22</v>
      </c>
      <c r="G44" s="15">
        <v>388.29</v>
      </c>
      <c r="H44" s="15">
        <v>388.29</v>
      </c>
      <c r="I44" s="13">
        <v>6</v>
      </c>
      <c r="J44" s="13">
        <v>6</v>
      </c>
      <c r="K44" s="13" t="s">
        <v>35</v>
      </c>
      <c r="L44" s="15">
        <v>64.715000000000003</v>
      </c>
      <c r="M44" s="16">
        <v>64.715000000000003</v>
      </c>
    </row>
    <row r="45" spans="1:13" s="5" customFormat="1" x14ac:dyDescent="0.25">
      <c r="A45" s="12" t="s">
        <v>104</v>
      </c>
      <c r="B45" s="13" t="s">
        <v>105</v>
      </c>
      <c r="C45" s="14">
        <v>44946</v>
      </c>
      <c r="D45" s="13">
        <v>2023</v>
      </c>
      <c r="E45" s="13" t="s">
        <v>3347</v>
      </c>
      <c r="F45" s="13" t="s">
        <v>22</v>
      </c>
      <c r="G45" s="15"/>
      <c r="H45" s="15">
        <v>1473.7322486772484</v>
      </c>
      <c r="I45" s="13">
        <v>8</v>
      </c>
      <c r="J45" s="13">
        <v>8</v>
      </c>
      <c r="K45" s="13" t="s">
        <v>18</v>
      </c>
      <c r="L45" s="15">
        <v>184.21653108465605</v>
      </c>
      <c r="M45" s="16">
        <v>184.21653108465605</v>
      </c>
    </row>
    <row r="46" spans="1:13" s="5" customFormat="1" x14ac:dyDescent="0.25">
      <c r="A46" s="12" t="s">
        <v>106</v>
      </c>
      <c r="B46" s="13" t="s">
        <v>107</v>
      </c>
      <c r="C46" s="14">
        <v>45923</v>
      </c>
      <c r="D46" s="13">
        <v>2025</v>
      </c>
      <c r="E46" s="13" t="s">
        <v>10</v>
      </c>
      <c r="F46" s="13" t="s">
        <v>11</v>
      </c>
      <c r="G46" s="15">
        <v>1984.26</v>
      </c>
      <c r="H46" s="15">
        <v>1984.26</v>
      </c>
      <c r="I46" s="13">
        <v>9</v>
      </c>
      <c r="J46" s="13">
        <v>9</v>
      </c>
      <c r="K46" s="13" t="s">
        <v>15</v>
      </c>
      <c r="L46" s="15">
        <v>220.47333333333333</v>
      </c>
      <c r="M46" s="16">
        <v>220.47333333333333</v>
      </c>
    </row>
    <row r="47" spans="1:13" s="5" customFormat="1" x14ac:dyDescent="0.25">
      <c r="A47" s="12" t="s">
        <v>108</v>
      </c>
      <c r="B47" s="13" t="s">
        <v>109</v>
      </c>
      <c r="C47" s="14">
        <v>44862</v>
      </c>
      <c r="D47" s="13">
        <v>2022</v>
      </c>
      <c r="E47" s="13" t="s">
        <v>10</v>
      </c>
      <c r="F47" s="13" t="s">
        <v>22</v>
      </c>
      <c r="G47" s="15"/>
      <c r="H47" s="15">
        <v>1980.8503333333333</v>
      </c>
      <c r="I47" s="13">
        <v>6</v>
      </c>
      <c r="J47" s="13">
        <v>6</v>
      </c>
      <c r="K47" s="13" t="s">
        <v>3346</v>
      </c>
      <c r="L47" s="15">
        <v>330.1417222222222</v>
      </c>
      <c r="M47" s="16">
        <v>330.1417222222222</v>
      </c>
    </row>
    <row r="48" spans="1:13" s="5" customFormat="1" x14ac:dyDescent="0.25">
      <c r="A48" s="12" t="s">
        <v>110</v>
      </c>
      <c r="B48" s="13" t="s">
        <v>111</v>
      </c>
      <c r="C48" s="14">
        <v>45664</v>
      </c>
      <c r="D48" s="13">
        <v>2025</v>
      </c>
      <c r="E48" s="13" t="s">
        <v>21</v>
      </c>
      <c r="F48" s="13" t="s">
        <v>22</v>
      </c>
      <c r="G48" s="15">
        <v>1596.95</v>
      </c>
      <c r="H48" s="15">
        <v>1596.95</v>
      </c>
      <c r="I48" s="13">
        <v>4</v>
      </c>
      <c r="J48" s="13">
        <v>4</v>
      </c>
      <c r="K48" s="13" t="s">
        <v>3346</v>
      </c>
      <c r="L48" s="15">
        <v>399.23750000000001</v>
      </c>
      <c r="M48" s="16">
        <v>399.23750000000001</v>
      </c>
    </row>
    <row r="49" spans="1:13" s="5" customFormat="1" x14ac:dyDescent="0.25">
      <c r="A49" s="12" t="s">
        <v>112</v>
      </c>
      <c r="B49" s="13" t="s">
        <v>113</v>
      </c>
      <c r="C49" s="14">
        <v>45487</v>
      </c>
      <c r="D49" s="13">
        <v>2024</v>
      </c>
      <c r="E49" s="13" t="s">
        <v>14</v>
      </c>
      <c r="F49" s="13" t="s">
        <v>22</v>
      </c>
      <c r="G49" s="15">
        <v>700.29</v>
      </c>
      <c r="H49" s="15">
        <v>700.29</v>
      </c>
      <c r="I49" s="13"/>
      <c r="J49" s="13">
        <v>5</v>
      </c>
      <c r="K49" s="13" t="s">
        <v>3346</v>
      </c>
      <c r="L49" s="15">
        <v>140.05799999999999</v>
      </c>
      <c r="M49" s="16">
        <v>138.48499553571429</v>
      </c>
    </row>
    <row r="50" spans="1:13" s="5" customFormat="1" x14ac:dyDescent="0.25">
      <c r="A50" s="12" t="s">
        <v>114</v>
      </c>
      <c r="B50" s="13" t="s">
        <v>115</v>
      </c>
      <c r="C50" s="14">
        <v>45686</v>
      </c>
      <c r="D50" s="13">
        <v>2025</v>
      </c>
      <c r="E50" s="13" t="s">
        <v>3347</v>
      </c>
      <c r="F50" s="13" t="s">
        <v>22</v>
      </c>
      <c r="G50" s="15">
        <v>1876.56</v>
      </c>
      <c r="H50" s="15">
        <v>1876.56</v>
      </c>
      <c r="I50" s="13">
        <v>2</v>
      </c>
      <c r="J50" s="13">
        <v>2</v>
      </c>
      <c r="K50" s="13" t="s">
        <v>18</v>
      </c>
      <c r="L50" s="15">
        <v>938.28</v>
      </c>
      <c r="M50" s="16">
        <v>938.28</v>
      </c>
    </row>
    <row r="51" spans="1:13" s="5" customFormat="1" x14ac:dyDescent="0.25">
      <c r="A51" s="12" t="s">
        <v>116</v>
      </c>
      <c r="B51" s="13" t="s">
        <v>117</v>
      </c>
      <c r="C51" s="14">
        <v>44997</v>
      </c>
      <c r="D51" s="13">
        <v>2023</v>
      </c>
      <c r="E51" s="13" t="s">
        <v>21</v>
      </c>
      <c r="F51" s="13" t="s">
        <v>11</v>
      </c>
      <c r="G51" s="15">
        <v>917.36</v>
      </c>
      <c r="H51" s="15">
        <v>917.36</v>
      </c>
      <c r="I51" s="13">
        <v>10</v>
      </c>
      <c r="J51" s="13">
        <v>10</v>
      </c>
      <c r="K51" s="13" t="s">
        <v>3348</v>
      </c>
      <c r="L51" s="15">
        <v>91.736000000000004</v>
      </c>
      <c r="M51" s="16">
        <v>91.736000000000004</v>
      </c>
    </row>
    <row r="52" spans="1:13" s="5" customFormat="1" x14ac:dyDescent="0.25">
      <c r="A52" s="12" t="s">
        <v>118</v>
      </c>
      <c r="B52" s="13" t="s">
        <v>119</v>
      </c>
      <c r="C52" s="14">
        <v>45591</v>
      </c>
      <c r="D52" s="13">
        <v>2024</v>
      </c>
      <c r="E52" s="13" t="s">
        <v>10</v>
      </c>
      <c r="F52" s="13" t="s">
        <v>11</v>
      </c>
      <c r="G52" s="15">
        <v>779.44</v>
      </c>
      <c r="H52" s="15">
        <v>779.44</v>
      </c>
      <c r="I52" s="13">
        <v>10</v>
      </c>
      <c r="J52" s="13">
        <v>10</v>
      </c>
      <c r="K52" s="13" t="s">
        <v>3346</v>
      </c>
      <c r="L52" s="15">
        <v>77.944000000000003</v>
      </c>
      <c r="M52" s="16">
        <v>77.944000000000003</v>
      </c>
    </row>
    <row r="53" spans="1:13" s="5" customFormat="1" x14ac:dyDescent="0.25">
      <c r="A53" s="12" t="s">
        <v>120</v>
      </c>
      <c r="B53" s="13" t="s">
        <v>121</v>
      </c>
      <c r="C53" s="14">
        <v>45614</v>
      </c>
      <c r="D53" s="13">
        <v>2024</v>
      </c>
      <c r="E53" s="13" t="s">
        <v>21</v>
      </c>
      <c r="F53" s="13" t="s">
        <v>25</v>
      </c>
      <c r="G53" s="15">
        <v>170.59</v>
      </c>
      <c r="H53" s="15">
        <v>170.59</v>
      </c>
      <c r="I53" s="13">
        <v>6</v>
      </c>
      <c r="J53" s="13">
        <v>6</v>
      </c>
      <c r="K53" s="13" t="s">
        <v>3346</v>
      </c>
      <c r="L53" s="15">
        <v>28.431666666666668</v>
      </c>
      <c r="M53" s="16">
        <v>28.431666666666668</v>
      </c>
    </row>
    <row r="54" spans="1:13" s="5" customFormat="1" x14ac:dyDescent="0.25">
      <c r="A54" s="12" t="s">
        <v>122</v>
      </c>
      <c r="B54" s="13" t="s">
        <v>123</v>
      </c>
      <c r="C54" s="14">
        <v>45443</v>
      </c>
      <c r="D54" s="13">
        <v>2024</v>
      </c>
      <c r="E54" s="13" t="s">
        <v>10</v>
      </c>
      <c r="F54" s="13" t="s">
        <v>11</v>
      </c>
      <c r="G54" s="15">
        <v>1930.94</v>
      </c>
      <c r="H54" s="15">
        <v>1930.94</v>
      </c>
      <c r="I54" s="13">
        <v>6</v>
      </c>
      <c r="J54" s="13">
        <v>6</v>
      </c>
      <c r="K54" s="13" t="s">
        <v>15</v>
      </c>
      <c r="L54" s="15">
        <v>321.82333333333332</v>
      </c>
      <c r="M54" s="16">
        <v>321.82333333333332</v>
      </c>
    </row>
    <row r="55" spans="1:13" s="5" customFormat="1" x14ac:dyDescent="0.25">
      <c r="A55" s="12" t="s">
        <v>124</v>
      </c>
      <c r="B55" s="13" t="s">
        <v>125</v>
      </c>
      <c r="C55" s="14">
        <v>45561</v>
      </c>
      <c r="D55" s="13">
        <v>2024</v>
      </c>
      <c r="E55" s="13" t="s">
        <v>14</v>
      </c>
      <c r="F55" s="13" t="s">
        <v>34</v>
      </c>
      <c r="G55" s="15">
        <v>100.19</v>
      </c>
      <c r="H55" s="15">
        <v>100.19</v>
      </c>
      <c r="I55" s="13">
        <v>1</v>
      </c>
      <c r="J55" s="13">
        <v>1</v>
      </c>
      <c r="K55" s="13" t="s">
        <v>3348</v>
      </c>
      <c r="L55" s="15">
        <v>100.19</v>
      </c>
      <c r="M55" s="16">
        <v>100.19</v>
      </c>
    </row>
    <row r="56" spans="1:13" s="5" customFormat="1" x14ac:dyDescent="0.25">
      <c r="A56" s="12" t="s">
        <v>126</v>
      </c>
      <c r="B56" s="13" t="s">
        <v>127</v>
      </c>
      <c r="C56" s="14">
        <v>45346</v>
      </c>
      <c r="D56" s="13">
        <v>2024</v>
      </c>
      <c r="E56" s="13" t="s">
        <v>3347</v>
      </c>
      <c r="F56" s="13" t="s">
        <v>34</v>
      </c>
      <c r="G56" s="15">
        <v>789.66</v>
      </c>
      <c r="H56" s="15">
        <v>789.66</v>
      </c>
      <c r="I56" s="13">
        <v>9</v>
      </c>
      <c r="J56" s="13">
        <v>9</v>
      </c>
      <c r="K56" s="13" t="s">
        <v>3346</v>
      </c>
      <c r="L56" s="15">
        <v>87.74</v>
      </c>
      <c r="M56" s="16">
        <v>87.74</v>
      </c>
    </row>
    <row r="57" spans="1:13" s="5" customFormat="1" x14ac:dyDescent="0.25">
      <c r="A57" s="12" t="s">
        <v>128</v>
      </c>
      <c r="B57" s="13" t="s">
        <v>129</v>
      </c>
      <c r="C57" s="14">
        <v>45778</v>
      </c>
      <c r="D57" s="13">
        <v>2025</v>
      </c>
      <c r="E57" s="13" t="s">
        <v>10</v>
      </c>
      <c r="F57" s="13" t="s">
        <v>22</v>
      </c>
      <c r="G57" s="15">
        <v>48.17</v>
      </c>
      <c r="H57" s="15">
        <v>48.17</v>
      </c>
      <c r="I57" s="13">
        <v>4</v>
      </c>
      <c r="J57" s="13">
        <v>4</v>
      </c>
      <c r="K57" s="13" t="s">
        <v>18</v>
      </c>
      <c r="L57" s="15">
        <v>12.0425</v>
      </c>
      <c r="M57" s="16">
        <v>12.0425</v>
      </c>
    </row>
    <row r="58" spans="1:13" s="5" customFormat="1" x14ac:dyDescent="0.25">
      <c r="A58" s="12" t="s">
        <v>130</v>
      </c>
      <c r="B58" s="13" t="s">
        <v>131</v>
      </c>
      <c r="C58" s="14">
        <v>45820</v>
      </c>
      <c r="D58" s="13">
        <v>2025</v>
      </c>
      <c r="E58" s="13" t="s">
        <v>21</v>
      </c>
      <c r="F58" s="13" t="s">
        <v>34</v>
      </c>
      <c r="G58" s="15">
        <v>996.52</v>
      </c>
      <c r="H58" s="15">
        <v>996.52</v>
      </c>
      <c r="I58" s="13">
        <v>5</v>
      </c>
      <c r="J58" s="13">
        <v>5</v>
      </c>
      <c r="K58" s="13" t="s">
        <v>35</v>
      </c>
      <c r="L58" s="15">
        <v>199.304</v>
      </c>
      <c r="M58" s="16">
        <v>199.304</v>
      </c>
    </row>
    <row r="59" spans="1:13" s="5" customFormat="1" x14ac:dyDescent="0.25">
      <c r="A59" s="12" t="s">
        <v>132</v>
      </c>
      <c r="B59" s="13" t="s">
        <v>133</v>
      </c>
      <c r="C59" s="14">
        <v>45858</v>
      </c>
      <c r="D59" s="13">
        <v>2025</v>
      </c>
      <c r="E59" s="13" t="s">
        <v>10</v>
      </c>
      <c r="F59" s="13" t="s">
        <v>25</v>
      </c>
      <c r="G59" s="15"/>
      <c r="H59" s="15">
        <v>1314.0005714285714</v>
      </c>
      <c r="I59" s="13">
        <v>9</v>
      </c>
      <c r="J59" s="13">
        <v>9</v>
      </c>
      <c r="K59" s="13" t="s">
        <v>18</v>
      </c>
      <c r="L59" s="15">
        <v>146.0000634920635</v>
      </c>
      <c r="M59" s="16">
        <v>146.0000634920635</v>
      </c>
    </row>
    <row r="60" spans="1:13" s="5" customFormat="1" x14ac:dyDescent="0.25">
      <c r="A60" s="12" t="s">
        <v>134</v>
      </c>
      <c r="B60" s="13" t="s">
        <v>135</v>
      </c>
      <c r="C60" s="14">
        <v>45522</v>
      </c>
      <c r="D60" s="13">
        <v>2024</v>
      </c>
      <c r="E60" s="13" t="s">
        <v>3347</v>
      </c>
      <c r="F60" s="13" t="s">
        <v>34</v>
      </c>
      <c r="G60" s="15">
        <v>1035.44</v>
      </c>
      <c r="H60" s="15">
        <v>1035.44</v>
      </c>
      <c r="I60" s="13">
        <v>2</v>
      </c>
      <c r="J60" s="13">
        <v>2</v>
      </c>
      <c r="K60" s="13" t="s">
        <v>18</v>
      </c>
      <c r="L60" s="15">
        <v>517.72</v>
      </c>
      <c r="M60" s="16">
        <v>517.72</v>
      </c>
    </row>
    <row r="61" spans="1:13" s="5" customFormat="1" x14ac:dyDescent="0.25">
      <c r="A61" s="12" t="s">
        <v>136</v>
      </c>
      <c r="B61" s="13" t="s">
        <v>137</v>
      </c>
      <c r="C61" s="14">
        <v>45901</v>
      </c>
      <c r="D61" s="13">
        <v>2025</v>
      </c>
      <c r="E61" s="13" t="s">
        <v>21</v>
      </c>
      <c r="F61" s="13" t="s">
        <v>34</v>
      </c>
      <c r="G61" s="15">
        <v>1021.02</v>
      </c>
      <c r="H61" s="15">
        <v>1021.02</v>
      </c>
      <c r="I61" s="13">
        <v>4</v>
      </c>
      <c r="J61" s="13">
        <v>4</v>
      </c>
      <c r="K61" s="13" t="s">
        <v>3346</v>
      </c>
      <c r="L61" s="15">
        <v>255.255</v>
      </c>
      <c r="M61" s="16">
        <v>255.255</v>
      </c>
    </row>
    <row r="62" spans="1:13" s="5" customFormat="1" x14ac:dyDescent="0.25">
      <c r="A62" s="12" t="s">
        <v>138</v>
      </c>
      <c r="B62" s="13" t="s">
        <v>139</v>
      </c>
      <c r="C62" s="14">
        <v>45181</v>
      </c>
      <c r="D62" s="13">
        <v>2023</v>
      </c>
      <c r="E62" s="13" t="s">
        <v>3347</v>
      </c>
      <c r="F62" s="13" t="s">
        <v>11</v>
      </c>
      <c r="G62" s="15">
        <v>64.760000000000005</v>
      </c>
      <c r="H62" s="15">
        <v>64.760000000000005</v>
      </c>
      <c r="I62" s="13">
        <v>3</v>
      </c>
      <c r="J62" s="13">
        <v>3</v>
      </c>
      <c r="K62" s="13" t="s">
        <v>35</v>
      </c>
      <c r="L62" s="15">
        <v>21.58666666666667</v>
      </c>
      <c r="M62" s="16">
        <v>21.58666666666667</v>
      </c>
    </row>
    <row r="63" spans="1:13" s="5" customFormat="1" x14ac:dyDescent="0.25">
      <c r="A63" s="12" t="s">
        <v>140</v>
      </c>
      <c r="B63" s="13" t="s">
        <v>141</v>
      </c>
      <c r="C63" s="14">
        <v>45423</v>
      </c>
      <c r="D63" s="13">
        <v>2024</v>
      </c>
      <c r="E63" s="13" t="s">
        <v>3347</v>
      </c>
      <c r="F63" s="13" t="s">
        <v>22</v>
      </c>
      <c r="G63" s="15"/>
      <c r="H63" s="15">
        <v>216.07422839506177</v>
      </c>
      <c r="I63" s="13">
        <v>1</v>
      </c>
      <c r="J63" s="13">
        <v>1</v>
      </c>
      <c r="K63" s="13" t="s">
        <v>15</v>
      </c>
      <c r="L63" s="15">
        <v>216.07422839506177</v>
      </c>
      <c r="M63" s="16">
        <v>216.07422839506177</v>
      </c>
    </row>
    <row r="64" spans="1:13" s="5" customFormat="1" x14ac:dyDescent="0.25">
      <c r="A64" s="12" t="s">
        <v>142</v>
      </c>
      <c r="B64" s="13" t="s">
        <v>143</v>
      </c>
      <c r="C64" s="14">
        <v>45012</v>
      </c>
      <c r="D64" s="13">
        <v>2023</v>
      </c>
      <c r="E64" s="13" t="s">
        <v>21</v>
      </c>
      <c r="F64" s="13" t="s">
        <v>22</v>
      </c>
      <c r="G64" s="15">
        <v>1194.6600000000001</v>
      </c>
      <c r="H64" s="15">
        <v>1194.6600000000001</v>
      </c>
      <c r="I64" s="13">
        <v>6</v>
      </c>
      <c r="J64" s="13">
        <v>6</v>
      </c>
      <c r="K64" s="13" t="s">
        <v>35</v>
      </c>
      <c r="L64" s="15">
        <v>199.11</v>
      </c>
      <c r="M64" s="16">
        <v>199.11</v>
      </c>
    </row>
    <row r="65" spans="1:13" s="5" customFormat="1" x14ac:dyDescent="0.25">
      <c r="A65" s="12" t="s">
        <v>144</v>
      </c>
      <c r="B65" s="13" t="s">
        <v>145</v>
      </c>
      <c r="C65" s="14">
        <v>44873</v>
      </c>
      <c r="D65" s="13">
        <v>2022</v>
      </c>
      <c r="E65" s="13" t="s">
        <v>14</v>
      </c>
      <c r="F65" s="13" t="s">
        <v>22</v>
      </c>
      <c r="G65" s="15">
        <v>432.25</v>
      </c>
      <c r="H65" s="15">
        <v>432.25</v>
      </c>
      <c r="I65" s="13">
        <v>1</v>
      </c>
      <c r="J65" s="13">
        <v>1</v>
      </c>
      <c r="K65" s="13" t="s">
        <v>35</v>
      </c>
      <c r="L65" s="15">
        <v>432.25</v>
      </c>
      <c r="M65" s="16">
        <v>432.25</v>
      </c>
    </row>
    <row r="66" spans="1:13" s="5" customFormat="1" x14ac:dyDescent="0.25">
      <c r="A66" s="12" t="s">
        <v>146</v>
      </c>
      <c r="B66" s="13" t="s">
        <v>147</v>
      </c>
      <c r="C66" s="14">
        <v>45840</v>
      </c>
      <c r="D66" s="13">
        <v>2025</v>
      </c>
      <c r="E66" s="13" t="s">
        <v>3347</v>
      </c>
      <c r="F66" s="13" t="s">
        <v>22</v>
      </c>
      <c r="G66" s="15">
        <v>308.01</v>
      </c>
      <c r="H66" s="15">
        <v>308.01</v>
      </c>
      <c r="I66" s="13">
        <v>6</v>
      </c>
      <c r="J66" s="13">
        <v>6</v>
      </c>
      <c r="K66" s="13" t="s">
        <v>15</v>
      </c>
      <c r="L66" s="15">
        <v>51.335000000000001</v>
      </c>
      <c r="M66" s="16">
        <v>51.335000000000001</v>
      </c>
    </row>
    <row r="67" spans="1:13" s="5" customFormat="1" x14ac:dyDescent="0.25">
      <c r="A67" s="12" t="s">
        <v>148</v>
      </c>
      <c r="B67" s="13" t="s">
        <v>149</v>
      </c>
      <c r="C67" s="14">
        <v>44964</v>
      </c>
      <c r="D67" s="13">
        <v>2023</v>
      </c>
      <c r="E67" s="13" t="s">
        <v>10</v>
      </c>
      <c r="F67" s="13" t="s">
        <v>22</v>
      </c>
      <c r="G67" s="15">
        <v>744.05</v>
      </c>
      <c r="H67" s="15">
        <v>744.05</v>
      </c>
      <c r="I67" s="13">
        <v>9</v>
      </c>
      <c r="J67" s="13">
        <v>9</v>
      </c>
      <c r="K67" s="13" t="s">
        <v>35</v>
      </c>
      <c r="L67" s="15">
        <v>82.672222222222217</v>
      </c>
      <c r="M67" s="16">
        <v>82.672222222222217</v>
      </c>
    </row>
    <row r="68" spans="1:13" s="5" customFormat="1" x14ac:dyDescent="0.25">
      <c r="A68" s="12" t="s">
        <v>150</v>
      </c>
      <c r="B68" s="13" t="s">
        <v>151</v>
      </c>
      <c r="C68" s="14">
        <v>45822</v>
      </c>
      <c r="D68" s="13">
        <v>2025</v>
      </c>
      <c r="E68" s="13" t="s">
        <v>3347</v>
      </c>
      <c r="F68" s="13" t="s">
        <v>22</v>
      </c>
      <c r="G68" s="15">
        <v>1118.08</v>
      </c>
      <c r="H68" s="15">
        <v>1118.08</v>
      </c>
      <c r="I68" s="13">
        <v>3</v>
      </c>
      <c r="J68" s="13">
        <v>3</v>
      </c>
      <c r="K68" s="13" t="s">
        <v>3346</v>
      </c>
      <c r="L68" s="15">
        <v>372.69333333333333</v>
      </c>
      <c r="M68" s="16">
        <v>372.69333333333333</v>
      </c>
    </row>
    <row r="69" spans="1:13" s="5" customFormat="1" x14ac:dyDescent="0.25">
      <c r="A69" s="12" t="s">
        <v>152</v>
      </c>
      <c r="B69" s="13" t="s">
        <v>153</v>
      </c>
      <c r="C69" s="14">
        <v>45136</v>
      </c>
      <c r="D69" s="13">
        <v>2023</v>
      </c>
      <c r="E69" s="13" t="s">
        <v>21</v>
      </c>
      <c r="F69" s="13" t="s">
        <v>22</v>
      </c>
      <c r="G69" s="15"/>
      <c r="H69" s="15">
        <v>2279.7282142857143</v>
      </c>
      <c r="I69" s="13">
        <v>9</v>
      </c>
      <c r="J69" s="13">
        <v>9</v>
      </c>
      <c r="K69" s="13" t="s">
        <v>3348</v>
      </c>
      <c r="L69" s="15">
        <v>253.30313492063493</v>
      </c>
      <c r="M69" s="16">
        <v>253.30313492063493</v>
      </c>
    </row>
    <row r="70" spans="1:13" s="5" customFormat="1" x14ac:dyDescent="0.25">
      <c r="A70" s="12" t="s">
        <v>154</v>
      </c>
      <c r="B70" s="13" t="s">
        <v>155</v>
      </c>
      <c r="C70" s="14">
        <v>45902</v>
      </c>
      <c r="D70" s="13">
        <v>2025</v>
      </c>
      <c r="E70" s="13" t="s">
        <v>14</v>
      </c>
      <c r="F70" s="13" t="s">
        <v>11</v>
      </c>
      <c r="G70" s="15">
        <v>1738.28</v>
      </c>
      <c r="H70" s="15">
        <v>1738.28</v>
      </c>
      <c r="I70" s="13">
        <v>1</v>
      </c>
      <c r="J70" s="13">
        <v>1</v>
      </c>
      <c r="K70" s="13" t="s">
        <v>3346</v>
      </c>
      <c r="L70" s="15">
        <v>1738.28</v>
      </c>
      <c r="M70" s="16">
        <v>1738.28</v>
      </c>
    </row>
    <row r="71" spans="1:13" s="5" customFormat="1" x14ac:dyDescent="0.25">
      <c r="A71" s="12" t="s">
        <v>156</v>
      </c>
      <c r="B71" s="13" t="s">
        <v>157</v>
      </c>
      <c r="C71" s="14">
        <v>45255</v>
      </c>
      <c r="D71" s="13">
        <v>2023</v>
      </c>
      <c r="E71" s="13" t="s">
        <v>3347</v>
      </c>
      <c r="F71" s="13" t="s">
        <v>34</v>
      </c>
      <c r="G71" s="15">
        <v>140.78</v>
      </c>
      <c r="H71" s="15">
        <v>140.78</v>
      </c>
      <c r="I71" s="13">
        <v>9</v>
      </c>
      <c r="J71" s="13">
        <v>9</v>
      </c>
      <c r="K71" s="13" t="s">
        <v>3348</v>
      </c>
      <c r="L71" s="15">
        <v>15.642222222222223</v>
      </c>
      <c r="M71" s="16">
        <v>15.642222222222223</v>
      </c>
    </row>
    <row r="72" spans="1:13" s="5" customFormat="1" x14ac:dyDescent="0.25">
      <c r="A72" s="12" t="s">
        <v>158</v>
      </c>
      <c r="B72" s="13" t="s">
        <v>159</v>
      </c>
      <c r="C72" s="14">
        <v>45206</v>
      </c>
      <c r="D72" s="13">
        <v>2023</v>
      </c>
      <c r="E72" s="13" t="s">
        <v>21</v>
      </c>
      <c r="F72" s="13" t="s">
        <v>11</v>
      </c>
      <c r="G72" s="15">
        <v>1206.3399999999999</v>
      </c>
      <c r="H72" s="15">
        <v>1206.3399999999999</v>
      </c>
      <c r="I72" s="13">
        <v>3</v>
      </c>
      <c r="J72" s="13">
        <v>3</v>
      </c>
      <c r="K72" s="13" t="s">
        <v>3346</v>
      </c>
      <c r="L72" s="15">
        <v>402.11333333333329</v>
      </c>
      <c r="M72" s="16">
        <v>402.11333333333329</v>
      </c>
    </row>
    <row r="73" spans="1:13" s="5" customFormat="1" x14ac:dyDescent="0.25">
      <c r="A73" s="12" t="s">
        <v>160</v>
      </c>
      <c r="B73" s="13" t="s">
        <v>161</v>
      </c>
      <c r="C73" s="14">
        <v>45724</v>
      </c>
      <c r="D73" s="13">
        <v>2025</v>
      </c>
      <c r="E73" s="13" t="s">
        <v>10</v>
      </c>
      <c r="F73" s="13" t="s">
        <v>11</v>
      </c>
      <c r="G73" s="15">
        <v>837.63</v>
      </c>
      <c r="H73" s="15">
        <v>837.63</v>
      </c>
      <c r="I73" s="13">
        <v>7</v>
      </c>
      <c r="J73" s="13">
        <v>7</v>
      </c>
      <c r="K73" s="13" t="s">
        <v>18</v>
      </c>
      <c r="L73" s="15">
        <v>119.66142857142857</v>
      </c>
      <c r="M73" s="16">
        <v>119.66142857142857</v>
      </c>
    </row>
    <row r="74" spans="1:13" s="5" customFormat="1" x14ac:dyDescent="0.25">
      <c r="A74" s="12" t="s">
        <v>162</v>
      </c>
      <c r="B74" s="13" t="s">
        <v>163</v>
      </c>
      <c r="C74" s="14">
        <v>45251</v>
      </c>
      <c r="D74" s="13">
        <v>2023</v>
      </c>
      <c r="E74" s="13" t="s">
        <v>10</v>
      </c>
      <c r="F74" s="13" t="s">
        <v>11</v>
      </c>
      <c r="G74" s="15">
        <v>1371.92</v>
      </c>
      <c r="H74" s="15">
        <v>1371.92</v>
      </c>
      <c r="I74" s="13">
        <v>10</v>
      </c>
      <c r="J74" s="13">
        <v>10</v>
      </c>
      <c r="K74" s="13" t="s">
        <v>3348</v>
      </c>
      <c r="L74" s="15">
        <v>137.19200000000001</v>
      </c>
      <c r="M74" s="16">
        <v>137.19200000000001</v>
      </c>
    </row>
    <row r="75" spans="1:13" s="5" customFormat="1" x14ac:dyDescent="0.25">
      <c r="A75" s="12" t="s">
        <v>164</v>
      </c>
      <c r="B75" s="13" t="s">
        <v>165</v>
      </c>
      <c r="C75" s="14">
        <v>44939</v>
      </c>
      <c r="D75" s="13">
        <v>2023</v>
      </c>
      <c r="E75" s="13" t="s">
        <v>10</v>
      </c>
      <c r="F75" s="13" t="s">
        <v>11</v>
      </c>
      <c r="G75" s="15">
        <v>1834.61</v>
      </c>
      <c r="H75" s="15">
        <v>1834.61</v>
      </c>
      <c r="I75" s="13">
        <v>7</v>
      </c>
      <c r="J75" s="13">
        <v>7</v>
      </c>
      <c r="K75" s="13" t="s">
        <v>3346</v>
      </c>
      <c r="L75" s="15">
        <v>262.08714285714285</v>
      </c>
      <c r="M75" s="16">
        <v>262.08714285714285</v>
      </c>
    </row>
    <row r="76" spans="1:13" s="5" customFormat="1" x14ac:dyDescent="0.25">
      <c r="A76" s="12" t="s">
        <v>166</v>
      </c>
      <c r="B76" s="13" t="s">
        <v>167</v>
      </c>
      <c r="C76" s="14">
        <v>45668</v>
      </c>
      <c r="D76" s="13">
        <v>2025</v>
      </c>
      <c r="E76" s="13" t="s">
        <v>10</v>
      </c>
      <c r="F76" s="13" t="s">
        <v>22</v>
      </c>
      <c r="G76" s="15"/>
      <c r="H76" s="15">
        <v>614.72981481481474</v>
      </c>
      <c r="I76" s="13">
        <v>5</v>
      </c>
      <c r="J76" s="13">
        <v>5</v>
      </c>
      <c r="K76" s="13" t="s">
        <v>15</v>
      </c>
      <c r="L76" s="15">
        <v>122.94596296296295</v>
      </c>
      <c r="M76" s="16">
        <v>122.94596296296295</v>
      </c>
    </row>
    <row r="77" spans="1:13" s="5" customFormat="1" x14ac:dyDescent="0.25">
      <c r="A77" s="12" t="s">
        <v>168</v>
      </c>
      <c r="B77" s="13" t="s">
        <v>169</v>
      </c>
      <c r="C77" s="14">
        <v>45128</v>
      </c>
      <c r="D77" s="13">
        <v>2023</v>
      </c>
      <c r="E77" s="13" t="s">
        <v>10</v>
      </c>
      <c r="F77" s="13" t="s">
        <v>11</v>
      </c>
      <c r="G77" s="15">
        <v>751.46</v>
      </c>
      <c r="H77" s="15">
        <v>751.46</v>
      </c>
      <c r="I77" s="13">
        <v>1</v>
      </c>
      <c r="J77" s="13">
        <v>1</v>
      </c>
      <c r="K77" s="13" t="s">
        <v>35</v>
      </c>
      <c r="L77" s="15">
        <v>751.46</v>
      </c>
      <c r="M77" s="16">
        <v>751.46</v>
      </c>
    </row>
    <row r="78" spans="1:13" s="5" customFormat="1" x14ac:dyDescent="0.25">
      <c r="A78" s="12" t="s">
        <v>170</v>
      </c>
      <c r="B78" s="13" t="s">
        <v>171</v>
      </c>
      <c r="C78" s="14">
        <v>45568</v>
      </c>
      <c r="D78" s="13">
        <v>2024</v>
      </c>
      <c r="E78" s="13" t="s">
        <v>3347</v>
      </c>
      <c r="F78" s="13" t="s">
        <v>34</v>
      </c>
      <c r="G78" s="15">
        <v>1806.45</v>
      </c>
      <c r="H78" s="15">
        <v>1806.45</v>
      </c>
      <c r="I78" s="13">
        <v>3</v>
      </c>
      <c r="J78" s="13">
        <v>3</v>
      </c>
      <c r="K78" s="13" t="s">
        <v>3348</v>
      </c>
      <c r="L78" s="15">
        <v>602.15</v>
      </c>
      <c r="M78" s="16">
        <v>602.15</v>
      </c>
    </row>
    <row r="79" spans="1:13" s="5" customFormat="1" x14ac:dyDescent="0.25">
      <c r="A79" s="12" t="s">
        <v>172</v>
      </c>
      <c r="B79" s="13" t="s">
        <v>173</v>
      </c>
      <c r="C79" s="14">
        <v>45930</v>
      </c>
      <c r="D79" s="13">
        <v>2025</v>
      </c>
      <c r="E79" s="13" t="s">
        <v>3347</v>
      </c>
      <c r="F79" s="13" t="s">
        <v>22</v>
      </c>
      <c r="G79" s="15">
        <v>1555.95</v>
      </c>
      <c r="H79" s="15">
        <v>1555.95</v>
      </c>
      <c r="I79" s="13">
        <v>8</v>
      </c>
      <c r="J79" s="13">
        <v>8</v>
      </c>
      <c r="K79" s="13" t="s">
        <v>3348</v>
      </c>
      <c r="L79" s="15">
        <v>194.49375000000001</v>
      </c>
      <c r="M79" s="16">
        <v>194.49375000000001</v>
      </c>
    </row>
    <row r="80" spans="1:13" s="5" customFormat="1" x14ac:dyDescent="0.25">
      <c r="A80" s="12" t="s">
        <v>174</v>
      </c>
      <c r="B80" s="13" t="s">
        <v>175</v>
      </c>
      <c r="C80" s="14">
        <v>44908</v>
      </c>
      <c r="D80" s="13">
        <v>2022</v>
      </c>
      <c r="E80" s="13" t="s">
        <v>14</v>
      </c>
      <c r="F80" s="13" t="s">
        <v>25</v>
      </c>
      <c r="G80" s="15">
        <v>91.97</v>
      </c>
      <c r="H80" s="15">
        <v>91.97</v>
      </c>
      <c r="I80" s="13">
        <v>2</v>
      </c>
      <c r="J80" s="13">
        <v>2</v>
      </c>
      <c r="K80" s="13" t="s">
        <v>3348</v>
      </c>
      <c r="L80" s="15">
        <v>45.984999999999999</v>
      </c>
      <c r="M80" s="16">
        <v>45.984999999999999</v>
      </c>
    </row>
    <row r="81" spans="1:13" s="5" customFormat="1" x14ac:dyDescent="0.25">
      <c r="A81" s="12" t="s">
        <v>176</v>
      </c>
      <c r="B81" s="13" t="s">
        <v>177</v>
      </c>
      <c r="C81" s="14">
        <v>45102</v>
      </c>
      <c r="D81" s="13">
        <v>2023</v>
      </c>
      <c r="E81" s="13" t="s">
        <v>14</v>
      </c>
      <c r="F81" s="13" t="s">
        <v>22</v>
      </c>
      <c r="G81" s="15"/>
      <c r="H81" s="15">
        <v>1232.5619444444444</v>
      </c>
      <c r="I81" s="13">
        <v>7</v>
      </c>
      <c r="J81" s="13">
        <v>7</v>
      </c>
      <c r="K81" s="13" t="s">
        <v>3346</v>
      </c>
      <c r="L81" s="15">
        <v>176.08027777777778</v>
      </c>
      <c r="M81" s="16">
        <v>176.08027777777778</v>
      </c>
    </row>
    <row r="82" spans="1:13" s="5" customFormat="1" x14ac:dyDescent="0.25">
      <c r="A82" s="12" t="s">
        <v>178</v>
      </c>
      <c r="B82" s="13" t="s">
        <v>179</v>
      </c>
      <c r="C82" s="14">
        <v>45275</v>
      </c>
      <c r="D82" s="13">
        <v>2023</v>
      </c>
      <c r="E82" s="13" t="s">
        <v>21</v>
      </c>
      <c r="F82" s="13" t="s">
        <v>34</v>
      </c>
      <c r="G82" s="15">
        <v>1797.95</v>
      </c>
      <c r="H82" s="15">
        <v>1797.95</v>
      </c>
      <c r="I82" s="13">
        <v>6</v>
      </c>
      <c r="J82" s="13">
        <v>6</v>
      </c>
      <c r="K82" s="13" t="s">
        <v>3346</v>
      </c>
      <c r="L82" s="15">
        <v>299.65833333333336</v>
      </c>
      <c r="M82" s="16">
        <v>299.65833333333336</v>
      </c>
    </row>
    <row r="83" spans="1:13" s="5" customFormat="1" x14ac:dyDescent="0.25">
      <c r="A83" s="12" t="s">
        <v>180</v>
      </c>
      <c r="B83" s="13" t="s">
        <v>181</v>
      </c>
      <c r="C83" s="14">
        <v>45140</v>
      </c>
      <c r="D83" s="13">
        <v>2023</v>
      </c>
      <c r="E83" s="13" t="s">
        <v>21</v>
      </c>
      <c r="F83" s="13" t="s">
        <v>11</v>
      </c>
      <c r="G83" s="15"/>
      <c r="H83" s="15">
        <v>328.71642857142854</v>
      </c>
      <c r="I83" s="13">
        <v>2</v>
      </c>
      <c r="J83" s="13">
        <v>2</v>
      </c>
      <c r="K83" s="13" t="s">
        <v>35</v>
      </c>
      <c r="L83" s="15">
        <v>164.35821428571427</v>
      </c>
      <c r="M83" s="16">
        <v>164.35821428571427</v>
      </c>
    </row>
    <row r="84" spans="1:13" s="5" customFormat="1" x14ac:dyDescent="0.25">
      <c r="A84" s="12" t="s">
        <v>182</v>
      </c>
      <c r="B84" s="13" t="s">
        <v>183</v>
      </c>
      <c r="C84" s="14">
        <v>45561</v>
      </c>
      <c r="D84" s="13">
        <v>2024</v>
      </c>
      <c r="E84" s="13" t="s">
        <v>21</v>
      </c>
      <c r="F84" s="13" t="s">
        <v>11</v>
      </c>
      <c r="G84" s="15"/>
      <c r="H84" s="15">
        <v>345.56814814814817</v>
      </c>
      <c r="I84" s="13">
        <v>1</v>
      </c>
      <c r="J84" s="13">
        <v>1</v>
      </c>
      <c r="K84" s="13" t="s">
        <v>15</v>
      </c>
      <c r="L84" s="15">
        <v>345.56814814814817</v>
      </c>
      <c r="M84" s="16">
        <v>345.56814814814817</v>
      </c>
    </row>
    <row r="85" spans="1:13" s="5" customFormat="1" x14ac:dyDescent="0.25">
      <c r="A85" s="12" t="s">
        <v>184</v>
      </c>
      <c r="B85" s="13" t="s">
        <v>185</v>
      </c>
      <c r="C85" s="14">
        <v>45429</v>
      </c>
      <c r="D85" s="13">
        <v>2024</v>
      </c>
      <c r="E85" s="13" t="s">
        <v>3347</v>
      </c>
      <c r="F85" s="13" t="s">
        <v>34</v>
      </c>
      <c r="G85" s="15">
        <v>1217.1099999999999</v>
      </c>
      <c r="H85" s="15">
        <v>1217.1099999999999</v>
      </c>
      <c r="I85" s="13">
        <v>8</v>
      </c>
      <c r="J85" s="13">
        <v>8</v>
      </c>
      <c r="K85" s="13" t="s">
        <v>3346</v>
      </c>
      <c r="L85" s="15">
        <v>152.13874999999999</v>
      </c>
      <c r="M85" s="16">
        <v>152.13874999999999</v>
      </c>
    </row>
    <row r="86" spans="1:13" s="5" customFormat="1" x14ac:dyDescent="0.25">
      <c r="A86" s="12" t="s">
        <v>186</v>
      </c>
      <c r="B86" s="13" t="s">
        <v>187</v>
      </c>
      <c r="C86" s="14">
        <v>45203</v>
      </c>
      <c r="D86" s="13">
        <v>2023</v>
      </c>
      <c r="E86" s="13" t="s">
        <v>10</v>
      </c>
      <c r="F86" s="13" t="s">
        <v>25</v>
      </c>
      <c r="G86" s="15">
        <v>603.9</v>
      </c>
      <c r="H86" s="15">
        <v>603.9</v>
      </c>
      <c r="I86" s="13">
        <v>3</v>
      </c>
      <c r="J86" s="13">
        <v>3</v>
      </c>
      <c r="K86" s="13" t="s">
        <v>3348</v>
      </c>
      <c r="L86" s="15">
        <v>201.29999999999998</v>
      </c>
      <c r="M86" s="16">
        <v>201.29999999999998</v>
      </c>
    </row>
    <row r="87" spans="1:13" s="5" customFormat="1" x14ac:dyDescent="0.25">
      <c r="A87" s="12" t="s">
        <v>188</v>
      </c>
      <c r="B87" s="13" t="s">
        <v>189</v>
      </c>
      <c r="C87" s="14">
        <v>45212</v>
      </c>
      <c r="D87" s="13">
        <v>2023</v>
      </c>
      <c r="E87" s="13" t="s">
        <v>3347</v>
      </c>
      <c r="F87" s="13" t="s">
        <v>25</v>
      </c>
      <c r="G87" s="15">
        <v>438.72</v>
      </c>
      <c r="H87" s="15">
        <v>438.72</v>
      </c>
      <c r="I87" s="13">
        <v>9</v>
      </c>
      <c r="J87" s="13">
        <v>9</v>
      </c>
      <c r="K87" s="13" t="s">
        <v>3346</v>
      </c>
      <c r="L87" s="15">
        <v>48.74666666666667</v>
      </c>
      <c r="M87" s="16">
        <v>48.74666666666667</v>
      </c>
    </row>
    <row r="88" spans="1:13" s="5" customFormat="1" x14ac:dyDescent="0.25">
      <c r="A88" s="12" t="s">
        <v>190</v>
      </c>
      <c r="B88" s="13" t="s">
        <v>191</v>
      </c>
      <c r="C88" s="14">
        <v>45666</v>
      </c>
      <c r="D88" s="13">
        <v>2025</v>
      </c>
      <c r="E88" s="13" t="s">
        <v>21</v>
      </c>
      <c r="F88" s="13" t="s">
        <v>34</v>
      </c>
      <c r="G88" s="15">
        <v>1800.25</v>
      </c>
      <c r="H88" s="15">
        <v>1800.25</v>
      </c>
      <c r="I88" s="13">
        <v>9</v>
      </c>
      <c r="J88" s="13">
        <v>9</v>
      </c>
      <c r="K88" s="13" t="s">
        <v>15</v>
      </c>
      <c r="L88" s="15">
        <v>200.02777777777777</v>
      </c>
      <c r="M88" s="16">
        <v>200.02777777777777</v>
      </c>
    </row>
    <row r="89" spans="1:13" s="5" customFormat="1" x14ac:dyDescent="0.25">
      <c r="A89" s="12" t="s">
        <v>192</v>
      </c>
      <c r="B89" s="13" t="s">
        <v>193</v>
      </c>
      <c r="C89" s="14">
        <v>45583</v>
      </c>
      <c r="D89" s="13">
        <v>2024</v>
      </c>
      <c r="E89" s="13" t="s">
        <v>3347</v>
      </c>
      <c r="F89" s="13" t="s">
        <v>11</v>
      </c>
      <c r="G89" s="15">
        <v>1989.08</v>
      </c>
      <c r="H89" s="15">
        <v>1989.08</v>
      </c>
      <c r="I89" s="13">
        <v>5</v>
      </c>
      <c r="J89" s="13">
        <v>5</v>
      </c>
      <c r="K89" s="13" t="s">
        <v>35</v>
      </c>
      <c r="L89" s="15">
        <v>397.81599999999997</v>
      </c>
      <c r="M89" s="16">
        <v>397.81599999999997</v>
      </c>
    </row>
    <row r="90" spans="1:13" s="5" customFormat="1" x14ac:dyDescent="0.25">
      <c r="A90" s="12" t="s">
        <v>194</v>
      </c>
      <c r="B90" s="13" t="s">
        <v>195</v>
      </c>
      <c r="C90" s="14">
        <v>45877</v>
      </c>
      <c r="D90" s="13">
        <v>2025</v>
      </c>
      <c r="E90" s="13" t="s">
        <v>14</v>
      </c>
      <c r="F90" s="13" t="s">
        <v>25</v>
      </c>
      <c r="G90" s="15">
        <v>1607.17</v>
      </c>
      <c r="H90" s="15">
        <v>1607.17</v>
      </c>
      <c r="I90" s="13">
        <v>5</v>
      </c>
      <c r="J90" s="13">
        <v>5</v>
      </c>
      <c r="K90" s="13" t="s">
        <v>15</v>
      </c>
      <c r="L90" s="15">
        <v>321.43400000000003</v>
      </c>
      <c r="M90" s="16">
        <v>321.43400000000003</v>
      </c>
    </row>
    <row r="91" spans="1:13" s="5" customFormat="1" x14ac:dyDescent="0.25">
      <c r="A91" s="12" t="s">
        <v>196</v>
      </c>
      <c r="B91" s="13" t="s">
        <v>197</v>
      </c>
      <c r="C91" s="14">
        <v>45106</v>
      </c>
      <c r="D91" s="13">
        <v>2023</v>
      </c>
      <c r="E91" s="13" t="s">
        <v>3347</v>
      </c>
      <c r="F91" s="13" t="s">
        <v>25</v>
      </c>
      <c r="G91" s="15">
        <v>1789.76</v>
      </c>
      <c r="H91" s="15">
        <v>1789.76</v>
      </c>
      <c r="I91" s="13">
        <v>4</v>
      </c>
      <c r="J91" s="13">
        <v>4</v>
      </c>
      <c r="K91" s="13" t="s">
        <v>18</v>
      </c>
      <c r="L91" s="15">
        <v>447.44</v>
      </c>
      <c r="M91" s="16">
        <v>447.44</v>
      </c>
    </row>
    <row r="92" spans="1:13" s="5" customFormat="1" x14ac:dyDescent="0.25">
      <c r="A92" s="12" t="s">
        <v>198</v>
      </c>
      <c r="B92" s="13" t="s">
        <v>199</v>
      </c>
      <c r="C92" s="14">
        <v>45515</v>
      </c>
      <c r="D92" s="13">
        <v>2024</v>
      </c>
      <c r="E92" s="13" t="s">
        <v>3347</v>
      </c>
      <c r="F92" s="13" t="s">
        <v>22</v>
      </c>
      <c r="G92" s="15">
        <v>295.13</v>
      </c>
      <c r="H92" s="15">
        <v>295.13</v>
      </c>
      <c r="I92" s="13">
        <v>10</v>
      </c>
      <c r="J92" s="13">
        <v>10</v>
      </c>
      <c r="K92" s="13" t="s">
        <v>15</v>
      </c>
      <c r="L92" s="15">
        <v>29.512999999999998</v>
      </c>
      <c r="M92" s="16">
        <v>29.512999999999998</v>
      </c>
    </row>
    <row r="93" spans="1:13" s="5" customFormat="1" x14ac:dyDescent="0.25">
      <c r="A93" s="12" t="s">
        <v>200</v>
      </c>
      <c r="B93" s="13" t="s">
        <v>201</v>
      </c>
      <c r="C93" s="14">
        <v>45746</v>
      </c>
      <c r="D93" s="13">
        <v>2025</v>
      </c>
      <c r="E93" s="13" t="s">
        <v>10</v>
      </c>
      <c r="F93" s="13" t="s">
        <v>22</v>
      </c>
      <c r="G93" s="15">
        <v>1991.2</v>
      </c>
      <c r="H93" s="15">
        <v>1991.2</v>
      </c>
      <c r="I93" s="13"/>
      <c r="J93" s="13">
        <v>3</v>
      </c>
      <c r="K93" s="13" t="s">
        <v>3348</v>
      </c>
      <c r="L93" s="15">
        <v>663.73333333333335</v>
      </c>
      <c r="M93" s="16">
        <v>725.75985185185198</v>
      </c>
    </row>
    <row r="94" spans="1:13" s="5" customFormat="1" x14ac:dyDescent="0.25">
      <c r="A94" s="12" t="s">
        <v>202</v>
      </c>
      <c r="B94" s="13" t="s">
        <v>203</v>
      </c>
      <c r="C94" s="14">
        <v>45214</v>
      </c>
      <c r="D94" s="13">
        <v>2023</v>
      </c>
      <c r="E94" s="13" t="s">
        <v>10</v>
      </c>
      <c r="F94" s="13" t="s">
        <v>25</v>
      </c>
      <c r="G94" s="15">
        <v>845.97</v>
      </c>
      <c r="H94" s="15">
        <v>845.97</v>
      </c>
      <c r="I94" s="13">
        <v>6</v>
      </c>
      <c r="J94" s="13">
        <v>6</v>
      </c>
      <c r="K94" s="13" t="s">
        <v>15</v>
      </c>
      <c r="L94" s="15">
        <v>140.995</v>
      </c>
      <c r="M94" s="16">
        <v>140.995</v>
      </c>
    </row>
    <row r="95" spans="1:13" s="5" customFormat="1" x14ac:dyDescent="0.25">
      <c r="A95" s="12" t="s">
        <v>204</v>
      </c>
      <c r="B95" s="13" t="s">
        <v>205</v>
      </c>
      <c r="C95" s="14">
        <v>45138</v>
      </c>
      <c r="D95" s="13">
        <v>2023</v>
      </c>
      <c r="E95" s="13" t="s">
        <v>10</v>
      </c>
      <c r="F95" s="13" t="s">
        <v>34</v>
      </c>
      <c r="G95" s="15">
        <v>1400.24</v>
      </c>
      <c r="H95" s="15">
        <v>1400.24</v>
      </c>
      <c r="I95" s="13">
        <v>4</v>
      </c>
      <c r="J95" s="13">
        <v>4</v>
      </c>
      <c r="K95" s="13" t="s">
        <v>35</v>
      </c>
      <c r="L95" s="15">
        <v>350.06</v>
      </c>
      <c r="M95" s="16">
        <v>350.06</v>
      </c>
    </row>
    <row r="96" spans="1:13" s="5" customFormat="1" x14ac:dyDescent="0.25">
      <c r="A96" s="12" t="s">
        <v>206</v>
      </c>
      <c r="B96" s="13" t="s">
        <v>207</v>
      </c>
      <c r="C96" s="14">
        <v>45217</v>
      </c>
      <c r="D96" s="13">
        <v>2023</v>
      </c>
      <c r="E96" s="13" t="s">
        <v>3347</v>
      </c>
      <c r="F96" s="13" t="s">
        <v>11</v>
      </c>
      <c r="G96" s="15">
        <v>764.37</v>
      </c>
      <c r="H96" s="15">
        <v>764.37</v>
      </c>
      <c r="I96" s="13">
        <v>10</v>
      </c>
      <c r="J96" s="13">
        <v>10</v>
      </c>
      <c r="K96" s="13" t="s">
        <v>35</v>
      </c>
      <c r="L96" s="15">
        <v>76.436999999999998</v>
      </c>
      <c r="M96" s="16">
        <v>76.436999999999998</v>
      </c>
    </row>
    <row r="97" spans="1:13" s="5" customFormat="1" x14ac:dyDescent="0.25">
      <c r="A97" s="12" t="s">
        <v>208</v>
      </c>
      <c r="B97" s="13" t="s">
        <v>209</v>
      </c>
      <c r="C97" s="14">
        <v>44865</v>
      </c>
      <c r="D97" s="13">
        <v>2022</v>
      </c>
      <c r="E97" s="13" t="s">
        <v>10</v>
      </c>
      <c r="F97" s="13" t="s">
        <v>34</v>
      </c>
      <c r="G97" s="15">
        <v>755.12</v>
      </c>
      <c r="H97" s="15">
        <v>755.12</v>
      </c>
      <c r="I97" s="13">
        <v>9</v>
      </c>
      <c r="J97" s="13">
        <v>9</v>
      </c>
      <c r="K97" s="13" t="s">
        <v>15</v>
      </c>
      <c r="L97" s="15">
        <v>83.902222222222221</v>
      </c>
      <c r="M97" s="16">
        <v>83.902222222222221</v>
      </c>
    </row>
    <row r="98" spans="1:13" s="5" customFormat="1" x14ac:dyDescent="0.25">
      <c r="A98" s="12" t="s">
        <v>210</v>
      </c>
      <c r="B98" s="13" t="s">
        <v>211</v>
      </c>
      <c r="C98" s="14">
        <v>45157</v>
      </c>
      <c r="D98" s="13">
        <v>2023</v>
      </c>
      <c r="E98" s="13" t="s">
        <v>21</v>
      </c>
      <c r="F98" s="13" t="s">
        <v>22</v>
      </c>
      <c r="G98" s="15"/>
      <c r="H98" s="15">
        <v>1192.3057193877548</v>
      </c>
      <c r="I98" s="13">
        <v>9</v>
      </c>
      <c r="J98" s="13">
        <v>9</v>
      </c>
      <c r="K98" s="13" t="s">
        <v>35</v>
      </c>
      <c r="L98" s="15">
        <v>132.4784132653061</v>
      </c>
      <c r="M98" s="16">
        <v>132.4784132653061</v>
      </c>
    </row>
    <row r="99" spans="1:13" s="5" customFormat="1" x14ac:dyDescent="0.25">
      <c r="A99" s="12" t="s">
        <v>212</v>
      </c>
      <c r="B99" s="13" t="s">
        <v>213</v>
      </c>
      <c r="C99" s="14">
        <v>44867</v>
      </c>
      <c r="D99" s="13">
        <v>2022</v>
      </c>
      <c r="E99" s="13" t="s">
        <v>3347</v>
      </c>
      <c r="F99" s="13" t="s">
        <v>11</v>
      </c>
      <c r="G99" s="15">
        <v>1882.04</v>
      </c>
      <c r="H99" s="15">
        <v>1882.04</v>
      </c>
      <c r="I99" s="13">
        <v>5</v>
      </c>
      <c r="J99" s="13">
        <v>5</v>
      </c>
      <c r="K99" s="13" t="s">
        <v>3346</v>
      </c>
      <c r="L99" s="15">
        <v>376.40800000000002</v>
      </c>
      <c r="M99" s="16">
        <v>376.40800000000002</v>
      </c>
    </row>
    <row r="100" spans="1:13" s="5" customFormat="1" x14ac:dyDescent="0.25">
      <c r="A100" s="12" t="s">
        <v>214</v>
      </c>
      <c r="B100" s="13" t="s">
        <v>215</v>
      </c>
      <c r="C100" s="14">
        <v>45151</v>
      </c>
      <c r="D100" s="13">
        <v>2023</v>
      </c>
      <c r="E100" s="13" t="s">
        <v>21</v>
      </c>
      <c r="F100" s="13" t="s">
        <v>11</v>
      </c>
      <c r="G100" s="15">
        <v>286.14999999999998</v>
      </c>
      <c r="H100" s="15">
        <v>286.14999999999998</v>
      </c>
      <c r="I100" s="13"/>
      <c r="J100" s="13">
        <v>1</v>
      </c>
      <c r="K100" s="13" t="s">
        <v>3348</v>
      </c>
      <c r="L100" s="15">
        <v>286.14999999999998</v>
      </c>
      <c r="M100" s="16">
        <v>206.73795238095235</v>
      </c>
    </row>
    <row r="101" spans="1:13" s="5" customFormat="1" x14ac:dyDescent="0.25">
      <c r="A101" s="12" t="s">
        <v>216</v>
      </c>
      <c r="B101" s="13" t="s">
        <v>217</v>
      </c>
      <c r="C101" s="14">
        <v>45380</v>
      </c>
      <c r="D101" s="13">
        <v>2024</v>
      </c>
      <c r="E101" s="13" t="s">
        <v>21</v>
      </c>
      <c r="F101" s="13" t="s">
        <v>11</v>
      </c>
      <c r="G101" s="15"/>
      <c r="H101" s="15">
        <v>1036.7044444444446</v>
      </c>
      <c r="I101" s="13">
        <v>3</v>
      </c>
      <c r="J101" s="13">
        <v>3</v>
      </c>
      <c r="K101" s="13" t="s">
        <v>15</v>
      </c>
      <c r="L101" s="15">
        <v>345.56814814814817</v>
      </c>
      <c r="M101" s="16">
        <v>345.56814814814817</v>
      </c>
    </row>
    <row r="102" spans="1:13" s="5" customFormat="1" x14ac:dyDescent="0.25">
      <c r="A102" s="12" t="s">
        <v>218</v>
      </c>
      <c r="B102" s="13" t="s">
        <v>219</v>
      </c>
      <c r="C102" s="14">
        <v>45507</v>
      </c>
      <c r="D102" s="13">
        <v>2024</v>
      </c>
      <c r="E102" s="13" t="s">
        <v>10</v>
      </c>
      <c r="F102" s="13" t="s">
        <v>25</v>
      </c>
      <c r="G102" s="15">
        <v>755.33</v>
      </c>
      <c r="H102" s="15">
        <v>755.33</v>
      </c>
      <c r="I102" s="13">
        <v>9</v>
      </c>
      <c r="J102" s="13">
        <v>9</v>
      </c>
      <c r="K102" s="13" t="s">
        <v>3346</v>
      </c>
      <c r="L102" s="15">
        <v>83.925555555555562</v>
      </c>
      <c r="M102" s="16">
        <v>83.925555555555562</v>
      </c>
    </row>
    <row r="103" spans="1:13" s="5" customFormat="1" x14ac:dyDescent="0.25">
      <c r="A103" s="12" t="s">
        <v>220</v>
      </c>
      <c r="B103" s="13" t="s">
        <v>221</v>
      </c>
      <c r="C103" s="14">
        <v>45032</v>
      </c>
      <c r="D103" s="13">
        <v>2023</v>
      </c>
      <c r="E103" s="13" t="s">
        <v>10</v>
      </c>
      <c r="F103" s="13" t="s">
        <v>34</v>
      </c>
      <c r="G103" s="15">
        <v>1002.67</v>
      </c>
      <c r="H103" s="15">
        <v>1002.67</v>
      </c>
      <c r="I103" s="13"/>
      <c r="J103" s="13">
        <v>6</v>
      </c>
      <c r="K103" s="13" t="s">
        <v>15</v>
      </c>
      <c r="L103" s="15">
        <v>167.11166666666665</v>
      </c>
      <c r="M103" s="16">
        <v>162.767875</v>
      </c>
    </row>
    <row r="104" spans="1:13" s="5" customFormat="1" x14ac:dyDescent="0.25">
      <c r="A104" s="12" t="s">
        <v>222</v>
      </c>
      <c r="B104" s="13" t="s">
        <v>223</v>
      </c>
      <c r="C104" s="14">
        <v>45306</v>
      </c>
      <c r="D104" s="13">
        <v>2024</v>
      </c>
      <c r="E104" s="13" t="s">
        <v>14</v>
      </c>
      <c r="F104" s="13" t="s">
        <v>25</v>
      </c>
      <c r="G104" s="15">
        <v>1903.03</v>
      </c>
      <c r="H104" s="15">
        <v>1903.03</v>
      </c>
      <c r="I104" s="13">
        <v>6</v>
      </c>
      <c r="J104" s="13">
        <v>6</v>
      </c>
      <c r="K104" s="13" t="s">
        <v>15</v>
      </c>
      <c r="L104" s="15">
        <v>317.17166666666668</v>
      </c>
      <c r="M104" s="16">
        <v>317.17166666666668</v>
      </c>
    </row>
    <row r="105" spans="1:13" s="5" customFormat="1" x14ac:dyDescent="0.25">
      <c r="A105" s="12" t="s">
        <v>224</v>
      </c>
      <c r="B105" s="13" t="s">
        <v>225</v>
      </c>
      <c r="C105" s="14">
        <v>45817</v>
      </c>
      <c r="D105" s="13">
        <v>2025</v>
      </c>
      <c r="E105" s="13" t="s">
        <v>10</v>
      </c>
      <c r="F105" s="13" t="s">
        <v>11</v>
      </c>
      <c r="G105" s="15">
        <v>674.62</v>
      </c>
      <c r="H105" s="15">
        <v>674.62</v>
      </c>
      <c r="I105" s="13">
        <v>4</v>
      </c>
      <c r="J105" s="13">
        <v>4</v>
      </c>
      <c r="K105" s="13" t="s">
        <v>3348</v>
      </c>
      <c r="L105" s="15">
        <v>168.655</v>
      </c>
      <c r="M105" s="16">
        <v>168.655</v>
      </c>
    </row>
    <row r="106" spans="1:13" s="5" customFormat="1" x14ac:dyDescent="0.25">
      <c r="A106" s="12" t="s">
        <v>226</v>
      </c>
      <c r="B106" s="13" t="s">
        <v>227</v>
      </c>
      <c r="C106" s="14">
        <v>45727</v>
      </c>
      <c r="D106" s="13">
        <v>2025</v>
      </c>
      <c r="E106" s="13" t="s">
        <v>10</v>
      </c>
      <c r="F106" s="13" t="s">
        <v>34</v>
      </c>
      <c r="G106" s="15">
        <v>1620.27</v>
      </c>
      <c r="H106" s="15">
        <v>1620.27</v>
      </c>
      <c r="I106" s="13">
        <v>9</v>
      </c>
      <c r="J106" s="13">
        <v>9</v>
      </c>
      <c r="K106" s="13" t="s">
        <v>35</v>
      </c>
      <c r="L106" s="15">
        <v>180.03</v>
      </c>
      <c r="M106" s="16">
        <v>180.03</v>
      </c>
    </row>
    <row r="107" spans="1:13" s="5" customFormat="1" x14ac:dyDescent="0.25">
      <c r="A107" s="12" t="s">
        <v>228</v>
      </c>
      <c r="B107" s="13" t="s">
        <v>229</v>
      </c>
      <c r="C107" s="14">
        <v>45865</v>
      </c>
      <c r="D107" s="13">
        <v>2025</v>
      </c>
      <c r="E107" s="13" t="s">
        <v>14</v>
      </c>
      <c r="F107" s="13" t="s">
        <v>25</v>
      </c>
      <c r="G107" s="15">
        <v>34.97</v>
      </c>
      <c r="H107" s="15">
        <v>34.97</v>
      </c>
      <c r="I107" s="13"/>
      <c r="J107" s="13">
        <v>1</v>
      </c>
      <c r="K107" s="13" t="s">
        <v>18</v>
      </c>
      <c r="L107" s="15">
        <v>34.97</v>
      </c>
      <c r="M107" s="16">
        <v>266.12583333333333</v>
      </c>
    </row>
    <row r="108" spans="1:13" s="5" customFormat="1" x14ac:dyDescent="0.25">
      <c r="A108" s="12" t="s">
        <v>230</v>
      </c>
      <c r="B108" s="13" t="s">
        <v>231</v>
      </c>
      <c r="C108" s="14">
        <v>45742</v>
      </c>
      <c r="D108" s="13">
        <v>2025</v>
      </c>
      <c r="E108" s="13" t="s">
        <v>21</v>
      </c>
      <c r="F108" s="13" t="s">
        <v>22</v>
      </c>
      <c r="G108" s="15"/>
      <c r="H108" s="15">
        <v>1893.8444444444442</v>
      </c>
      <c r="I108" s="13">
        <v>8</v>
      </c>
      <c r="J108" s="13">
        <v>8</v>
      </c>
      <c r="K108" s="13" t="s">
        <v>18</v>
      </c>
      <c r="L108" s="15">
        <v>236.73055555555553</v>
      </c>
      <c r="M108" s="16">
        <v>236.73055555555553</v>
      </c>
    </row>
    <row r="109" spans="1:13" s="5" customFormat="1" x14ac:dyDescent="0.25">
      <c r="A109" s="12" t="s">
        <v>232</v>
      </c>
      <c r="B109" s="13" t="s">
        <v>233</v>
      </c>
      <c r="C109" s="14">
        <v>45874</v>
      </c>
      <c r="D109" s="13">
        <v>2025</v>
      </c>
      <c r="E109" s="13" t="s">
        <v>3347</v>
      </c>
      <c r="F109" s="13" t="s">
        <v>11</v>
      </c>
      <c r="G109" s="15">
        <v>1281.6600000000001</v>
      </c>
      <c r="H109" s="15">
        <v>1281.6600000000001</v>
      </c>
      <c r="I109" s="13">
        <v>9</v>
      </c>
      <c r="J109" s="13">
        <v>9</v>
      </c>
      <c r="K109" s="13" t="s">
        <v>3346</v>
      </c>
      <c r="L109" s="15">
        <v>142.40666666666667</v>
      </c>
      <c r="M109" s="16">
        <v>142.40666666666667</v>
      </c>
    </row>
    <row r="110" spans="1:13" s="5" customFormat="1" x14ac:dyDescent="0.25">
      <c r="A110" s="12" t="s">
        <v>234</v>
      </c>
      <c r="B110" s="13" t="s">
        <v>235</v>
      </c>
      <c r="C110" s="14">
        <v>45431</v>
      </c>
      <c r="D110" s="13">
        <v>2024</v>
      </c>
      <c r="E110" s="13" t="s">
        <v>14</v>
      </c>
      <c r="F110" s="13" t="s">
        <v>22</v>
      </c>
      <c r="G110" s="15">
        <v>1610.13</v>
      </c>
      <c r="H110" s="15">
        <v>1610.13</v>
      </c>
      <c r="I110" s="13">
        <v>8</v>
      </c>
      <c r="J110" s="13">
        <v>8</v>
      </c>
      <c r="K110" s="13" t="s">
        <v>3346</v>
      </c>
      <c r="L110" s="15">
        <v>201.26625000000001</v>
      </c>
      <c r="M110" s="16">
        <v>201.26625000000001</v>
      </c>
    </row>
    <row r="111" spans="1:13" s="5" customFormat="1" x14ac:dyDescent="0.25">
      <c r="A111" s="12" t="s">
        <v>236</v>
      </c>
      <c r="B111" s="13" t="s">
        <v>237</v>
      </c>
      <c r="C111" s="14">
        <v>45075</v>
      </c>
      <c r="D111" s="13">
        <v>2023</v>
      </c>
      <c r="E111" s="13" t="s">
        <v>3347</v>
      </c>
      <c r="F111" s="13" t="s">
        <v>11</v>
      </c>
      <c r="G111" s="15">
        <v>1243.5899999999999</v>
      </c>
      <c r="H111" s="15">
        <v>1243.5899999999999</v>
      </c>
      <c r="I111" s="13">
        <v>9</v>
      </c>
      <c r="J111" s="13">
        <v>9</v>
      </c>
      <c r="K111" s="13" t="s">
        <v>3346</v>
      </c>
      <c r="L111" s="15">
        <v>138.17666666666665</v>
      </c>
      <c r="M111" s="16">
        <v>138.17666666666665</v>
      </c>
    </row>
    <row r="112" spans="1:13" s="5" customFormat="1" x14ac:dyDescent="0.25">
      <c r="A112" s="12" t="s">
        <v>238</v>
      </c>
      <c r="B112" s="13" t="s">
        <v>239</v>
      </c>
      <c r="C112" s="14">
        <v>45021</v>
      </c>
      <c r="D112" s="13">
        <v>2023</v>
      </c>
      <c r="E112" s="13" t="s">
        <v>3347</v>
      </c>
      <c r="F112" s="13" t="s">
        <v>22</v>
      </c>
      <c r="G112" s="15">
        <v>1516.63</v>
      </c>
      <c r="H112" s="15">
        <v>1516.63</v>
      </c>
      <c r="I112" s="13">
        <v>5</v>
      </c>
      <c r="J112" s="13">
        <v>5</v>
      </c>
      <c r="K112" s="13" t="s">
        <v>18</v>
      </c>
      <c r="L112" s="15">
        <v>303.32600000000002</v>
      </c>
      <c r="M112" s="16">
        <v>303.32600000000002</v>
      </c>
    </row>
    <row r="113" spans="1:13" s="5" customFormat="1" x14ac:dyDescent="0.25">
      <c r="A113" s="12" t="s">
        <v>240</v>
      </c>
      <c r="B113" s="13" t="s">
        <v>241</v>
      </c>
      <c r="C113" s="14">
        <v>45911</v>
      </c>
      <c r="D113" s="13">
        <v>2025</v>
      </c>
      <c r="E113" s="13" t="s">
        <v>10</v>
      </c>
      <c r="F113" s="13" t="s">
        <v>11</v>
      </c>
      <c r="G113" s="15">
        <v>1879.23</v>
      </c>
      <c r="H113" s="15">
        <v>1879.23</v>
      </c>
      <c r="I113" s="13">
        <v>5</v>
      </c>
      <c r="J113" s="13">
        <v>5</v>
      </c>
      <c r="K113" s="13" t="s">
        <v>3346</v>
      </c>
      <c r="L113" s="15">
        <v>375.846</v>
      </c>
      <c r="M113" s="16">
        <v>375.846</v>
      </c>
    </row>
    <row r="114" spans="1:13" s="5" customFormat="1" x14ac:dyDescent="0.25">
      <c r="A114" s="12" t="s">
        <v>242</v>
      </c>
      <c r="B114" s="13" t="s">
        <v>243</v>
      </c>
      <c r="C114" s="14">
        <v>45312</v>
      </c>
      <c r="D114" s="13">
        <v>2024</v>
      </c>
      <c r="E114" s="13" t="s">
        <v>14</v>
      </c>
      <c r="F114" s="13" t="s">
        <v>11</v>
      </c>
      <c r="G114" s="15"/>
      <c r="H114" s="15">
        <v>182.94247619047619</v>
      </c>
      <c r="I114" s="13">
        <v>3</v>
      </c>
      <c r="J114" s="13">
        <v>3</v>
      </c>
      <c r="K114" s="13" t="s">
        <v>18</v>
      </c>
      <c r="L114" s="15">
        <v>60.980825396825395</v>
      </c>
      <c r="M114" s="16">
        <v>60.980825396825395</v>
      </c>
    </row>
    <row r="115" spans="1:13" s="5" customFormat="1" x14ac:dyDescent="0.25">
      <c r="A115" s="12" t="s">
        <v>244</v>
      </c>
      <c r="B115" s="13" t="s">
        <v>245</v>
      </c>
      <c r="C115" s="14">
        <v>45252</v>
      </c>
      <c r="D115" s="13">
        <v>2023</v>
      </c>
      <c r="E115" s="13" t="s">
        <v>21</v>
      </c>
      <c r="F115" s="13" t="s">
        <v>22</v>
      </c>
      <c r="G115" s="15">
        <v>1468.16</v>
      </c>
      <c r="H115" s="15">
        <v>1468.16</v>
      </c>
      <c r="I115" s="13">
        <v>10</v>
      </c>
      <c r="J115" s="13">
        <v>10</v>
      </c>
      <c r="K115" s="13" t="s">
        <v>15</v>
      </c>
      <c r="L115" s="15">
        <v>146.816</v>
      </c>
      <c r="M115" s="16">
        <v>146.816</v>
      </c>
    </row>
    <row r="116" spans="1:13" s="5" customFormat="1" x14ac:dyDescent="0.25">
      <c r="A116" s="12" t="s">
        <v>246</v>
      </c>
      <c r="B116" s="13" t="s">
        <v>247</v>
      </c>
      <c r="C116" s="14">
        <v>44909</v>
      </c>
      <c r="D116" s="13">
        <v>2022</v>
      </c>
      <c r="E116" s="13" t="s">
        <v>10</v>
      </c>
      <c r="F116" s="13" t="s">
        <v>11</v>
      </c>
      <c r="G116" s="15">
        <v>1635.78</v>
      </c>
      <c r="H116" s="15">
        <v>1635.78</v>
      </c>
      <c r="I116" s="13">
        <v>3</v>
      </c>
      <c r="J116" s="13">
        <v>3</v>
      </c>
      <c r="K116" s="13" t="s">
        <v>3348</v>
      </c>
      <c r="L116" s="15">
        <v>545.26</v>
      </c>
      <c r="M116" s="16">
        <v>545.26</v>
      </c>
    </row>
    <row r="117" spans="1:13" s="5" customFormat="1" x14ac:dyDescent="0.25">
      <c r="A117" s="12" t="s">
        <v>248</v>
      </c>
      <c r="B117" s="13" t="s">
        <v>249</v>
      </c>
      <c r="C117" s="14">
        <v>45037</v>
      </c>
      <c r="D117" s="13">
        <v>2023</v>
      </c>
      <c r="E117" s="13" t="s">
        <v>3347</v>
      </c>
      <c r="F117" s="13" t="s">
        <v>25</v>
      </c>
      <c r="G117" s="15">
        <v>784.11</v>
      </c>
      <c r="H117" s="15">
        <v>784.11</v>
      </c>
      <c r="I117" s="13">
        <v>1</v>
      </c>
      <c r="J117" s="13">
        <v>1</v>
      </c>
      <c r="K117" s="13" t="s">
        <v>35</v>
      </c>
      <c r="L117" s="15">
        <v>784.11</v>
      </c>
      <c r="M117" s="16">
        <v>784.11</v>
      </c>
    </row>
    <row r="118" spans="1:13" s="5" customFormat="1" x14ac:dyDescent="0.25">
      <c r="A118" s="12" t="s">
        <v>250</v>
      </c>
      <c r="B118" s="13" t="s">
        <v>251</v>
      </c>
      <c r="C118" s="14">
        <v>45119</v>
      </c>
      <c r="D118" s="13">
        <v>2023</v>
      </c>
      <c r="E118" s="13" t="s">
        <v>3347</v>
      </c>
      <c r="F118" s="13" t="s">
        <v>25</v>
      </c>
      <c r="G118" s="15">
        <v>315.77</v>
      </c>
      <c r="H118" s="15">
        <v>315.77</v>
      </c>
      <c r="I118" s="13">
        <v>10</v>
      </c>
      <c r="J118" s="13">
        <v>10</v>
      </c>
      <c r="K118" s="13" t="s">
        <v>15</v>
      </c>
      <c r="L118" s="15">
        <v>31.576999999999998</v>
      </c>
      <c r="M118" s="16">
        <v>31.576999999999998</v>
      </c>
    </row>
    <row r="119" spans="1:13" s="5" customFormat="1" x14ac:dyDescent="0.25">
      <c r="A119" s="12" t="s">
        <v>252</v>
      </c>
      <c r="B119" s="13" t="s">
        <v>253</v>
      </c>
      <c r="C119" s="14">
        <v>45609</v>
      </c>
      <c r="D119" s="13">
        <v>2024</v>
      </c>
      <c r="E119" s="13" t="s">
        <v>10</v>
      </c>
      <c r="F119" s="13" t="s">
        <v>25</v>
      </c>
      <c r="G119" s="15">
        <v>1149.03</v>
      </c>
      <c r="H119" s="15">
        <v>1149.03</v>
      </c>
      <c r="I119" s="13">
        <v>4</v>
      </c>
      <c r="J119" s="13">
        <v>4</v>
      </c>
      <c r="K119" s="13" t="s">
        <v>35</v>
      </c>
      <c r="L119" s="15">
        <v>287.25749999999999</v>
      </c>
      <c r="M119" s="16">
        <v>287.25749999999999</v>
      </c>
    </row>
    <row r="120" spans="1:13" s="5" customFormat="1" x14ac:dyDescent="0.25">
      <c r="A120" s="12" t="s">
        <v>254</v>
      </c>
      <c r="B120" s="13" t="s">
        <v>255</v>
      </c>
      <c r="C120" s="14">
        <v>45033</v>
      </c>
      <c r="D120" s="13">
        <v>2023</v>
      </c>
      <c r="E120" s="13" t="s">
        <v>3347</v>
      </c>
      <c r="F120" s="13" t="s">
        <v>34</v>
      </c>
      <c r="G120" s="15"/>
      <c r="H120" s="15">
        <v>1286.0661388888889</v>
      </c>
      <c r="I120" s="13">
        <v>6</v>
      </c>
      <c r="J120" s="13">
        <v>6</v>
      </c>
      <c r="K120" s="13" t="s">
        <v>18</v>
      </c>
      <c r="L120" s="15">
        <v>214.34435648148147</v>
      </c>
      <c r="M120" s="16">
        <v>214.34435648148147</v>
      </c>
    </row>
    <row r="121" spans="1:13" s="5" customFormat="1" x14ac:dyDescent="0.25">
      <c r="A121" s="12" t="s">
        <v>256</v>
      </c>
      <c r="B121" s="13" t="s">
        <v>257</v>
      </c>
      <c r="C121" s="14">
        <v>45072</v>
      </c>
      <c r="D121" s="13">
        <v>2023</v>
      </c>
      <c r="E121" s="13" t="s">
        <v>21</v>
      </c>
      <c r="F121" s="13" t="s">
        <v>11</v>
      </c>
      <c r="G121" s="15"/>
      <c r="H121" s="15">
        <v>3548.2821388888883</v>
      </c>
      <c r="I121" s="13">
        <v>4</v>
      </c>
      <c r="J121" s="13">
        <v>4</v>
      </c>
      <c r="K121" s="13" t="s">
        <v>18</v>
      </c>
      <c r="L121" s="15">
        <v>897.666875</v>
      </c>
      <c r="M121" s="16">
        <v>897.666875</v>
      </c>
    </row>
    <row r="122" spans="1:13" s="5" customFormat="1" x14ac:dyDescent="0.25">
      <c r="A122" s="12" t="s">
        <v>258</v>
      </c>
      <c r="B122" s="13" t="s">
        <v>259</v>
      </c>
      <c r="C122" s="14">
        <v>44970</v>
      </c>
      <c r="D122" s="13">
        <v>2023</v>
      </c>
      <c r="E122" s="13" t="s">
        <v>10</v>
      </c>
      <c r="F122" s="13" t="s">
        <v>11</v>
      </c>
      <c r="G122" s="15">
        <v>1157.72</v>
      </c>
      <c r="H122" s="15">
        <v>1157.72</v>
      </c>
      <c r="I122" s="13">
        <v>1</v>
      </c>
      <c r="J122" s="13">
        <v>1</v>
      </c>
      <c r="K122" s="13" t="s">
        <v>3348</v>
      </c>
      <c r="L122" s="15">
        <v>1157.72</v>
      </c>
      <c r="M122" s="16">
        <v>1157.72</v>
      </c>
    </row>
    <row r="123" spans="1:13" s="5" customFormat="1" x14ac:dyDescent="0.25">
      <c r="A123" s="12" t="s">
        <v>260</v>
      </c>
      <c r="B123" s="13" t="s">
        <v>261</v>
      </c>
      <c r="C123" s="14">
        <v>45075</v>
      </c>
      <c r="D123" s="13">
        <v>2023</v>
      </c>
      <c r="E123" s="13" t="s">
        <v>14</v>
      </c>
      <c r="F123" s="13" t="s">
        <v>22</v>
      </c>
      <c r="G123" s="15">
        <v>1411.66</v>
      </c>
      <c r="H123" s="15">
        <v>1411.66</v>
      </c>
      <c r="I123" s="13">
        <v>10</v>
      </c>
      <c r="J123" s="13">
        <v>10</v>
      </c>
      <c r="K123" s="13" t="s">
        <v>3346</v>
      </c>
      <c r="L123" s="15">
        <v>141.166</v>
      </c>
      <c r="M123" s="16">
        <v>141.166</v>
      </c>
    </row>
    <row r="124" spans="1:13" s="5" customFormat="1" x14ac:dyDescent="0.25">
      <c r="A124" s="12" t="s">
        <v>262</v>
      </c>
      <c r="B124" s="13" t="s">
        <v>263</v>
      </c>
      <c r="C124" s="14">
        <v>44967</v>
      </c>
      <c r="D124" s="13">
        <v>2023</v>
      </c>
      <c r="E124" s="13" t="s">
        <v>10</v>
      </c>
      <c r="F124" s="13" t="s">
        <v>11</v>
      </c>
      <c r="G124" s="15"/>
      <c r="H124" s="15">
        <v>988.84324603174593</v>
      </c>
      <c r="I124" s="13">
        <v>2</v>
      </c>
      <c r="J124" s="13">
        <v>2</v>
      </c>
      <c r="K124" s="13" t="s">
        <v>15</v>
      </c>
      <c r="L124" s="15">
        <v>494.42162301587297</v>
      </c>
      <c r="M124" s="16">
        <v>494.42162301587297</v>
      </c>
    </row>
    <row r="125" spans="1:13" s="5" customFormat="1" x14ac:dyDescent="0.25">
      <c r="A125" s="12" t="s">
        <v>264</v>
      </c>
      <c r="B125" s="13" t="s">
        <v>265</v>
      </c>
      <c r="C125" s="14">
        <v>45086</v>
      </c>
      <c r="D125" s="13">
        <v>2023</v>
      </c>
      <c r="E125" s="13" t="s">
        <v>21</v>
      </c>
      <c r="F125" s="13" t="s">
        <v>25</v>
      </c>
      <c r="G125" s="15">
        <v>1002.49</v>
      </c>
      <c r="H125" s="15">
        <v>1002.49</v>
      </c>
      <c r="I125" s="13">
        <v>10</v>
      </c>
      <c r="J125" s="13">
        <v>10</v>
      </c>
      <c r="K125" s="13" t="s">
        <v>18</v>
      </c>
      <c r="L125" s="15">
        <v>100.249</v>
      </c>
      <c r="M125" s="16">
        <v>100.249</v>
      </c>
    </row>
    <row r="126" spans="1:13" s="5" customFormat="1" x14ac:dyDescent="0.25">
      <c r="A126" s="12" t="s">
        <v>266</v>
      </c>
      <c r="B126" s="13" t="s">
        <v>267</v>
      </c>
      <c r="C126" s="14">
        <v>44890</v>
      </c>
      <c r="D126" s="13">
        <v>2022</v>
      </c>
      <c r="E126" s="13" t="s">
        <v>10</v>
      </c>
      <c r="F126" s="13" t="s">
        <v>22</v>
      </c>
      <c r="G126" s="15">
        <v>1329.3</v>
      </c>
      <c r="H126" s="15">
        <v>1329.3</v>
      </c>
      <c r="I126" s="13">
        <v>4</v>
      </c>
      <c r="J126" s="13">
        <v>4</v>
      </c>
      <c r="K126" s="13" t="s">
        <v>3348</v>
      </c>
      <c r="L126" s="15">
        <v>332.32499999999999</v>
      </c>
      <c r="M126" s="16">
        <v>332.32499999999999</v>
      </c>
    </row>
    <row r="127" spans="1:13" s="5" customFormat="1" x14ac:dyDescent="0.25">
      <c r="A127" s="12" t="s">
        <v>268</v>
      </c>
      <c r="B127" s="13" t="s">
        <v>269</v>
      </c>
      <c r="C127" s="14">
        <v>45938</v>
      </c>
      <c r="D127" s="13">
        <v>2025</v>
      </c>
      <c r="E127" s="13" t="s">
        <v>10</v>
      </c>
      <c r="F127" s="13" t="s">
        <v>22</v>
      </c>
      <c r="G127" s="15">
        <v>1022.71</v>
      </c>
      <c r="H127" s="15">
        <v>1022.71</v>
      </c>
      <c r="I127" s="13">
        <v>3</v>
      </c>
      <c r="J127" s="13">
        <v>3</v>
      </c>
      <c r="K127" s="13" t="s">
        <v>35</v>
      </c>
      <c r="L127" s="15">
        <v>340.90333333333336</v>
      </c>
      <c r="M127" s="16">
        <v>340.90333333333336</v>
      </c>
    </row>
    <row r="128" spans="1:13" s="5" customFormat="1" x14ac:dyDescent="0.25">
      <c r="A128" s="12" t="s">
        <v>270</v>
      </c>
      <c r="B128" s="13" t="s">
        <v>271</v>
      </c>
      <c r="C128" s="14">
        <v>45259</v>
      </c>
      <c r="D128" s="13">
        <v>2023</v>
      </c>
      <c r="E128" s="13" t="s">
        <v>14</v>
      </c>
      <c r="F128" s="13" t="s">
        <v>11</v>
      </c>
      <c r="G128" s="15">
        <v>1544.86</v>
      </c>
      <c r="H128" s="15">
        <v>1544.86</v>
      </c>
      <c r="I128" s="13">
        <v>10</v>
      </c>
      <c r="J128" s="13">
        <v>10</v>
      </c>
      <c r="K128" s="13" t="s">
        <v>3348</v>
      </c>
      <c r="L128" s="15">
        <v>154.48599999999999</v>
      </c>
      <c r="M128" s="16">
        <v>154.48599999999999</v>
      </c>
    </row>
    <row r="129" spans="1:13" s="5" customFormat="1" x14ac:dyDescent="0.25">
      <c r="A129" s="12" t="s">
        <v>272</v>
      </c>
      <c r="B129" s="13" t="s">
        <v>273</v>
      </c>
      <c r="C129" s="14">
        <v>45361</v>
      </c>
      <c r="D129" s="13">
        <v>2024</v>
      </c>
      <c r="E129" s="13" t="s">
        <v>21</v>
      </c>
      <c r="F129" s="13" t="s">
        <v>22</v>
      </c>
      <c r="G129" s="15">
        <v>1817.99</v>
      </c>
      <c r="H129" s="15">
        <v>1817.99</v>
      </c>
      <c r="I129" s="13">
        <v>10</v>
      </c>
      <c r="J129" s="13">
        <v>10</v>
      </c>
      <c r="K129" s="13" t="s">
        <v>35</v>
      </c>
      <c r="L129" s="15">
        <v>181.79900000000001</v>
      </c>
      <c r="M129" s="16">
        <v>181.79900000000001</v>
      </c>
    </row>
    <row r="130" spans="1:13" s="5" customFormat="1" x14ac:dyDescent="0.25">
      <c r="A130" s="12" t="s">
        <v>274</v>
      </c>
      <c r="B130" s="13" t="s">
        <v>275</v>
      </c>
      <c r="C130" s="14">
        <v>45670</v>
      </c>
      <c r="D130" s="13">
        <v>2025</v>
      </c>
      <c r="E130" s="13" t="s">
        <v>14</v>
      </c>
      <c r="F130" s="13" t="s">
        <v>34</v>
      </c>
      <c r="G130" s="15">
        <v>1054.05</v>
      </c>
      <c r="H130" s="15">
        <v>1054.05</v>
      </c>
      <c r="I130" s="13">
        <v>1</v>
      </c>
      <c r="J130" s="13">
        <v>1</v>
      </c>
      <c r="K130" s="13" t="s">
        <v>3348</v>
      </c>
      <c r="L130" s="15">
        <v>1054.05</v>
      </c>
      <c r="M130" s="16">
        <v>1054.05</v>
      </c>
    </row>
    <row r="131" spans="1:13" s="5" customFormat="1" x14ac:dyDescent="0.25">
      <c r="A131" s="12" t="s">
        <v>276</v>
      </c>
      <c r="B131" s="13" t="s">
        <v>277</v>
      </c>
      <c r="C131" s="14">
        <v>44971</v>
      </c>
      <c r="D131" s="13">
        <v>2023</v>
      </c>
      <c r="E131" s="13" t="s">
        <v>14</v>
      </c>
      <c r="F131" s="13" t="s">
        <v>25</v>
      </c>
      <c r="G131" s="15">
        <v>1811.06</v>
      </c>
      <c r="H131" s="15">
        <v>1811.06</v>
      </c>
      <c r="I131" s="13">
        <v>4</v>
      </c>
      <c r="J131" s="13">
        <v>4</v>
      </c>
      <c r="K131" s="13" t="s">
        <v>15</v>
      </c>
      <c r="L131" s="15">
        <v>452.76499999999999</v>
      </c>
      <c r="M131" s="16">
        <v>452.76499999999999</v>
      </c>
    </row>
    <row r="132" spans="1:13" s="5" customFormat="1" x14ac:dyDescent="0.25">
      <c r="A132" s="12" t="s">
        <v>278</v>
      </c>
      <c r="B132" s="13" t="s">
        <v>279</v>
      </c>
      <c r="C132" s="14">
        <v>45946</v>
      </c>
      <c r="D132" s="13">
        <v>2025</v>
      </c>
      <c r="E132" s="13" t="s">
        <v>10</v>
      </c>
      <c r="F132" s="13" t="s">
        <v>34</v>
      </c>
      <c r="G132" s="15">
        <v>1822.81</v>
      </c>
      <c r="H132" s="15">
        <v>1822.81</v>
      </c>
      <c r="I132" s="13">
        <v>8</v>
      </c>
      <c r="J132" s="13">
        <v>8</v>
      </c>
      <c r="K132" s="13" t="s">
        <v>3346</v>
      </c>
      <c r="L132" s="15">
        <v>227.85124999999999</v>
      </c>
      <c r="M132" s="16">
        <v>227.85124999999999</v>
      </c>
    </row>
    <row r="133" spans="1:13" s="5" customFormat="1" x14ac:dyDescent="0.25">
      <c r="A133" s="12" t="s">
        <v>280</v>
      </c>
      <c r="B133" s="13" t="s">
        <v>281</v>
      </c>
      <c r="C133" s="14">
        <v>45838</v>
      </c>
      <c r="D133" s="13">
        <v>2025</v>
      </c>
      <c r="E133" s="13" t="s">
        <v>3347</v>
      </c>
      <c r="F133" s="13" t="s">
        <v>34</v>
      </c>
      <c r="G133" s="15">
        <v>1730.71</v>
      </c>
      <c r="H133" s="15">
        <v>1730.71</v>
      </c>
      <c r="I133" s="13">
        <v>8</v>
      </c>
      <c r="J133" s="13">
        <v>8</v>
      </c>
      <c r="K133" s="13" t="s">
        <v>3348</v>
      </c>
      <c r="L133" s="15">
        <v>216.33875</v>
      </c>
      <c r="M133" s="16">
        <v>216.33875</v>
      </c>
    </row>
    <row r="134" spans="1:13" s="5" customFormat="1" x14ac:dyDescent="0.25">
      <c r="A134" s="12" t="s">
        <v>282</v>
      </c>
      <c r="B134" s="13" t="s">
        <v>283</v>
      </c>
      <c r="C134" s="14">
        <v>45479</v>
      </c>
      <c r="D134" s="13">
        <v>2024</v>
      </c>
      <c r="E134" s="13" t="s">
        <v>21</v>
      </c>
      <c r="F134" s="13" t="s">
        <v>22</v>
      </c>
      <c r="G134" s="15">
        <v>321.24</v>
      </c>
      <c r="H134" s="15">
        <v>321.24</v>
      </c>
      <c r="I134" s="13">
        <v>1</v>
      </c>
      <c r="J134" s="13">
        <v>1</v>
      </c>
      <c r="K134" s="13" t="s">
        <v>15</v>
      </c>
      <c r="L134" s="15">
        <v>321.24</v>
      </c>
      <c r="M134" s="16">
        <v>321.24</v>
      </c>
    </row>
    <row r="135" spans="1:13" s="5" customFormat="1" x14ac:dyDescent="0.25">
      <c r="A135" s="12" t="s">
        <v>284</v>
      </c>
      <c r="B135" s="13" t="s">
        <v>285</v>
      </c>
      <c r="C135" s="14">
        <v>45254</v>
      </c>
      <c r="D135" s="13">
        <v>2023</v>
      </c>
      <c r="E135" s="13" t="s">
        <v>3347</v>
      </c>
      <c r="F135" s="13" t="s">
        <v>25</v>
      </c>
      <c r="G135" s="15">
        <v>574</v>
      </c>
      <c r="H135" s="15">
        <v>574</v>
      </c>
      <c r="I135" s="13">
        <v>7</v>
      </c>
      <c r="J135" s="13">
        <v>7</v>
      </c>
      <c r="K135" s="13" t="s">
        <v>35</v>
      </c>
      <c r="L135" s="15">
        <v>82</v>
      </c>
      <c r="M135" s="16">
        <v>82</v>
      </c>
    </row>
    <row r="136" spans="1:13" s="5" customFormat="1" x14ac:dyDescent="0.25">
      <c r="A136" s="12" t="s">
        <v>286</v>
      </c>
      <c r="B136" s="13" t="s">
        <v>287</v>
      </c>
      <c r="C136" s="14">
        <v>44952</v>
      </c>
      <c r="D136" s="13">
        <v>2023</v>
      </c>
      <c r="E136" s="13" t="s">
        <v>21</v>
      </c>
      <c r="F136" s="13" t="s">
        <v>34</v>
      </c>
      <c r="G136" s="15">
        <v>748.03</v>
      </c>
      <c r="H136" s="15">
        <v>748.03</v>
      </c>
      <c r="I136" s="13">
        <v>1</v>
      </c>
      <c r="J136" s="13">
        <v>1</v>
      </c>
      <c r="K136" s="13" t="s">
        <v>35</v>
      </c>
      <c r="L136" s="15">
        <v>748.03</v>
      </c>
      <c r="M136" s="16">
        <v>748.03</v>
      </c>
    </row>
    <row r="137" spans="1:13" s="5" customFormat="1" x14ac:dyDescent="0.25">
      <c r="A137" s="12" t="s">
        <v>288</v>
      </c>
      <c r="B137" s="13" t="s">
        <v>289</v>
      </c>
      <c r="C137" s="14">
        <v>45822</v>
      </c>
      <c r="D137" s="13">
        <v>2025</v>
      </c>
      <c r="E137" s="13" t="s">
        <v>14</v>
      </c>
      <c r="F137" s="13" t="s">
        <v>11</v>
      </c>
      <c r="G137" s="15">
        <v>1359.5</v>
      </c>
      <c r="H137" s="15">
        <v>1359.5</v>
      </c>
      <c r="I137" s="13">
        <v>2</v>
      </c>
      <c r="J137" s="13">
        <v>2</v>
      </c>
      <c r="K137" s="13" t="s">
        <v>3346</v>
      </c>
      <c r="L137" s="15">
        <v>679.75</v>
      </c>
      <c r="M137" s="16">
        <v>679.75</v>
      </c>
    </row>
    <row r="138" spans="1:13" s="5" customFormat="1" x14ac:dyDescent="0.25">
      <c r="A138" s="12" t="s">
        <v>290</v>
      </c>
      <c r="B138" s="13" t="s">
        <v>291</v>
      </c>
      <c r="C138" s="14">
        <v>45328</v>
      </c>
      <c r="D138" s="13">
        <v>2024</v>
      </c>
      <c r="E138" s="13" t="s">
        <v>3347</v>
      </c>
      <c r="F138" s="13" t="s">
        <v>34</v>
      </c>
      <c r="G138" s="15">
        <v>463.15</v>
      </c>
      <c r="H138" s="15">
        <v>463.15</v>
      </c>
      <c r="I138" s="13">
        <v>7</v>
      </c>
      <c r="J138" s="13">
        <v>7</v>
      </c>
      <c r="K138" s="13" t="s">
        <v>35</v>
      </c>
      <c r="L138" s="15">
        <v>66.164285714285711</v>
      </c>
      <c r="M138" s="16">
        <v>66.164285714285711</v>
      </c>
    </row>
    <row r="139" spans="1:13" s="5" customFormat="1" x14ac:dyDescent="0.25">
      <c r="A139" s="12" t="s">
        <v>292</v>
      </c>
      <c r="B139" s="13" t="s">
        <v>293</v>
      </c>
      <c r="C139" s="14">
        <v>45131</v>
      </c>
      <c r="D139" s="13">
        <v>2023</v>
      </c>
      <c r="E139" s="13" t="s">
        <v>21</v>
      </c>
      <c r="F139" s="13" t="s">
        <v>22</v>
      </c>
      <c r="G139" s="15">
        <v>1300.74</v>
      </c>
      <c r="H139" s="15">
        <v>1300.74</v>
      </c>
      <c r="I139" s="13"/>
      <c r="J139" s="13">
        <v>9</v>
      </c>
      <c r="K139" s="13" t="s">
        <v>3346</v>
      </c>
      <c r="L139" s="15">
        <v>144.52666666666667</v>
      </c>
      <c r="M139" s="16">
        <v>149.88264444444445</v>
      </c>
    </row>
    <row r="140" spans="1:13" s="5" customFormat="1" x14ac:dyDescent="0.25">
      <c r="A140" s="12" t="s">
        <v>294</v>
      </c>
      <c r="B140" s="13" t="s">
        <v>295</v>
      </c>
      <c r="C140" s="14">
        <v>45058</v>
      </c>
      <c r="D140" s="13">
        <v>2023</v>
      </c>
      <c r="E140" s="13" t="s">
        <v>10</v>
      </c>
      <c r="F140" s="13" t="s">
        <v>11</v>
      </c>
      <c r="G140" s="15">
        <v>1408.82</v>
      </c>
      <c r="H140" s="15">
        <v>1408.82</v>
      </c>
      <c r="I140" s="13">
        <v>10</v>
      </c>
      <c r="J140" s="13">
        <v>10</v>
      </c>
      <c r="K140" s="13" t="s">
        <v>15</v>
      </c>
      <c r="L140" s="15">
        <v>140.88200000000001</v>
      </c>
      <c r="M140" s="16">
        <v>140.88200000000001</v>
      </c>
    </row>
    <row r="141" spans="1:13" s="5" customFormat="1" x14ac:dyDescent="0.25">
      <c r="A141" s="12" t="s">
        <v>296</v>
      </c>
      <c r="B141" s="13" t="s">
        <v>297</v>
      </c>
      <c r="C141" s="14">
        <v>45754</v>
      </c>
      <c r="D141" s="13">
        <v>2025</v>
      </c>
      <c r="E141" s="13" t="s">
        <v>21</v>
      </c>
      <c r="F141" s="13" t="s">
        <v>22</v>
      </c>
      <c r="G141" s="15">
        <v>1677.27</v>
      </c>
      <c r="H141" s="15">
        <v>1677.27</v>
      </c>
      <c r="I141" s="13">
        <v>5</v>
      </c>
      <c r="J141" s="13">
        <v>5</v>
      </c>
      <c r="K141" s="13" t="s">
        <v>15</v>
      </c>
      <c r="L141" s="15">
        <v>335.45400000000001</v>
      </c>
      <c r="M141" s="16">
        <v>335.45400000000001</v>
      </c>
    </row>
    <row r="142" spans="1:13" s="5" customFormat="1" x14ac:dyDescent="0.25">
      <c r="A142" s="12" t="s">
        <v>298</v>
      </c>
      <c r="B142" s="13" t="s">
        <v>299</v>
      </c>
      <c r="C142" s="14">
        <v>45382</v>
      </c>
      <c r="D142" s="13">
        <v>2024</v>
      </c>
      <c r="E142" s="13" t="s">
        <v>10</v>
      </c>
      <c r="F142" s="13" t="s">
        <v>11</v>
      </c>
      <c r="G142" s="15">
        <v>1447.73</v>
      </c>
      <c r="H142" s="15">
        <v>1447.73</v>
      </c>
      <c r="I142" s="13">
        <v>4</v>
      </c>
      <c r="J142" s="13">
        <v>4</v>
      </c>
      <c r="K142" s="13" t="s">
        <v>3346</v>
      </c>
      <c r="L142" s="15">
        <v>361.9325</v>
      </c>
      <c r="M142" s="16">
        <v>361.9325</v>
      </c>
    </row>
    <row r="143" spans="1:13" s="5" customFormat="1" x14ac:dyDescent="0.25">
      <c r="A143" s="12" t="s">
        <v>300</v>
      </c>
      <c r="B143" s="13" t="s">
        <v>301</v>
      </c>
      <c r="C143" s="14">
        <v>45528</v>
      </c>
      <c r="D143" s="13">
        <v>2024</v>
      </c>
      <c r="E143" s="13" t="s">
        <v>10</v>
      </c>
      <c r="F143" s="13" t="s">
        <v>25</v>
      </c>
      <c r="G143" s="15"/>
      <c r="H143" s="15">
        <v>1289.8137499999998</v>
      </c>
      <c r="I143" s="13">
        <v>5</v>
      </c>
      <c r="J143" s="13">
        <v>5</v>
      </c>
      <c r="K143" s="13" t="s">
        <v>18</v>
      </c>
      <c r="L143" s="15">
        <v>257.96274999999997</v>
      </c>
      <c r="M143" s="16">
        <v>257.96274999999997</v>
      </c>
    </row>
    <row r="144" spans="1:13" s="5" customFormat="1" x14ac:dyDescent="0.25">
      <c r="A144" s="12" t="s">
        <v>302</v>
      </c>
      <c r="B144" s="13" t="s">
        <v>303</v>
      </c>
      <c r="C144" s="14">
        <v>45400</v>
      </c>
      <c r="D144" s="13">
        <v>2024</v>
      </c>
      <c r="E144" s="13" t="s">
        <v>10</v>
      </c>
      <c r="F144" s="13" t="s">
        <v>11</v>
      </c>
      <c r="G144" s="15">
        <v>1314.28</v>
      </c>
      <c r="H144" s="15">
        <v>1314.28</v>
      </c>
      <c r="I144" s="13">
        <v>6</v>
      </c>
      <c r="J144" s="13">
        <v>6</v>
      </c>
      <c r="K144" s="13" t="s">
        <v>15</v>
      </c>
      <c r="L144" s="15">
        <v>219.04666666666665</v>
      </c>
      <c r="M144" s="16">
        <v>219.04666666666665</v>
      </c>
    </row>
    <row r="145" spans="1:13" s="5" customFormat="1" x14ac:dyDescent="0.25">
      <c r="A145" s="12" t="s">
        <v>304</v>
      </c>
      <c r="B145" s="13" t="s">
        <v>305</v>
      </c>
      <c r="C145" s="14">
        <v>45771</v>
      </c>
      <c r="D145" s="13">
        <v>2025</v>
      </c>
      <c r="E145" s="13" t="s">
        <v>21</v>
      </c>
      <c r="F145" s="13" t="s">
        <v>34</v>
      </c>
      <c r="G145" s="15">
        <v>1999.23</v>
      </c>
      <c r="H145" s="15">
        <v>1999.23</v>
      </c>
      <c r="I145" s="13">
        <v>8</v>
      </c>
      <c r="J145" s="13">
        <v>8</v>
      </c>
      <c r="K145" s="13" t="s">
        <v>35</v>
      </c>
      <c r="L145" s="15">
        <v>249.90375</v>
      </c>
      <c r="M145" s="16">
        <v>249.90375</v>
      </c>
    </row>
    <row r="146" spans="1:13" s="5" customFormat="1" x14ac:dyDescent="0.25">
      <c r="A146" s="12" t="s">
        <v>306</v>
      </c>
      <c r="B146" s="13" t="s">
        <v>307</v>
      </c>
      <c r="C146" s="14">
        <v>44990</v>
      </c>
      <c r="D146" s="13">
        <v>2023</v>
      </c>
      <c r="E146" s="13" t="s">
        <v>14</v>
      </c>
      <c r="F146" s="13" t="s">
        <v>22</v>
      </c>
      <c r="G146" s="15">
        <v>165.71</v>
      </c>
      <c r="H146" s="15">
        <v>165.71</v>
      </c>
      <c r="I146" s="13"/>
      <c r="J146" s="13">
        <v>1</v>
      </c>
      <c r="K146" s="13" t="s">
        <v>15</v>
      </c>
      <c r="L146" s="15">
        <v>165.71</v>
      </c>
      <c r="M146" s="16">
        <v>193.27346145124719</v>
      </c>
    </row>
    <row r="147" spans="1:13" s="5" customFormat="1" x14ac:dyDescent="0.25">
      <c r="A147" s="12" t="s">
        <v>308</v>
      </c>
      <c r="B147" s="13" t="s">
        <v>309</v>
      </c>
      <c r="C147" s="14">
        <v>45400</v>
      </c>
      <c r="D147" s="13">
        <v>2024</v>
      </c>
      <c r="E147" s="13" t="s">
        <v>3347</v>
      </c>
      <c r="F147" s="13" t="s">
        <v>11</v>
      </c>
      <c r="G147" s="15">
        <v>1130.77</v>
      </c>
      <c r="H147" s="15">
        <v>1130.77</v>
      </c>
      <c r="I147" s="13">
        <v>6</v>
      </c>
      <c r="J147" s="13">
        <v>6</v>
      </c>
      <c r="K147" s="13" t="s">
        <v>15</v>
      </c>
      <c r="L147" s="15">
        <v>188.46166666666667</v>
      </c>
      <c r="M147" s="16">
        <v>188.46166666666667</v>
      </c>
    </row>
    <row r="148" spans="1:13" s="5" customFormat="1" x14ac:dyDescent="0.25">
      <c r="A148" s="12" t="s">
        <v>310</v>
      </c>
      <c r="B148" s="13" t="s">
        <v>311</v>
      </c>
      <c r="C148" s="14">
        <v>44958</v>
      </c>
      <c r="D148" s="13">
        <v>2023</v>
      </c>
      <c r="E148" s="13" t="s">
        <v>14</v>
      </c>
      <c r="F148" s="13" t="s">
        <v>22</v>
      </c>
      <c r="G148" s="15">
        <v>322.62</v>
      </c>
      <c r="H148" s="15">
        <v>322.62</v>
      </c>
      <c r="I148" s="13">
        <v>3</v>
      </c>
      <c r="J148" s="13">
        <v>3</v>
      </c>
      <c r="K148" s="13" t="s">
        <v>18</v>
      </c>
      <c r="L148" s="15">
        <v>107.54</v>
      </c>
      <c r="M148" s="16">
        <v>107.54</v>
      </c>
    </row>
    <row r="149" spans="1:13" s="5" customFormat="1" x14ac:dyDescent="0.25">
      <c r="A149" s="12" t="s">
        <v>312</v>
      </c>
      <c r="B149" s="13" t="s">
        <v>313</v>
      </c>
      <c r="C149" s="14">
        <v>45791</v>
      </c>
      <c r="D149" s="13">
        <v>2025</v>
      </c>
      <c r="E149" s="13" t="s">
        <v>10</v>
      </c>
      <c r="F149" s="13" t="s">
        <v>34</v>
      </c>
      <c r="G149" s="15">
        <v>1638.61</v>
      </c>
      <c r="H149" s="15">
        <v>1638.61</v>
      </c>
      <c r="I149" s="13">
        <v>4</v>
      </c>
      <c r="J149" s="13">
        <v>4</v>
      </c>
      <c r="K149" s="13" t="s">
        <v>18</v>
      </c>
      <c r="L149" s="15">
        <v>409.65249999999997</v>
      </c>
      <c r="M149" s="16">
        <v>409.65249999999997</v>
      </c>
    </row>
    <row r="150" spans="1:13" s="5" customFormat="1" x14ac:dyDescent="0.25">
      <c r="A150" s="12" t="s">
        <v>314</v>
      </c>
      <c r="B150" s="13" t="s">
        <v>315</v>
      </c>
      <c r="C150" s="14">
        <v>44879</v>
      </c>
      <c r="D150" s="13">
        <v>2022</v>
      </c>
      <c r="E150" s="13" t="s">
        <v>21</v>
      </c>
      <c r="F150" s="13" t="s">
        <v>34</v>
      </c>
      <c r="G150" s="15">
        <v>232.25</v>
      </c>
      <c r="H150" s="15">
        <v>232.25</v>
      </c>
      <c r="I150" s="13">
        <v>3</v>
      </c>
      <c r="J150" s="13">
        <v>3</v>
      </c>
      <c r="K150" s="13" t="s">
        <v>3348</v>
      </c>
      <c r="L150" s="15">
        <v>77.416666666666671</v>
      </c>
      <c r="M150" s="16">
        <v>77.416666666666671</v>
      </c>
    </row>
    <row r="151" spans="1:13" s="5" customFormat="1" x14ac:dyDescent="0.25">
      <c r="A151" s="12" t="s">
        <v>316</v>
      </c>
      <c r="B151" s="13" t="s">
        <v>317</v>
      </c>
      <c r="C151" s="14">
        <v>45856</v>
      </c>
      <c r="D151" s="13">
        <v>2025</v>
      </c>
      <c r="E151" s="13" t="s">
        <v>3347</v>
      </c>
      <c r="F151" s="13" t="s">
        <v>11</v>
      </c>
      <c r="G151" s="15">
        <v>1788.38</v>
      </c>
      <c r="H151" s="15">
        <v>1788.38</v>
      </c>
      <c r="I151" s="13">
        <v>2</v>
      </c>
      <c r="J151" s="13">
        <v>2</v>
      </c>
      <c r="K151" s="13" t="s">
        <v>3348</v>
      </c>
      <c r="L151" s="15">
        <v>894.19</v>
      </c>
      <c r="M151" s="16">
        <v>894.19</v>
      </c>
    </row>
    <row r="152" spans="1:13" s="5" customFormat="1" x14ac:dyDescent="0.25">
      <c r="A152" s="12" t="s">
        <v>318</v>
      </c>
      <c r="B152" s="13" t="s">
        <v>319</v>
      </c>
      <c r="C152" s="14">
        <v>45664</v>
      </c>
      <c r="D152" s="13">
        <v>2025</v>
      </c>
      <c r="E152" s="13" t="s">
        <v>3347</v>
      </c>
      <c r="F152" s="13" t="s">
        <v>22</v>
      </c>
      <c r="G152" s="15">
        <v>1056.76</v>
      </c>
      <c r="H152" s="15">
        <v>1056.76</v>
      </c>
      <c r="I152" s="13">
        <v>6</v>
      </c>
      <c r="J152" s="13">
        <v>6</v>
      </c>
      <c r="K152" s="13" t="s">
        <v>18</v>
      </c>
      <c r="L152" s="15">
        <v>176.12666666666667</v>
      </c>
      <c r="M152" s="16">
        <v>176.12666666666667</v>
      </c>
    </row>
    <row r="153" spans="1:13" s="5" customFormat="1" x14ac:dyDescent="0.25">
      <c r="A153" s="12" t="s">
        <v>320</v>
      </c>
      <c r="B153" s="13" t="s">
        <v>321</v>
      </c>
      <c r="C153" s="14">
        <v>45284</v>
      </c>
      <c r="D153" s="13">
        <v>2023</v>
      </c>
      <c r="E153" s="13" t="s">
        <v>10</v>
      </c>
      <c r="F153" s="13" t="s">
        <v>34</v>
      </c>
      <c r="G153" s="15">
        <v>831.54</v>
      </c>
      <c r="H153" s="15">
        <v>831.54</v>
      </c>
      <c r="I153" s="13">
        <v>10</v>
      </c>
      <c r="J153" s="13">
        <v>10</v>
      </c>
      <c r="K153" s="13" t="s">
        <v>18</v>
      </c>
      <c r="L153" s="15">
        <v>83.153999999999996</v>
      </c>
      <c r="M153" s="16">
        <v>83.153999999999996</v>
      </c>
    </row>
    <row r="154" spans="1:13" s="5" customFormat="1" x14ac:dyDescent="0.25">
      <c r="A154" s="12" t="s">
        <v>322</v>
      </c>
      <c r="B154" s="13" t="s">
        <v>323</v>
      </c>
      <c r="C154" s="14">
        <v>45376</v>
      </c>
      <c r="D154" s="13">
        <v>2024</v>
      </c>
      <c r="E154" s="13" t="s">
        <v>14</v>
      </c>
      <c r="F154" s="13" t="s">
        <v>34</v>
      </c>
      <c r="G154" s="15">
        <v>1299.26</v>
      </c>
      <c r="H154" s="15">
        <v>1299.26</v>
      </c>
      <c r="I154" s="13">
        <v>2</v>
      </c>
      <c r="J154" s="13">
        <v>2</v>
      </c>
      <c r="K154" s="13" t="s">
        <v>15</v>
      </c>
      <c r="L154" s="15">
        <v>649.63</v>
      </c>
      <c r="M154" s="16">
        <v>649.63</v>
      </c>
    </row>
    <row r="155" spans="1:13" s="5" customFormat="1" x14ac:dyDescent="0.25">
      <c r="A155" s="12" t="s">
        <v>324</v>
      </c>
      <c r="B155" s="13" t="s">
        <v>325</v>
      </c>
      <c r="C155" s="14">
        <v>45568</v>
      </c>
      <c r="D155" s="13">
        <v>2024</v>
      </c>
      <c r="E155" s="13" t="s">
        <v>3347</v>
      </c>
      <c r="F155" s="13" t="s">
        <v>22</v>
      </c>
      <c r="G155" s="15">
        <v>1652.93</v>
      </c>
      <c r="H155" s="15">
        <v>1652.93</v>
      </c>
      <c r="I155" s="13">
        <v>10</v>
      </c>
      <c r="J155" s="13">
        <v>10</v>
      </c>
      <c r="K155" s="13" t="s">
        <v>3346</v>
      </c>
      <c r="L155" s="15">
        <v>165.29300000000001</v>
      </c>
      <c r="M155" s="16">
        <v>165.29300000000001</v>
      </c>
    </row>
    <row r="156" spans="1:13" s="5" customFormat="1" x14ac:dyDescent="0.25">
      <c r="A156" s="12" t="s">
        <v>326</v>
      </c>
      <c r="B156" s="13" t="s">
        <v>327</v>
      </c>
      <c r="C156" s="14">
        <v>45663</v>
      </c>
      <c r="D156" s="13">
        <v>2025</v>
      </c>
      <c r="E156" s="13" t="s">
        <v>21</v>
      </c>
      <c r="F156" s="13" t="s">
        <v>11</v>
      </c>
      <c r="G156" s="15">
        <v>1849</v>
      </c>
      <c r="H156" s="15">
        <v>1849</v>
      </c>
      <c r="I156" s="13">
        <v>4</v>
      </c>
      <c r="J156" s="13">
        <v>4</v>
      </c>
      <c r="K156" s="13" t="s">
        <v>15</v>
      </c>
      <c r="L156" s="15">
        <v>462.25</v>
      </c>
      <c r="M156" s="16">
        <v>462.25</v>
      </c>
    </row>
    <row r="157" spans="1:13" s="5" customFormat="1" x14ac:dyDescent="0.25">
      <c r="A157" s="12" t="s">
        <v>328</v>
      </c>
      <c r="B157" s="13" t="s">
        <v>329</v>
      </c>
      <c r="C157" s="14">
        <v>45895</v>
      </c>
      <c r="D157" s="13">
        <v>2025</v>
      </c>
      <c r="E157" s="13" t="s">
        <v>14</v>
      </c>
      <c r="F157" s="13" t="s">
        <v>22</v>
      </c>
      <c r="G157" s="15">
        <v>1657.47</v>
      </c>
      <c r="H157" s="15">
        <v>1657.47</v>
      </c>
      <c r="I157" s="13">
        <v>6</v>
      </c>
      <c r="J157" s="13">
        <v>6</v>
      </c>
      <c r="K157" s="13" t="s">
        <v>3348</v>
      </c>
      <c r="L157" s="15">
        <v>276.245</v>
      </c>
      <c r="M157" s="16">
        <v>276.245</v>
      </c>
    </row>
    <row r="158" spans="1:13" s="5" customFormat="1" x14ac:dyDescent="0.25">
      <c r="A158" s="12" t="s">
        <v>330</v>
      </c>
      <c r="B158" s="13" t="s">
        <v>331</v>
      </c>
      <c r="C158" s="14">
        <v>45153</v>
      </c>
      <c r="D158" s="13">
        <v>2023</v>
      </c>
      <c r="E158" s="13" t="s">
        <v>3347</v>
      </c>
      <c r="F158" s="13" t="s">
        <v>25</v>
      </c>
      <c r="G158" s="15">
        <v>1427.34</v>
      </c>
      <c r="H158" s="15">
        <v>1427.34</v>
      </c>
      <c r="I158" s="13">
        <v>3</v>
      </c>
      <c r="J158" s="13">
        <v>3</v>
      </c>
      <c r="K158" s="13" t="s">
        <v>3346</v>
      </c>
      <c r="L158" s="15">
        <v>475.78</v>
      </c>
      <c r="M158" s="16">
        <v>475.78</v>
      </c>
    </row>
    <row r="159" spans="1:13" s="5" customFormat="1" x14ac:dyDescent="0.25">
      <c r="A159" s="12" t="s">
        <v>332</v>
      </c>
      <c r="B159" s="13" t="s">
        <v>269</v>
      </c>
      <c r="C159" s="14">
        <v>45802</v>
      </c>
      <c r="D159" s="13">
        <v>2025</v>
      </c>
      <c r="E159" s="13" t="s">
        <v>10</v>
      </c>
      <c r="F159" s="13" t="s">
        <v>25</v>
      </c>
      <c r="G159" s="15">
        <v>145.55000000000001</v>
      </c>
      <c r="H159" s="15">
        <v>145.55000000000001</v>
      </c>
      <c r="I159" s="13"/>
      <c r="J159" s="13">
        <v>1</v>
      </c>
      <c r="K159" s="13" t="s">
        <v>3348</v>
      </c>
      <c r="L159" s="15">
        <v>145.55000000000001</v>
      </c>
      <c r="M159" s="16">
        <v>470.72134126984128</v>
      </c>
    </row>
    <row r="160" spans="1:13" s="5" customFormat="1" x14ac:dyDescent="0.25">
      <c r="A160" s="12" t="s">
        <v>333</v>
      </c>
      <c r="B160" s="13" t="s">
        <v>334</v>
      </c>
      <c r="C160" s="14">
        <v>44949</v>
      </c>
      <c r="D160" s="13">
        <v>2023</v>
      </c>
      <c r="E160" s="13" t="s">
        <v>3347</v>
      </c>
      <c r="F160" s="13" t="s">
        <v>34</v>
      </c>
      <c r="G160" s="15">
        <v>544.94000000000005</v>
      </c>
      <c r="H160" s="15">
        <v>544.94000000000005</v>
      </c>
      <c r="I160" s="13">
        <v>1</v>
      </c>
      <c r="J160" s="13">
        <v>1</v>
      </c>
      <c r="K160" s="13" t="s">
        <v>3348</v>
      </c>
      <c r="L160" s="15">
        <v>544.94000000000005</v>
      </c>
      <c r="M160" s="16">
        <v>544.94000000000005</v>
      </c>
    </row>
    <row r="161" spans="1:13" s="5" customFormat="1" x14ac:dyDescent="0.25">
      <c r="A161" s="12" t="s">
        <v>335</v>
      </c>
      <c r="B161" s="13" t="s">
        <v>336</v>
      </c>
      <c r="C161" s="14">
        <v>45883</v>
      </c>
      <c r="D161" s="13">
        <v>2025</v>
      </c>
      <c r="E161" s="13" t="s">
        <v>21</v>
      </c>
      <c r="F161" s="13" t="s">
        <v>22</v>
      </c>
      <c r="G161" s="15">
        <v>45.83</v>
      </c>
      <c r="H161" s="15">
        <v>45.83</v>
      </c>
      <c r="I161" s="13">
        <v>10</v>
      </c>
      <c r="J161" s="13">
        <v>10</v>
      </c>
      <c r="K161" s="13" t="s">
        <v>3346</v>
      </c>
      <c r="L161" s="15">
        <v>4.5830000000000002</v>
      </c>
      <c r="M161" s="16">
        <v>4.5830000000000002</v>
      </c>
    </row>
    <row r="162" spans="1:13" s="5" customFormat="1" x14ac:dyDescent="0.25">
      <c r="A162" s="12" t="s">
        <v>337</v>
      </c>
      <c r="B162" s="13" t="s">
        <v>338</v>
      </c>
      <c r="C162" s="14">
        <v>45912</v>
      </c>
      <c r="D162" s="13">
        <v>2025</v>
      </c>
      <c r="E162" s="13" t="s">
        <v>10</v>
      </c>
      <c r="F162" s="13" t="s">
        <v>22</v>
      </c>
      <c r="G162" s="15"/>
      <c r="H162" s="15">
        <v>3548.2821388888883</v>
      </c>
      <c r="I162" s="13">
        <v>8</v>
      </c>
      <c r="J162" s="13">
        <v>8</v>
      </c>
      <c r="K162" s="13" t="s">
        <v>3348</v>
      </c>
      <c r="L162" s="15">
        <v>725.75985185185198</v>
      </c>
      <c r="M162" s="16">
        <v>725.75985185185198</v>
      </c>
    </row>
    <row r="163" spans="1:13" s="5" customFormat="1" x14ac:dyDescent="0.25">
      <c r="A163" s="12" t="s">
        <v>339</v>
      </c>
      <c r="B163" s="13" t="s">
        <v>340</v>
      </c>
      <c r="C163" s="14">
        <v>45897</v>
      </c>
      <c r="D163" s="13">
        <v>2025</v>
      </c>
      <c r="E163" s="13" t="s">
        <v>14</v>
      </c>
      <c r="F163" s="13" t="s">
        <v>34</v>
      </c>
      <c r="G163" s="15">
        <v>1221.5899999999999</v>
      </c>
      <c r="H163" s="15">
        <v>1221.5899999999999</v>
      </c>
      <c r="I163" s="13">
        <v>7</v>
      </c>
      <c r="J163" s="13">
        <v>7</v>
      </c>
      <c r="K163" s="13" t="s">
        <v>35</v>
      </c>
      <c r="L163" s="15">
        <v>174.51285714285714</v>
      </c>
      <c r="M163" s="16">
        <v>174.51285714285714</v>
      </c>
    </row>
    <row r="164" spans="1:13" s="5" customFormat="1" x14ac:dyDescent="0.25">
      <c r="A164" s="12" t="s">
        <v>341</v>
      </c>
      <c r="B164" s="13" t="s">
        <v>342</v>
      </c>
      <c r="C164" s="14">
        <v>45183</v>
      </c>
      <c r="D164" s="13">
        <v>2023</v>
      </c>
      <c r="E164" s="13" t="s">
        <v>14</v>
      </c>
      <c r="F164" s="13" t="s">
        <v>34</v>
      </c>
      <c r="G164" s="15">
        <v>1121.5</v>
      </c>
      <c r="H164" s="15">
        <v>1121.5</v>
      </c>
      <c r="I164" s="13"/>
      <c r="J164" s="13">
        <v>3</v>
      </c>
      <c r="K164" s="13" t="s">
        <v>3348</v>
      </c>
      <c r="L164" s="15">
        <v>373.83333333333331</v>
      </c>
      <c r="M164" s="16">
        <v>390.75545833333331</v>
      </c>
    </row>
    <row r="165" spans="1:13" s="5" customFormat="1" x14ac:dyDescent="0.25">
      <c r="A165" s="12" t="s">
        <v>343</v>
      </c>
      <c r="B165" s="13" t="s">
        <v>344</v>
      </c>
      <c r="C165" s="14">
        <v>45932</v>
      </c>
      <c r="D165" s="13">
        <v>2025</v>
      </c>
      <c r="E165" s="13" t="s">
        <v>3347</v>
      </c>
      <c r="F165" s="13" t="s">
        <v>22</v>
      </c>
      <c r="G165" s="15">
        <v>1037.7</v>
      </c>
      <c r="H165" s="15">
        <v>1037.7</v>
      </c>
      <c r="I165" s="13">
        <v>9</v>
      </c>
      <c r="J165" s="13">
        <v>9</v>
      </c>
      <c r="K165" s="13" t="s">
        <v>15</v>
      </c>
      <c r="L165" s="15">
        <v>115.30000000000001</v>
      </c>
      <c r="M165" s="16">
        <v>115.30000000000001</v>
      </c>
    </row>
    <row r="166" spans="1:13" s="5" customFormat="1" x14ac:dyDescent="0.25">
      <c r="A166" s="12" t="s">
        <v>345</v>
      </c>
      <c r="B166" s="13" t="s">
        <v>346</v>
      </c>
      <c r="C166" s="14">
        <v>45797</v>
      </c>
      <c r="D166" s="13">
        <v>2025</v>
      </c>
      <c r="E166" s="13" t="s">
        <v>14</v>
      </c>
      <c r="F166" s="13" t="s">
        <v>11</v>
      </c>
      <c r="G166" s="15">
        <v>154.61000000000001</v>
      </c>
      <c r="H166" s="15">
        <v>154.61000000000001</v>
      </c>
      <c r="I166" s="13">
        <v>10</v>
      </c>
      <c r="J166" s="13">
        <v>10</v>
      </c>
      <c r="K166" s="13" t="s">
        <v>35</v>
      </c>
      <c r="L166" s="15">
        <v>15.461000000000002</v>
      </c>
      <c r="M166" s="16">
        <v>15.461000000000002</v>
      </c>
    </row>
    <row r="167" spans="1:13" s="5" customFormat="1" x14ac:dyDescent="0.25">
      <c r="A167" s="12" t="s">
        <v>347</v>
      </c>
      <c r="B167" s="13" t="s">
        <v>348</v>
      </c>
      <c r="C167" s="14">
        <v>45527</v>
      </c>
      <c r="D167" s="13">
        <v>2024</v>
      </c>
      <c r="E167" s="13" t="s">
        <v>10</v>
      </c>
      <c r="F167" s="13" t="s">
        <v>22</v>
      </c>
      <c r="G167" s="15">
        <v>1729.67</v>
      </c>
      <c r="H167" s="15">
        <v>1729.67</v>
      </c>
      <c r="I167" s="13">
        <v>9</v>
      </c>
      <c r="J167" s="13">
        <v>9</v>
      </c>
      <c r="K167" s="13" t="s">
        <v>35</v>
      </c>
      <c r="L167" s="15">
        <v>192.18555555555557</v>
      </c>
      <c r="M167" s="16">
        <v>192.18555555555557</v>
      </c>
    </row>
    <row r="168" spans="1:13" s="5" customFormat="1" x14ac:dyDescent="0.25">
      <c r="A168" s="12" t="s">
        <v>349</v>
      </c>
      <c r="B168" s="13" t="s">
        <v>350</v>
      </c>
      <c r="C168" s="14">
        <v>44881</v>
      </c>
      <c r="D168" s="13">
        <v>2022</v>
      </c>
      <c r="E168" s="13" t="s">
        <v>21</v>
      </c>
      <c r="F168" s="13" t="s">
        <v>22</v>
      </c>
      <c r="G168" s="15">
        <v>1127.77</v>
      </c>
      <c r="H168" s="15">
        <v>1127.77</v>
      </c>
      <c r="I168" s="13">
        <v>6</v>
      </c>
      <c r="J168" s="13">
        <v>6</v>
      </c>
      <c r="K168" s="13" t="s">
        <v>35</v>
      </c>
      <c r="L168" s="15">
        <v>187.96166666666667</v>
      </c>
      <c r="M168" s="16">
        <v>187.96166666666667</v>
      </c>
    </row>
    <row r="169" spans="1:13" s="5" customFormat="1" x14ac:dyDescent="0.25">
      <c r="A169" s="12" t="s">
        <v>351</v>
      </c>
      <c r="B169" s="13" t="s">
        <v>352</v>
      </c>
      <c r="C169" s="14">
        <v>45203</v>
      </c>
      <c r="D169" s="13">
        <v>2023</v>
      </c>
      <c r="E169" s="13" t="s">
        <v>14</v>
      </c>
      <c r="F169" s="13" t="s">
        <v>22</v>
      </c>
      <c r="G169" s="15">
        <v>1662.29</v>
      </c>
      <c r="H169" s="15">
        <v>1662.29</v>
      </c>
      <c r="I169" s="13">
        <v>10</v>
      </c>
      <c r="J169" s="13">
        <v>10</v>
      </c>
      <c r="K169" s="13" t="s">
        <v>18</v>
      </c>
      <c r="L169" s="15">
        <v>166.22899999999998</v>
      </c>
      <c r="M169" s="16">
        <v>166.22899999999998</v>
      </c>
    </row>
    <row r="170" spans="1:13" s="5" customFormat="1" x14ac:dyDescent="0.25">
      <c r="A170" s="12" t="s">
        <v>353</v>
      </c>
      <c r="B170" s="13" t="s">
        <v>354</v>
      </c>
      <c r="C170" s="14">
        <v>45658</v>
      </c>
      <c r="D170" s="13">
        <v>2025</v>
      </c>
      <c r="E170" s="13" t="s">
        <v>21</v>
      </c>
      <c r="F170" s="13" t="s">
        <v>11</v>
      </c>
      <c r="G170" s="15">
        <v>1287.1600000000001</v>
      </c>
      <c r="H170" s="15">
        <v>1287.1600000000001</v>
      </c>
      <c r="I170" s="13">
        <v>4</v>
      </c>
      <c r="J170" s="13">
        <v>4</v>
      </c>
      <c r="K170" s="13" t="s">
        <v>35</v>
      </c>
      <c r="L170" s="15">
        <v>321.79000000000002</v>
      </c>
      <c r="M170" s="16">
        <v>321.79000000000002</v>
      </c>
    </row>
    <row r="171" spans="1:13" s="5" customFormat="1" x14ac:dyDescent="0.25">
      <c r="A171" s="12" t="s">
        <v>355</v>
      </c>
      <c r="B171" s="13" t="s">
        <v>356</v>
      </c>
      <c r="C171" s="14">
        <v>45548</v>
      </c>
      <c r="D171" s="13">
        <v>2024</v>
      </c>
      <c r="E171" s="13" t="s">
        <v>10</v>
      </c>
      <c r="F171" s="13" t="s">
        <v>34</v>
      </c>
      <c r="G171" s="15"/>
      <c r="H171" s="15">
        <v>2664.1726874999995</v>
      </c>
      <c r="I171" s="13">
        <v>6</v>
      </c>
      <c r="J171" s="13">
        <v>6</v>
      </c>
      <c r="K171" s="13" t="s">
        <v>18</v>
      </c>
      <c r="L171" s="15">
        <v>444.02878124999989</v>
      </c>
      <c r="M171" s="16">
        <v>444.02878124999995</v>
      </c>
    </row>
    <row r="172" spans="1:13" s="5" customFormat="1" x14ac:dyDescent="0.25">
      <c r="A172" s="12" t="s">
        <v>357</v>
      </c>
      <c r="B172" s="13" t="s">
        <v>358</v>
      </c>
      <c r="C172" s="14">
        <v>45573</v>
      </c>
      <c r="D172" s="13">
        <v>2024</v>
      </c>
      <c r="E172" s="13" t="s">
        <v>10</v>
      </c>
      <c r="F172" s="13" t="s">
        <v>34</v>
      </c>
      <c r="G172" s="15">
        <v>1982.18</v>
      </c>
      <c r="H172" s="15">
        <v>1982.18</v>
      </c>
      <c r="I172" s="13">
        <v>2</v>
      </c>
      <c r="J172" s="13">
        <v>2</v>
      </c>
      <c r="K172" s="13" t="s">
        <v>35</v>
      </c>
      <c r="L172" s="15">
        <v>991.09</v>
      </c>
      <c r="M172" s="16">
        <v>991.09</v>
      </c>
    </row>
    <row r="173" spans="1:13" s="5" customFormat="1" x14ac:dyDescent="0.25">
      <c r="A173" s="12" t="s">
        <v>359</v>
      </c>
      <c r="B173" s="13" t="s">
        <v>360</v>
      </c>
      <c r="C173" s="14">
        <v>45648</v>
      </c>
      <c r="D173" s="13">
        <v>2024</v>
      </c>
      <c r="E173" s="13" t="s">
        <v>21</v>
      </c>
      <c r="F173" s="13" t="s">
        <v>11</v>
      </c>
      <c r="G173" s="15"/>
      <c r="H173" s="15">
        <v>2009.1950000000004</v>
      </c>
      <c r="I173" s="13">
        <v>6</v>
      </c>
      <c r="J173" s="13">
        <v>6</v>
      </c>
      <c r="K173" s="13" t="s">
        <v>18</v>
      </c>
      <c r="L173" s="15">
        <v>334.8658333333334</v>
      </c>
      <c r="M173" s="16">
        <v>334.8658333333334</v>
      </c>
    </row>
    <row r="174" spans="1:13" s="5" customFormat="1" x14ac:dyDescent="0.25">
      <c r="A174" s="12" t="s">
        <v>361</v>
      </c>
      <c r="B174" s="13" t="s">
        <v>362</v>
      </c>
      <c r="C174" s="14">
        <v>45145</v>
      </c>
      <c r="D174" s="13">
        <v>2023</v>
      </c>
      <c r="E174" s="13" t="s">
        <v>3347</v>
      </c>
      <c r="F174" s="13" t="s">
        <v>34</v>
      </c>
      <c r="G174" s="15">
        <v>1355.16</v>
      </c>
      <c r="H174" s="15">
        <v>1355.16</v>
      </c>
      <c r="I174" s="13">
        <v>1</v>
      </c>
      <c r="J174" s="13">
        <v>1</v>
      </c>
      <c r="K174" s="13" t="s">
        <v>3348</v>
      </c>
      <c r="L174" s="15">
        <v>1355.16</v>
      </c>
      <c r="M174" s="16">
        <v>1355.16</v>
      </c>
    </row>
    <row r="175" spans="1:13" s="5" customFormat="1" x14ac:dyDescent="0.25">
      <c r="A175" s="12" t="s">
        <v>363</v>
      </c>
      <c r="B175" s="13" t="s">
        <v>364</v>
      </c>
      <c r="C175" s="14">
        <v>45515</v>
      </c>
      <c r="D175" s="13">
        <v>2024</v>
      </c>
      <c r="E175" s="13" t="s">
        <v>21</v>
      </c>
      <c r="F175" s="13" t="s">
        <v>22</v>
      </c>
      <c r="G175" s="15">
        <v>1628.35</v>
      </c>
      <c r="H175" s="15">
        <v>1628.35</v>
      </c>
      <c r="I175" s="13"/>
      <c r="J175" s="13">
        <v>4</v>
      </c>
      <c r="K175" s="13" t="s">
        <v>3348</v>
      </c>
      <c r="L175" s="15">
        <v>407.08749999999998</v>
      </c>
      <c r="M175" s="16">
        <v>428.9487738095238</v>
      </c>
    </row>
    <row r="176" spans="1:13" s="5" customFormat="1" x14ac:dyDescent="0.25">
      <c r="A176" s="12" t="s">
        <v>365</v>
      </c>
      <c r="B176" s="13" t="s">
        <v>366</v>
      </c>
      <c r="C176" s="14">
        <v>45940</v>
      </c>
      <c r="D176" s="13">
        <v>2025</v>
      </c>
      <c r="E176" s="13" t="s">
        <v>21</v>
      </c>
      <c r="F176" s="13" t="s">
        <v>34</v>
      </c>
      <c r="G176" s="15">
        <v>577.52</v>
      </c>
      <c r="H176" s="15">
        <v>577.52</v>
      </c>
      <c r="I176" s="13">
        <v>10</v>
      </c>
      <c r="J176" s="13">
        <v>10</v>
      </c>
      <c r="K176" s="13" t="s">
        <v>3348</v>
      </c>
      <c r="L176" s="15">
        <v>57.751999999999995</v>
      </c>
      <c r="M176" s="16">
        <v>57.751999999999995</v>
      </c>
    </row>
    <row r="177" spans="1:13" s="5" customFormat="1" x14ac:dyDescent="0.25">
      <c r="A177" s="12" t="s">
        <v>367</v>
      </c>
      <c r="B177" s="13" t="s">
        <v>368</v>
      </c>
      <c r="C177" s="14">
        <v>45234</v>
      </c>
      <c r="D177" s="13">
        <v>2023</v>
      </c>
      <c r="E177" s="13" t="s">
        <v>3347</v>
      </c>
      <c r="F177" s="13" t="s">
        <v>22</v>
      </c>
      <c r="G177" s="15">
        <v>403.49</v>
      </c>
      <c r="H177" s="15">
        <v>403.49</v>
      </c>
      <c r="I177" s="13">
        <v>2</v>
      </c>
      <c r="J177" s="13">
        <v>2</v>
      </c>
      <c r="K177" s="13" t="s">
        <v>15</v>
      </c>
      <c r="L177" s="15">
        <v>201.745</v>
      </c>
      <c r="M177" s="16">
        <v>201.745</v>
      </c>
    </row>
    <row r="178" spans="1:13" s="5" customFormat="1" x14ac:dyDescent="0.25">
      <c r="A178" s="12" t="s">
        <v>369</v>
      </c>
      <c r="B178" s="13" t="s">
        <v>370</v>
      </c>
      <c r="C178" s="14">
        <v>45833</v>
      </c>
      <c r="D178" s="13">
        <v>2025</v>
      </c>
      <c r="E178" s="13" t="s">
        <v>3347</v>
      </c>
      <c r="F178" s="13" t="s">
        <v>34</v>
      </c>
      <c r="G178" s="15">
        <v>699.29</v>
      </c>
      <c r="H178" s="15">
        <v>699.29</v>
      </c>
      <c r="I178" s="13">
        <v>7</v>
      </c>
      <c r="J178" s="13">
        <v>7</v>
      </c>
      <c r="K178" s="13" t="s">
        <v>3346</v>
      </c>
      <c r="L178" s="15">
        <v>99.898571428571429</v>
      </c>
      <c r="M178" s="16">
        <v>99.898571428571429</v>
      </c>
    </row>
    <row r="179" spans="1:13" s="5" customFormat="1" x14ac:dyDescent="0.25">
      <c r="A179" s="12" t="s">
        <v>371</v>
      </c>
      <c r="B179" s="13" t="s">
        <v>372</v>
      </c>
      <c r="C179" s="14">
        <v>45051</v>
      </c>
      <c r="D179" s="13">
        <v>2023</v>
      </c>
      <c r="E179" s="13" t="s">
        <v>3347</v>
      </c>
      <c r="F179" s="13" t="s">
        <v>34</v>
      </c>
      <c r="G179" s="15"/>
      <c r="H179" s="15">
        <v>2226.0651322751323</v>
      </c>
      <c r="I179" s="13">
        <v>8</v>
      </c>
      <c r="J179" s="13">
        <v>8</v>
      </c>
      <c r="K179" s="13" t="s">
        <v>15</v>
      </c>
      <c r="L179" s="15">
        <v>278.25814153439154</v>
      </c>
      <c r="M179" s="16">
        <v>278.25814153439154</v>
      </c>
    </row>
    <row r="180" spans="1:13" s="5" customFormat="1" x14ac:dyDescent="0.25">
      <c r="A180" s="12" t="s">
        <v>373</v>
      </c>
      <c r="B180" s="13" t="s">
        <v>374</v>
      </c>
      <c r="C180" s="14">
        <v>45761</v>
      </c>
      <c r="D180" s="13">
        <v>2025</v>
      </c>
      <c r="E180" s="13" t="s">
        <v>14</v>
      </c>
      <c r="F180" s="13" t="s">
        <v>22</v>
      </c>
      <c r="G180" s="15">
        <v>1035.3</v>
      </c>
      <c r="H180" s="15">
        <v>1035.3</v>
      </c>
      <c r="I180" s="13">
        <v>4</v>
      </c>
      <c r="J180" s="13">
        <v>4</v>
      </c>
      <c r="K180" s="13" t="s">
        <v>35</v>
      </c>
      <c r="L180" s="15">
        <v>258.82499999999999</v>
      </c>
      <c r="M180" s="16">
        <v>258.82499999999999</v>
      </c>
    </row>
    <row r="181" spans="1:13" s="5" customFormat="1" x14ac:dyDescent="0.25">
      <c r="A181" s="12" t="s">
        <v>375</v>
      </c>
      <c r="B181" s="13" t="s">
        <v>376</v>
      </c>
      <c r="C181" s="14">
        <v>45251</v>
      </c>
      <c r="D181" s="13">
        <v>2023</v>
      </c>
      <c r="E181" s="13" t="s">
        <v>10</v>
      </c>
      <c r="F181" s="13" t="s">
        <v>22</v>
      </c>
      <c r="G181" s="15">
        <v>644.05999999999995</v>
      </c>
      <c r="H181" s="15">
        <v>644.05999999999995</v>
      </c>
      <c r="I181" s="13">
        <v>5</v>
      </c>
      <c r="J181" s="13">
        <v>5</v>
      </c>
      <c r="K181" s="13" t="s">
        <v>3348</v>
      </c>
      <c r="L181" s="15">
        <v>128.81199999999998</v>
      </c>
      <c r="M181" s="16">
        <v>128.81199999999998</v>
      </c>
    </row>
    <row r="182" spans="1:13" s="5" customFormat="1" x14ac:dyDescent="0.25">
      <c r="A182" s="12" t="s">
        <v>377</v>
      </c>
      <c r="B182" s="13" t="s">
        <v>378</v>
      </c>
      <c r="C182" s="14">
        <v>45951</v>
      </c>
      <c r="D182" s="13">
        <v>2025</v>
      </c>
      <c r="E182" s="13" t="s">
        <v>3347</v>
      </c>
      <c r="F182" s="13" t="s">
        <v>34</v>
      </c>
      <c r="G182" s="15">
        <v>1737.29</v>
      </c>
      <c r="H182" s="15">
        <v>1737.29</v>
      </c>
      <c r="I182" s="13">
        <v>2</v>
      </c>
      <c r="J182" s="13">
        <v>2</v>
      </c>
      <c r="K182" s="13" t="s">
        <v>3348</v>
      </c>
      <c r="L182" s="15">
        <v>868.64499999999998</v>
      </c>
      <c r="M182" s="16">
        <v>868.64499999999998</v>
      </c>
    </row>
    <row r="183" spans="1:13" s="5" customFormat="1" x14ac:dyDescent="0.25">
      <c r="A183" s="12" t="s">
        <v>379</v>
      </c>
      <c r="B183" s="13" t="s">
        <v>380</v>
      </c>
      <c r="C183" s="14">
        <v>45386</v>
      </c>
      <c r="D183" s="13">
        <v>2024</v>
      </c>
      <c r="E183" s="13" t="s">
        <v>14</v>
      </c>
      <c r="F183" s="13" t="s">
        <v>25</v>
      </c>
      <c r="G183" s="15"/>
      <c r="H183" s="15">
        <v>2322.5766857142858</v>
      </c>
      <c r="I183" s="13">
        <v>8</v>
      </c>
      <c r="J183" s="13">
        <v>8</v>
      </c>
      <c r="K183" s="13" t="s">
        <v>15</v>
      </c>
      <c r="L183" s="15">
        <v>290.32208571428572</v>
      </c>
      <c r="M183" s="16">
        <v>290.32208571428572</v>
      </c>
    </row>
    <row r="184" spans="1:13" s="5" customFormat="1" x14ac:dyDescent="0.25">
      <c r="A184" s="12" t="s">
        <v>381</v>
      </c>
      <c r="B184" s="13" t="s">
        <v>382</v>
      </c>
      <c r="C184" s="14">
        <v>45082</v>
      </c>
      <c r="D184" s="13">
        <v>2023</v>
      </c>
      <c r="E184" s="13" t="s">
        <v>3347</v>
      </c>
      <c r="F184" s="13" t="s">
        <v>22</v>
      </c>
      <c r="G184" s="15">
        <v>69.709999999999994</v>
      </c>
      <c r="H184" s="15">
        <v>69.709999999999994</v>
      </c>
      <c r="I184" s="13">
        <v>6</v>
      </c>
      <c r="J184" s="13">
        <v>6</v>
      </c>
      <c r="K184" s="13" t="s">
        <v>3346</v>
      </c>
      <c r="L184" s="15">
        <v>11.618333333333332</v>
      </c>
      <c r="M184" s="16">
        <v>11.618333333333332</v>
      </c>
    </row>
    <row r="185" spans="1:13" s="5" customFormat="1" x14ac:dyDescent="0.25">
      <c r="A185" s="12" t="s">
        <v>383</v>
      </c>
      <c r="B185" s="13" t="s">
        <v>384</v>
      </c>
      <c r="C185" s="14">
        <v>45886</v>
      </c>
      <c r="D185" s="13">
        <v>2025</v>
      </c>
      <c r="E185" s="13" t="s">
        <v>14</v>
      </c>
      <c r="F185" s="13" t="s">
        <v>34</v>
      </c>
      <c r="G185" s="15">
        <v>1897.29</v>
      </c>
      <c r="H185" s="15">
        <v>1897.29</v>
      </c>
      <c r="I185" s="13">
        <v>3</v>
      </c>
      <c r="J185" s="13">
        <v>3</v>
      </c>
      <c r="K185" s="13" t="s">
        <v>35</v>
      </c>
      <c r="L185" s="15">
        <v>632.42999999999995</v>
      </c>
      <c r="M185" s="16">
        <v>632.42999999999995</v>
      </c>
    </row>
    <row r="186" spans="1:13" s="5" customFormat="1" x14ac:dyDescent="0.25">
      <c r="A186" s="12" t="s">
        <v>385</v>
      </c>
      <c r="B186" s="13" t="s">
        <v>386</v>
      </c>
      <c r="C186" s="14">
        <v>45842</v>
      </c>
      <c r="D186" s="13">
        <v>2025</v>
      </c>
      <c r="E186" s="13" t="s">
        <v>14</v>
      </c>
      <c r="F186" s="13" t="s">
        <v>22</v>
      </c>
      <c r="G186" s="15">
        <v>215.85</v>
      </c>
      <c r="H186" s="15">
        <v>215.85</v>
      </c>
      <c r="I186" s="13">
        <v>9</v>
      </c>
      <c r="J186" s="13">
        <v>9</v>
      </c>
      <c r="K186" s="13" t="s">
        <v>15</v>
      </c>
      <c r="L186" s="15">
        <v>23.983333333333334</v>
      </c>
      <c r="M186" s="16">
        <v>23.983333333333334</v>
      </c>
    </row>
    <row r="187" spans="1:13" s="5" customFormat="1" x14ac:dyDescent="0.25">
      <c r="A187" s="12" t="s">
        <v>387</v>
      </c>
      <c r="B187" s="13" t="s">
        <v>388</v>
      </c>
      <c r="C187" s="14">
        <v>45870</v>
      </c>
      <c r="D187" s="13">
        <v>2025</v>
      </c>
      <c r="E187" s="13" t="s">
        <v>21</v>
      </c>
      <c r="F187" s="13" t="s">
        <v>22</v>
      </c>
      <c r="G187" s="15"/>
      <c r="H187" s="15">
        <v>895.12336734693872</v>
      </c>
      <c r="I187" s="13">
        <v>3</v>
      </c>
      <c r="J187" s="13">
        <v>3</v>
      </c>
      <c r="K187" s="13" t="s">
        <v>35</v>
      </c>
      <c r="L187" s="15">
        <v>298.37445578231291</v>
      </c>
      <c r="M187" s="16">
        <v>298.37445578231291</v>
      </c>
    </row>
    <row r="188" spans="1:13" s="5" customFormat="1" x14ac:dyDescent="0.25">
      <c r="A188" s="12" t="s">
        <v>389</v>
      </c>
      <c r="B188" s="13" t="s">
        <v>390</v>
      </c>
      <c r="C188" s="14">
        <v>45409</v>
      </c>
      <c r="D188" s="13">
        <v>2024</v>
      </c>
      <c r="E188" s="13" t="s">
        <v>3347</v>
      </c>
      <c r="F188" s="13" t="s">
        <v>34</v>
      </c>
      <c r="G188" s="15">
        <v>429.55</v>
      </c>
      <c r="H188" s="15">
        <v>429.55</v>
      </c>
      <c r="I188" s="13">
        <v>10</v>
      </c>
      <c r="J188" s="13">
        <v>10</v>
      </c>
      <c r="K188" s="13" t="s">
        <v>18</v>
      </c>
      <c r="L188" s="15">
        <v>42.954999999999998</v>
      </c>
      <c r="M188" s="16">
        <v>42.954999999999998</v>
      </c>
    </row>
    <row r="189" spans="1:13" s="5" customFormat="1" x14ac:dyDescent="0.25">
      <c r="A189" s="12" t="s">
        <v>392</v>
      </c>
      <c r="B189" s="13" t="s">
        <v>393</v>
      </c>
      <c r="C189" s="14">
        <v>44883</v>
      </c>
      <c r="D189" s="13">
        <v>2022</v>
      </c>
      <c r="E189" s="13" t="s">
        <v>14</v>
      </c>
      <c r="F189" s="13" t="s">
        <v>22</v>
      </c>
      <c r="G189" s="15">
        <v>831.76</v>
      </c>
      <c r="H189" s="15">
        <v>831.76</v>
      </c>
      <c r="I189" s="13"/>
      <c r="J189" s="13">
        <v>5</v>
      </c>
      <c r="K189" s="13" t="s">
        <v>3348</v>
      </c>
      <c r="L189" s="15">
        <v>166.352</v>
      </c>
      <c r="M189" s="16">
        <v>165.26333333333332</v>
      </c>
    </row>
    <row r="190" spans="1:13" s="5" customFormat="1" x14ac:dyDescent="0.25">
      <c r="A190" s="12" t="s">
        <v>394</v>
      </c>
      <c r="B190" s="13" t="s">
        <v>395</v>
      </c>
      <c r="C190" s="14">
        <v>44954</v>
      </c>
      <c r="D190" s="13">
        <v>2023</v>
      </c>
      <c r="E190" s="13" t="s">
        <v>21</v>
      </c>
      <c r="F190" s="13" t="s">
        <v>22</v>
      </c>
      <c r="G190" s="15">
        <v>1692.76</v>
      </c>
      <c r="H190" s="15">
        <v>1692.76</v>
      </c>
      <c r="I190" s="13">
        <v>8</v>
      </c>
      <c r="J190" s="13">
        <v>8</v>
      </c>
      <c r="K190" s="13" t="s">
        <v>15</v>
      </c>
      <c r="L190" s="15">
        <v>211.595</v>
      </c>
      <c r="M190" s="16">
        <v>211.595</v>
      </c>
    </row>
    <row r="191" spans="1:13" s="5" customFormat="1" x14ac:dyDescent="0.25">
      <c r="A191" s="12" t="s">
        <v>396</v>
      </c>
      <c r="B191" s="13" t="s">
        <v>397</v>
      </c>
      <c r="C191" s="14">
        <v>44982</v>
      </c>
      <c r="D191" s="13">
        <v>2023</v>
      </c>
      <c r="E191" s="13" t="s">
        <v>21</v>
      </c>
      <c r="F191" s="13" t="s">
        <v>34</v>
      </c>
      <c r="G191" s="15">
        <v>1937.05</v>
      </c>
      <c r="H191" s="15">
        <v>1937.05</v>
      </c>
      <c r="I191" s="13"/>
      <c r="J191" s="13">
        <v>10</v>
      </c>
      <c r="K191" s="13" t="s">
        <v>15</v>
      </c>
      <c r="L191" s="15">
        <v>149.00384615384615</v>
      </c>
      <c r="M191" s="16">
        <v>153.92233333333334</v>
      </c>
    </row>
    <row r="192" spans="1:13" s="5" customFormat="1" x14ac:dyDescent="0.25">
      <c r="A192" s="12" t="s">
        <v>398</v>
      </c>
      <c r="B192" s="13" t="s">
        <v>399</v>
      </c>
      <c r="C192" s="14">
        <v>45010</v>
      </c>
      <c r="D192" s="13">
        <v>2023</v>
      </c>
      <c r="E192" s="13" t="s">
        <v>14</v>
      </c>
      <c r="F192" s="13" t="s">
        <v>34</v>
      </c>
      <c r="G192" s="15">
        <v>1762.22</v>
      </c>
      <c r="H192" s="15">
        <v>1762.22</v>
      </c>
      <c r="I192" s="13">
        <v>4</v>
      </c>
      <c r="J192" s="13">
        <v>4</v>
      </c>
      <c r="K192" s="13" t="s">
        <v>15</v>
      </c>
      <c r="L192" s="15">
        <v>440.55500000000001</v>
      </c>
      <c r="M192" s="16">
        <v>440.55500000000001</v>
      </c>
    </row>
    <row r="193" spans="1:13" s="5" customFormat="1" x14ac:dyDescent="0.25">
      <c r="A193" s="12" t="s">
        <v>400</v>
      </c>
      <c r="B193" s="13" t="s">
        <v>401</v>
      </c>
      <c r="C193" s="14">
        <v>45922</v>
      </c>
      <c r="D193" s="13">
        <v>2025</v>
      </c>
      <c r="E193" s="13" t="s">
        <v>14</v>
      </c>
      <c r="F193" s="13" t="s">
        <v>34</v>
      </c>
      <c r="G193" s="15">
        <v>172.17</v>
      </c>
      <c r="H193" s="15">
        <v>172.17</v>
      </c>
      <c r="I193" s="13">
        <v>8</v>
      </c>
      <c r="J193" s="13">
        <v>8</v>
      </c>
      <c r="K193" s="13" t="s">
        <v>18</v>
      </c>
      <c r="L193" s="15">
        <v>21.521249999999998</v>
      </c>
      <c r="M193" s="16">
        <v>21.521249999999998</v>
      </c>
    </row>
    <row r="194" spans="1:13" s="5" customFormat="1" x14ac:dyDescent="0.25">
      <c r="A194" s="12" t="s">
        <v>402</v>
      </c>
      <c r="B194" s="13" t="s">
        <v>403</v>
      </c>
      <c r="C194" s="14">
        <v>45138</v>
      </c>
      <c r="D194" s="13">
        <v>2023</v>
      </c>
      <c r="E194" s="13" t="s">
        <v>14</v>
      </c>
      <c r="F194" s="13" t="s">
        <v>22</v>
      </c>
      <c r="G194" s="15">
        <v>199.63</v>
      </c>
      <c r="H194" s="15">
        <v>199.63</v>
      </c>
      <c r="I194" s="13"/>
      <c r="J194" s="13">
        <v>1</v>
      </c>
      <c r="K194" s="13" t="s">
        <v>35</v>
      </c>
      <c r="L194" s="15">
        <v>199.63</v>
      </c>
      <c r="M194" s="16">
        <v>221.71176530612249</v>
      </c>
    </row>
    <row r="195" spans="1:13" s="5" customFormat="1" x14ac:dyDescent="0.25">
      <c r="A195" s="12" t="s">
        <v>404</v>
      </c>
      <c r="B195" s="13" t="s">
        <v>405</v>
      </c>
      <c r="C195" s="14">
        <v>45771</v>
      </c>
      <c r="D195" s="13">
        <v>2025</v>
      </c>
      <c r="E195" s="13" t="s">
        <v>21</v>
      </c>
      <c r="F195" s="13" t="s">
        <v>25</v>
      </c>
      <c r="G195" s="15">
        <v>1712.23</v>
      </c>
      <c r="H195" s="15">
        <v>1712.23</v>
      </c>
      <c r="I195" s="13">
        <v>8</v>
      </c>
      <c r="J195" s="13">
        <v>8</v>
      </c>
      <c r="K195" s="13" t="s">
        <v>35</v>
      </c>
      <c r="L195" s="15">
        <v>214.02875</v>
      </c>
      <c r="M195" s="16">
        <v>214.02875</v>
      </c>
    </row>
    <row r="196" spans="1:13" s="5" customFormat="1" x14ac:dyDescent="0.25">
      <c r="A196" s="12" t="s">
        <v>406</v>
      </c>
      <c r="B196" s="13" t="s">
        <v>407</v>
      </c>
      <c r="C196" s="14">
        <v>45555</v>
      </c>
      <c r="D196" s="13">
        <v>2024</v>
      </c>
      <c r="E196" s="13" t="s">
        <v>3347</v>
      </c>
      <c r="F196" s="13" t="s">
        <v>22</v>
      </c>
      <c r="G196" s="15"/>
      <c r="H196" s="15">
        <v>1630.7122222222222</v>
      </c>
      <c r="I196" s="13">
        <v>5</v>
      </c>
      <c r="J196" s="13">
        <v>5</v>
      </c>
      <c r="K196" s="13" t="s">
        <v>35</v>
      </c>
      <c r="L196" s="15">
        <v>326.14244444444444</v>
      </c>
      <c r="M196" s="16">
        <v>326.14244444444444</v>
      </c>
    </row>
    <row r="197" spans="1:13" s="5" customFormat="1" x14ac:dyDescent="0.25">
      <c r="A197" s="12" t="s">
        <v>408</v>
      </c>
      <c r="B197" s="13" t="s">
        <v>409</v>
      </c>
      <c r="C197" s="14">
        <v>45545</v>
      </c>
      <c r="D197" s="13">
        <v>2024</v>
      </c>
      <c r="E197" s="13" t="s">
        <v>3347</v>
      </c>
      <c r="F197" s="13" t="s">
        <v>22</v>
      </c>
      <c r="G197" s="15">
        <v>1536.75</v>
      </c>
      <c r="H197" s="15">
        <v>1536.75</v>
      </c>
      <c r="I197" s="13">
        <v>4</v>
      </c>
      <c r="J197" s="13">
        <v>4</v>
      </c>
      <c r="K197" s="13" t="s">
        <v>15</v>
      </c>
      <c r="L197" s="15">
        <v>384.1875</v>
      </c>
      <c r="M197" s="16">
        <v>384.1875</v>
      </c>
    </row>
    <row r="198" spans="1:13" s="5" customFormat="1" x14ac:dyDescent="0.25">
      <c r="A198" s="12" t="s">
        <v>410</v>
      </c>
      <c r="B198" s="13" t="s">
        <v>411</v>
      </c>
      <c r="C198" s="14">
        <v>45415</v>
      </c>
      <c r="D198" s="13">
        <v>2024</v>
      </c>
      <c r="E198" s="13" t="s">
        <v>14</v>
      </c>
      <c r="F198" s="13" t="s">
        <v>22</v>
      </c>
      <c r="G198" s="15">
        <v>389.8</v>
      </c>
      <c r="H198" s="15">
        <v>389.8</v>
      </c>
      <c r="I198" s="13">
        <v>9</v>
      </c>
      <c r="J198" s="13">
        <v>9</v>
      </c>
      <c r="K198" s="13" t="s">
        <v>18</v>
      </c>
      <c r="L198" s="15">
        <v>43.31111111111111</v>
      </c>
      <c r="M198" s="16">
        <v>43.31111111111111</v>
      </c>
    </row>
    <row r="199" spans="1:13" s="5" customFormat="1" x14ac:dyDescent="0.25">
      <c r="A199" s="12" t="s">
        <v>412</v>
      </c>
      <c r="B199" s="13" t="s">
        <v>413</v>
      </c>
      <c r="C199" s="14">
        <v>45493</v>
      </c>
      <c r="D199" s="13">
        <v>2024</v>
      </c>
      <c r="E199" s="13" t="s">
        <v>14</v>
      </c>
      <c r="F199" s="13" t="s">
        <v>25</v>
      </c>
      <c r="G199" s="15">
        <v>1103.76</v>
      </c>
      <c r="H199" s="15">
        <v>1103.76</v>
      </c>
      <c r="I199" s="13">
        <v>6</v>
      </c>
      <c r="J199" s="13">
        <v>6</v>
      </c>
      <c r="K199" s="13" t="s">
        <v>3346</v>
      </c>
      <c r="L199" s="15">
        <v>183.96</v>
      </c>
      <c r="M199" s="16">
        <v>183.96</v>
      </c>
    </row>
    <row r="200" spans="1:13" s="5" customFormat="1" x14ac:dyDescent="0.25">
      <c r="A200" s="12" t="s">
        <v>414</v>
      </c>
      <c r="B200" s="13" t="s">
        <v>415</v>
      </c>
      <c r="C200" s="14">
        <v>45601</v>
      </c>
      <c r="D200" s="13">
        <v>2024</v>
      </c>
      <c r="E200" s="13" t="s">
        <v>3347</v>
      </c>
      <c r="F200" s="13" t="s">
        <v>11</v>
      </c>
      <c r="G200" s="15">
        <v>1428.83</v>
      </c>
      <c r="H200" s="15">
        <v>1428.83</v>
      </c>
      <c r="I200" s="13">
        <v>10</v>
      </c>
      <c r="J200" s="13">
        <v>10</v>
      </c>
      <c r="K200" s="13" t="s">
        <v>18</v>
      </c>
      <c r="L200" s="15">
        <v>142.88299999999998</v>
      </c>
      <c r="M200" s="16">
        <v>142.88299999999998</v>
      </c>
    </row>
    <row r="201" spans="1:13" s="5" customFormat="1" x14ac:dyDescent="0.25">
      <c r="A201" s="12" t="s">
        <v>416</v>
      </c>
      <c r="B201" s="13" t="s">
        <v>417</v>
      </c>
      <c r="C201" s="14">
        <v>44943</v>
      </c>
      <c r="D201" s="13">
        <v>2023</v>
      </c>
      <c r="E201" s="13" t="s">
        <v>14</v>
      </c>
      <c r="F201" s="13" t="s">
        <v>34</v>
      </c>
      <c r="G201" s="15">
        <v>1962.79</v>
      </c>
      <c r="H201" s="15">
        <v>1962.79</v>
      </c>
      <c r="I201" s="13">
        <v>4</v>
      </c>
      <c r="J201" s="13">
        <v>4</v>
      </c>
      <c r="K201" s="13" t="s">
        <v>35</v>
      </c>
      <c r="L201" s="15">
        <v>490.69749999999999</v>
      </c>
      <c r="M201" s="16">
        <v>490.69749999999999</v>
      </c>
    </row>
    <row r="202" spans="1:13" s="5" customFormat="1" x14ac:dyDescent="0.25">
      <c r="A202" s="12" t="s">
        <v>418</v>
      </c>
      <c r="B202" s="13" t="s">
        <v>419</v>
      </c>
      <c r="C202" s="14">
        <v>45101</v>
      </c>
      <c r="D202" s="13">
        <v>2023</v>
      </c>
      <c r="E202" s="13" t="s">
        <v>14</v>
      </c>
      <c r="F202" s="13" t="s">
        <v>34</v>
      </c>
      <c r="G202" s="15">
        <v>1779.53</v>
      </c>
      <c r="H202" s="15">
        <v>1779.53</v>
      </c>
      <c r="I202" s="13">
        <v>9</v>
      </c>
      <c r="J202" s="13">
        <v>9</v>
      </c>
      <c r="K202" s="13" t="s">
        <v>18</v>
      </c>
      <c r="L202" s="15">
        <v>197.72555555555556</v>
      </c>
      <c r="M202" s="16">
        <v>197.72555555555556</v>
      </c>
    </row>
    <row r="203" spans="1:13" s="5" customFormat="1" x14ac:dyDescent="0.25">
      <c r="A203" s="12" t="s">
        <v>420</v>
      </c>
      <c r="B203" s="13" t="s">
        <v>421</v>
      </c>
      <c r="C203" s="14">
        <v>45539</v>
      </c>
      <c r="D203" s="13">
        <v>2024</v>
      </c>
      <c r="E203" s="13" t="s">
        <v>21</v>
      </c>
      <c r="F203" s="13" t="s">
        <v>34</v>
      </c>
      <c r="G203" s="15">
        <v>573.4</v>
      </c>
      <c r="H203" s="15">
        <v>573.4</v>
      </c>
      <c r="I203" s="13"/>
      <c r="J203" s="13">
        <v>3</v>
      </c>
      <c r="K203" s="13" t="s">
        <v>35</v>
      </c>
      <c r="L203" s="15">
        <v>191.13333333333333</v>
      </c>
      <c r="M203" s="16">
        <v>164.04357142857143</v>
      </c>
    </row>
    <row r="204" spans="1:13" s="5" customFormat="1" x14ac:dyDescent="0.25">
      <c r="A204" s="12" t="s">
        <v>422</v>
      </c>
      <c r="B204" s="13" t="s">
        <v>423</v>
      </c>
      <c r="C204" s="14">
        <v>45541</v>
      </c>
      <c r="D204" s="13">
        <v>2024</v>
      </c>
      <c r="E204" s="13" t="s">
        <v>14</v>
      </c>
      <c r="F204" s="13" t="s">
        <v>34</v>
      </c>
      <c r="G204" s="15">
        <v>986.19</v>
      </c>
      <c r="H204" s="15">
        <v>986.19</v>
      </c>
      <c r="I204" s="13">
        <v>7</v>
      </c>
      <c r="J204" s="13">
        <v>7</v>
      </c>
      <c r="K204" s="13" t="s">
        <v>35</v>
      </c>
      <c r="L204" s="15">
        <v>140.88428571428571</v>
      </c>
      <c r="M204" s="16">
        <v>140.88428571428571</v>
      </c>
    </row>
    <row r="205" spans="1:13" s="5" customFormat="1" x14ac:dyDescent="0.25">
      <c r="A205" s="12" t="s">
        <v>424</v>
      </c>
      <c r="B205" s="13" t="s">
        <v>425</v>
      </c>
      <c r="C205" s="14">
        <v>45046</v>
      </c>
      <c r="D205" s="13">
        <v>2023</v>
      </c>
      <c r="E205" s="13" t="s">
        <v>3347</v>
      </c>
      <c r="F205" s="13" t="s">
        <v>22</v>
      </c>
      <c r="G205" s="15"/>
      <c r="H205" s="15">
        <v>1105.2991865079364</v>
      </c>
      <c r="I205" s="13">
        <v>6</v>
      </c>
      <c r="J205" s="13">
        <v>6</v>
      </c>
      <c r="K205" s="13" t="s">
        <v>18</v>
      </c>
      <c r="L205" s="15">
        <v>184.21653108465605</v>
      </c>
      <c r="M205" s="16">
        <v>184.21653108465605</v>
      </c>
    </row>
    <row r="206" spans="1:13" s="5" customFormat="1" x14ac:dyDescent="0.25">
      <c r="A206" s="12" t="s">
        <v>426</v>
      </c>
      <c r="B206" s="13" t="s">
        <v>427</v>
      </c>
      <c r="C206" s="14">
        <v>45528</v>
      </c>
      <c r="D206" s="13">
        <v>2024</v>
      </c>
      <c r="E206" s="13" t="s">
        <v>3347</v>
      </c>
      <c r="F206" s="13" t="s">
        <v>11</v>
      </c>
      <c r="G206" s="15">
        <v>1266.92</v>
      </c>
      <c r="H206" s="15">
        <v>1266.92</v>
      </c>
      <c r="I206" s="13">
        <v>6</v>
      </c>
      <c r="J206" s="13">
        <v>6</v>
      </c>
      <c r="K206" s="13" t="s">
        <v>3348</v>
      </c>
      <c r="L206" s="15">
        <v>211.15333333333334</v>
      </c>
      <c r="M206" s="16">
        <v>211.15333333333334</v>
      </c>
    </row>
    <row r="207" spans="1:13" s="5" customFormat="1" x14ac:dyDescent="0.25">
      <c r="A207" s="12" t="s">
        <v>428</v>
      </c>
      <c r="B207" s="13" t="s">
        <v>429</v>
      </c>
      <c r="C207" s="14">
        <v>45292</v>
      </c>
      <c r="D207" s="13">
        <v>2024</v>
      </c>
      <c r="E207" s="13" t="s">
        <v>21</v>
      </c>
      <c r="F207" s="13" t="s">
        <v>22</v>
      </c>
      <c r="G207" s="15">
        <v>227.48</v>
      </c>
      <c r="H207" s="15">
        <v>227.48</v>
      </c>
      <c r="I207" s="13">
        <v>7</v>
      </c>
      <c r="J207" s="13">
        <v>7</v>
      </c>
      <c r="K207" s="13" t="s">
        <v>35</v>
      </c>
      <c r="L207" s="15">
        <v>32.497142857142855</v>
      </c>
      <c r="M207" s="16">
        <v>32.497142857142855</v>
      </c>
    </row>
    <row r="208" spans="1:13" s="5" customFormat="1" x14ac:dyDescent="0.25">
      <c r="A208" s="12" t="s">
        <v>430</v>
      </c>
      <c r="B208" s="13" t="s">
        <v>431</v>
      </c>
      <c r="C208" s="14">
        <v>44873</v>
      </c>
      <c r="D208" s="13">
        <v>2022</v>
      </c>
      <c r="E208" s="13" t="s">
        <v>14</v>
      </c>
      <c r="F208" s="13" t="s">
        <v>22</v>
      </c>
      <c r="G208" s="15">
        <v>1265.45</v>
      </c>
      <c r="H208" s="15">
        <v>1265.45</v>
      </c>
      <c r="I208" s="13">
        <v>8</v>
      </c>
      <c r="J208" s="13">
        <v>8</v>
      </c>
      <c r="K208" s="13" t="s">
        <v>3346</v>
      </c>
      <c r="L208" s="15">
        <v>158.18125000000001</v>
      </c>
      <c r="M208" s="16">
        <v>158.18125000000001</v>
      </c>
    </row>
    <row r="209" spans="1:13" s="5" customFormat="1" x14ac:dyDescent="0.25">
      <c r="A209" s="12" t="s">
        <v>432</v>
      </c>
      <c r="B209" s="13" t="s">
        <v>433</v>
      </c>
      <c r="C209" s="14">
        <v>44990</v>
      </c>
      <c r="D209" s="13">
        <v>2023</v>
      </c>
      <c r="E209" s="13" t="s">
        <v>3347</v>
      </c>
      <c r="F209" s="13" t="s">
        <v>34</v>
      </c>
      <c r="G209" s="15">
        <v>1365.23</v>
      </c>
      <c r="H209" s="15">
        <v>1365.23</v>
      </c>
      <c r="I209" s="13">
        <v>10</v>
      </c>
      <c r="J209" s="13">
        <v>10</v>
      </c>
      <c r="K209" s="13" t="s">
        <v>3348</v>
      </c>
      <c r="L209" s="15">
        <v>136.523</v>
      </c>
      <c r="M209" s="16">
        <v>136.523</v>
      </c>
    </row>
    <row r="210" spans="1:13" s="5" customFormat="1" x14ac:dyDescent="0.25">
      <c r="A210" s="12" t="s">
        <v>434</v>
      </c>
      <c r="B210" s="13" t="s">
        <v>435</v>
      </c>
      <c r="C210" s="14">
        <v>45368</v>
      </c>
      <c r="D210" s="13">
        <v>2024</v>
      </c>
      <c r="E210" s="13" t="s">
        <v>10</v>
      </c>
      <c r="F210" s="13" t="s">
        <v>11</v>
      </c>
      <c r="G210" s="15">
        <v>264.36</v>
      </c>
      <c r="H210" s="15">
        <v>264.36</v>
      </c>
      <c r="I210" s="13">
        <v>6</v>
      </c>
      <c r="J210" s="13">
        <v>6</v>
      </c>
      <c r="K210" s="13" t="s">
        <v>15</v>
      </c>
      <c r="L210" s="15">
        <v>44.06</v>
      </c>
      <c r="M210" s="16">
        <v>44.06</v>
      </c>
    </row>
    <row r="211" spans="1:13" s="5" customFormat="1" x14ac:dyDescent="0.25">
      <c r="A211" s="12" t="s">
        <v>436</v>
      </c>
      <c r="B211" s="13" t="s">
        <v>437</v>
      </c>
      <c r="C211" s="14">
        <v>45090</v>
      </c>
      <c r="D211" s="13">
        <v>2023</v>
      </c>
      <c r="E211" s="13" t="s">
        <v>3347</v>
      </c>
      <c r="F211" s="13" t="s">
        <v>11</v>
      </c>
      <c r="G211" s="15">
        <v>1746.66</v>
      </c>
      <c r="H211" s="15">
        <v>1746.66</v>
      </c>
      <c r="I211" s="13">
        <v>4</v>
      </c>
      <c r="J211" s="13">
        <v>4</v>
      </c>
      <c r="K211" s="13" t="s">
        <v>15</v>
      </c>
      <c r="L211" s="15">
        <v>436.66500000000002</v>
      </c>
      <c r="M211" s="16">
        <v>436.66500000000002</v>
      </c>
    </row>
    <row r="212" spans="1:13" s="5" customFormat="1" x14ac:dyDescent="0.25">
      <c r="A212" s="12" t="s">
        <v>438</v>
      </c>
      <c r="B212" s="13" t="s">
        <v>439</v>
      </c>
      <c r="C212" s="14">
        <v>45435</v>
      </c>
      <c r="D212" s="13">
        <v>2024</v>
      </c>
      <c r="E212" s="13" t="s">
        <v>14</v>
      </c>
      <c r="F212" s="13" t="s">
        <v>22</v>
      </c>
      <c r="G212" s="15">
        <v>162.44</v>
      </c>
      <c r="H212" s="15">
        <v>162.44</v>
      </c>
      <c r="I212" s="13">
        <v>7</v>
      </c>
      <c r="J212" s="13">
        <v>7</v>
      </c>
      <c r="K212" s="13" t="s">
        <v>3346</v>
      </c>
      <c r="L212" s="15">
        <v>23.205714285714286</v>
      </c>
      <c r="M212" s="16">
        <v>23.205714285714286</v>
      </c>
    </row>
    <row r="213" spans="1:13" s="5" customFormat="1" x14ac:dyDescent="0.25">
      <c r="A213" s="12" t="s">
        <v>440</v>
      </c>
      <c r="B213" s="13" t="s">
        <v>441</v>
      </c>
      <c r="C213" s="14">
        <v>45797</v>
      </c>
      <c r="D213" s="13">
        <v>2025</v>
      </c>
      <c r="E213" s="13" t="s">
        <v>10</v>
      </c>
      <c r="F213" s="13" t="s">
        <v>22</v>
      </c>
      <c r="G213" s="15">
        <v>606.61</v>
      </c>
      <c r="H213" s="15">
        <v>606.61</v>
      </c>
      <c r="I213" s="13">
        <v>8</v>
      </c>
      <c r="J213" s="13">
        <v>8</v>
      </c>
      <c r="K213" s="13" t="s">
        <v>18</v>
      </c>
      <c r="L213" s="15">
        <v>75.826250000000002</v>
      </c>
      <c r="M213" s="16">
        <v>75.826250000000002</v>
      </c>
    </row>
    <row r="214" spans="1:13" s="5" customFormat="1" x14ac:dyDescent="0.25">
      <c r="A214" s="12" t="s">
        <v>442</v>
      </c>
      <c r="B214" s="13" t="s">
        <v>443</v>
      </c>
      <c r="C214" s="14">
        <v>45339</v>
      </c>
      <c r="D214" s="13">
        <v>2024</v>
      </c>
      <c r="E214" s="13" t="s">
        <v>21</v>
      </c>
      <c r="F214" s="13" t="s">
        <v>34</v>
      </c>
      <c r="G214" s="15"/>
      <c r="H214" s="15">
        <v>1757.6616190476193</v>
      </c>
      <c r="I214" s="13">
        <v>6</v>
      </c>
      <c r="J214" s="13">
        <v>6</v>
      </c>
      <c r="K214" s="13" t="s">
        <v>15</v>
      </c>
      <c r="L214" s="15">
        <v>292.9436031746032</v>
      </c>
      <c r="M214" s="16">
        <v>292.9436031746032</v>
      </c>
    </row>
    <row r="215" spans="1:13" s="5" customFormat="1" x14ac:dyDescent="0.25">
      <c r="A215" s="12" t="s">
        <v>444</v>
      </c>
      <c r="B215" s="13" t="s">
        <v>445</v>
      </c>
      <c r="C215" s="14">
        <v>44956</v>
      </c>
      <c r="D215" s="13">
        <v>2023</v>
      </c>
      <c r="E215" s="13" t="s">
        <v>14</v>
      </c>
      <c r="F215" s="13" t="s">
        <v>22</v>
      </c>
      <c r="G215" s="15">
        <v>1815.01</v>
      </c>
      <c r="H215" s="15">
        <v>1815.01</v>
      </c>
      <c r="I215" s="13">
        <v>9</v>
      </c>
      <c r="J215" s="13">
        <v>9</v>
      </c>
      <c r="K215" s="13" t="s">
        <v>15</v>
      </c>
      <c r="L215" s="15">
        <v>201.66777777777779</v>
      </c>
      <c r="M215" s="16">
        <v>201.66777777777779</v>
      </c>
    </row>
    <row r="216" spans="1:13" s="5" customFormat="1" x14ac:dyDescent="0.25">
      <c r="A216" s="12" t="s">
        <v>446</v>
      </c>
      <c r="B216" s="13" t="s">
        <v>447</v>
      </c>
      <c r="C216" s="14">
        <v>45848</v>
      </c>
      <c r="D216" s="13">
        <v>2025</v>
      </c>
      <c r="E216" s="13" t="s">
        <v>14</v>
      </c>
      <c r="F216" s="13" t="s">
        <v>22</v>
      </c>
      <c r="G216" s="15">
        <v>417.7</v>
      </c>
      <c r="H216" s="15">
        <v>417.7</v>
      </c>
      <c r="I216" s="13">
        <v>1</v>
      </c>
      <c r="J216" s="13">
        <v>1</v>
      </c>
      <c r="K216" s="13" t="s">
        <v>15</v>
      </c>
      <c r="L216" s="15">
        <v>417.7</v>
      </c>
      <c r="M216" s="16">
        <v>417.7</v>
      </c>
    </row>
    <row r="217" spans="1:13" s="5" customFormat="1" x14ac:dyDescent="0.25">
      <c r="A217" s="12" t="s">
        <v>448</v>
      </c>
      <c r="B217" s="13" t="s">
        <v>449</v>
      </c>
      <c r="C217" s="14">
        <v>44994</v>
      </c>
      <c r="D217" s="13">
        <v>2023</v>
      </c>
      <c r="E217" s="13" t="s">
        <v>3347</v>
      </c>
      <c r="F217" s="13" t="s">
        <v>22</v>
      </c>
      <c r="G217" s="15">
        <v>611.41999999999996</v>
      </c>
      <c r="H217" s="15">
        <v>611.41999999999996</v>
      </c>
      <c r="I217" s="13">
        <v>10</v>
      </c>
      <c r="J217" s="13">
        <v>10</v>
      </c>
      <c r="K217" s="13" t="s">
        <v>15</v>
      </c>
      <c r="L217" s="15">
        <v>61.141999999999996</v>
      </c>
      <c r="M217" s="16">
        <v>61.141999999999996</v>
      </c>
    </row>
    <row r="218" spans="1:13" s="5" customFormat="1" x14ac:dyDescent="0.25">
      <c r="A218" s="12" t="s">
        <v>450</v>
      </c>
      <c r="B218" s="13" t="s">
        <v>451</v>
      </c>
      <c r="C218" s="14">
        <v>45027</v>
      </c>
      <c r="D218" s="13">
        <v>2023</v>
      </c>
      <c r="E218" s="13" t="s">
        <v>14</v>
      </c>
      <c r="F218" s="13" t="s">
        <v>11</v>
      </c>
      <c r="G218" s="15">
        <v>880.28</v>
      </c>
      <c r="H218" s="15">
        <v>880.28</v>
      </c>
      <c r="I218" s="13">
        <v>1</v>
      </c>
      <c r="J218" s="13">
        <v>1</v>
      </c>
      <c r="K218" s="13" t="s">
        <v>3348</v>
      </c>
      <c r="L218" s="15">
        <v>880.28</v>
      </c>
      <c r="M218" s="16">
        <v>880.28</v>
      </c>
    </row>
    <row r="219" spans="1:13" s="5" customFormat="1" x14ac:dyDescent="0.25">
      <c r="A219" s="12" t="s">
        <v>452</v>
      </c>
      <c r="B219" s="13" t="s">
        <v>453</v>
      </c>
      <c r="C219" s="14">
        <v>45368</v>
      </c>
      <c r="D219" s="13">
        <v>2024</v>
      </c>
      <c r="E219" s="13" t="s">
        <v>3347</v>
      </c>
      <c r="F219" s="13" t="s">
        <v>22</v>
      </c>
      <c r="G219" s="15">
        <v>977.06</v>
      </c>
      <c r="H219" s="15">
        <v>977.06</v>
      </c>
      <c r="I219" s="13"/>
      <c r="J219" s="13">
        <v>3</v>
      </c>
      <c r="K219" s="13" t="s">
        <v>3346</v>
      </c>
      <c r="L219" s="15">
        <v>325.68666666666667</v>
      </c>
      <c r="M219" s="16">
        <v>340.9203843537415</v>
      </c>
    </row>
    <row r="220" spans="1:13" s="5" customFormat="1" x14ac:dyDescent="0.25">
      <c r="A220" s="12" t="s">
        <v>454</v>
      </c>
      <c r="B220" s="13" t="s">
        <v>455</v>
      </c>
      <c r="C220" s="14">
        <v>45159</v>
      </c>
      <c r="D220" s="13">
        <v>2023</v>
      </c>
      <c r="E220" s="13" t="s">
        <v>10</v>
      </c>
      <c r="F220" s="13" t="s">
        <v>11</v>
      </c>
      <c r="G220" s="15">
        <v>523.78</v>
      </c>
      <c r="H220" s="15">
        <v>523.78</v>
      </c>
      <c r="I220" s="13">
        <v>7</v>
      </c>
      <c r="J220" s="13">
        <v>7</v>
      </c>
      <c r="K220" s="13" t="s">
        <v>3346</v>
      </c>
      <c r="L220" s="15">
        <v>74.825714285714284</v>
      </c>
      <c r="M220" s="16">
        <v>74.825714285714284</v>
      </c>
    </row>
    <row r="221" spans="1:13" s="5" customFormat="1" x14ac:dyDescent="0.25">
      <c r="A221" s="12" t="s">
        <v>456</v>
      </c>
      <c r="B221" s="13" t="s">
        <v>457</v>
      </c>
      <c r="C221" s="14">
        <v>45202</v>
      </c>
      <c r="D221" s="13">
        <v>2023</v>
      </c>
      <c r="E221" s="13" t="s">
        <v>3347</v>
      </c>
      <c r="F221" s="13" t="s">
        <v>34</v>
      </c>
      <c r="G221" s="15">
        <v>692.63</v>
      </c>
      <c r="H221" s="15">
        <v>692.63</v>
      </c>
      <c r="I221" s="13">
        <v>2</v>
      </c>
      <c r="J221" s="13">
        <v>2</v>
      </c>
      <c r="K221" s="13" t="s">
        <v>15</v>
      </c>
      <c r="L221" s="15">
        <v>346.315</v>
      </c>
      <c r="M221" s="16">
        <v>346.315</v>
      </c>
    </row>
    <row r="222" spans="1:13" s="5" customFormat="1" x14ac:dyDescent="0.25">
      <c r="A222" s="12" t="s">
        <v>458</v>
      </c>
      <c r="B222" s="13" t="s">
        <v>459</v>
      </c>
      <c r="C222" s="14">
        <v>45885</v>
      </c>
      <c r="D222" s="13">
        <v>2025</v>
      </c>
      <c r="E222" s="13" t="s">
        <v>3347</v>
      </c>
      <c r="F222" s="13" t="s">
        <v>25</v>
      </c>
      <c r="G222" s="15">
        <v>1706.29</v>
      </c>
      <c r="H222" s="15">
        <v>1706.29</v>
      </c>
      <c r="I222" s="13">
        <v>1</v>
      </c>
      <c r="J222" s="13">
        <v>1</v>
      </c>
      <c r="K222" s="13" t="s">
        <v>15</v>
      </c>
      <c r="L222" s="15">
        <v>1706.29</v>
      </c>
      <c r="M222" s="16">
        <v>1706.29</v>
      </c>
    </row>
    <row r="223" spans="1:13" s="5" customFormat="1" x14ac:dyDescent="0.25">
      <c r="A223" s="12" t="s">
        <v>460</v>
      </c>
      <c r="B223" s="13" t="s">
        <v>461</v>
      </c>
      <c r="C223" s="14">
        <v>45830</v>
      </c>
      <c r="D223" s="13">
        <v>2025</v>
      </c>
      <c r="E223" s="13" t="s">
        <v>14</v>
      </c>
      <c r="F223" s="13" t="s">
        <v>11</v>
      </c>
      <c r="G223" s="15">
        <v>584.26</v>
      </c>
      <c r="H223" s="15">
        <v>584.26</v>
      </c>
      <c r="I223" s="13">
        <v>4</v>
      </c>
      <c r="J223" s="13">
        <v>4</v>
      </c>
      <c r="K223" s="13" t="s">
        <v>18</v>
      </c>
      <c r="L223" s="15">
        <v>146.065</v>
      </c>
      <c r="M223" s="16">
        <v>146.065</v>
      </c>
    </row>
    <row r="224" spans="1:13" s="5" customFormat="1" x14ac:dyDescent="0.25">
      <c r="A224" s="12" t="s">
        <v>462</v>
      </c>
      <c r="B224" s="13" t="s">
        <v>463</v>
      </c>
      <c r="C224" s="14">
        <v>45850</v>
      </c>
      <c r="D224" s="13">
        <v>2025</v>
      </c>
      <c r="E224" s="13" t="s">
        <v>3347</v>
      </c>
      <c r="F224" s="13" t="s">
        <v>11</v>
      </c>
      <c r="G224" s="15"/>
      <c r="H224" s="15">
        <v>3548.2821388888883</v>
      </c>
      <c r="I224" s="13">
        <v>10</v>
      </c>
      <c r="J224" s="13">
        <v>10</v>
      </c>
      <c r="K224" s="13" t="s">
        <v>3348</v>
      </c>
      <c r="L224" s="15">
        <v>534.48916666666673</v>
      </c>
      <c r="M224" s="16">
        <v>534.48916666666673</v>
      </c>
    </row>
    <row r="225" spans="1:13" s="5" customFormat="1" x14ac:dyDescent="0.25">
      <c r="A225" s="12" t="s">
        <v>464</v>
      </c>
      <c r="B225" s="13" t="s">
        <v>465</v>
      </c>
      <c r="C225" s="14">
        <v>45289</v>
      </c>
      <c r="D225" s="13">
        <v>2023</v>
      </c>
      <c r="E225" s="13" t="s">
        <v>3347</v>
      </c>
      <c r="F225" s="13" t="s">
        <v>34</v>
      </c>
      <c r="G225" s="15">
        <v>1440.32</v>
      </c>
      <c r="H225" s="15">
        <v>1440.32</v>
      </c>
      <c r="I225" s="13">
        <v>5</v>
      </c>
      <c r="J225" s="13">
        <v>5</v>
      </c>
      <c r="K225" s="13" t="s">
        <v>15</v>
      </c>
      <c r="L225" s="15">
        <v>288.06399999999996</v>
      </c>
      <c r="M225" s="16">
        <v>288.06399999999996</v>
      </c>
    </row>
    <row r="226" spans="1:13" s="5" customFormat="1" x14ac:dyDescent="0.25">
      <c r="A226" s="12" t="s">
        <v>466</v>
      </c>
      <c r="B226" s="13" t="s">
        <v>467</v>
      </c>
      <c r="C226" s="14">
        <v>45830</v>
      </c>
      <c r="D226" s="13">
        <v>2025</v>
      </c>
      <c r="E226" s="13" t="s">
        <v>14</v>
      </c>
      <c r="F226" s="13" t="s">
        <v>22</v>
      </c>
      <c r="G226" s="15">
        <v>1916.96</v>
      </c>
      <c r="H226" s="15">
        <v>1916.96</v>
      </c>
      <c r="I226" s="13"/>
      <c r="J226" s="13">
        <v>5</v>
      </c>
      <c r="K226" s="13" t="s">
        <v>3348</v>
      </c>
      <c r="L226" s="15">
        <v>383.392</v>
      </c>
      <c r="M226" s="16">
        <v>400.27690917107583</v>
      </c>
    </row>
    <row r="227" spans="1:13" s="5" customFormat="1" x14ac:dyDescent="0.25">
      <c r="A227" s="12" t="s">
        <v>468</v>
      </c>
      <c r="B227" s="13" t="s">
        <v>469</v>
      </c>
      <c r="C227" s="14">
        <v>45075</v>
      </c>
      <c r="D227" s="13">
        <v>2023</v>
      </c>
      <c r="E227" s="13" t="s">
        <v>14</v>
      </c>
      <c r="F227" s="13" t="s">
        <v>11</v>
      </c>
      <c r="G227" s="15">
        <v>1864.15</v>
      </c>
      <c r="H227" s="15">
        <v>1864.15</v>
      </c>
      <c r="I227" s="13">
        <v>3</v>
      </c>
      <c r="J227" s="13">
        <v>3</v>
      </c>
      <c r="K227" s="13" t="s">
        <v>18</v>
      </c>
      <c r="L227" s="15">
        <v>621.38333333333333</v>
      </c>
      <c r="M227" s="16">
        <v>621.38333333333333</v>
      </c>
    </row>
    <row r="228" spans="1:13" s="5" customFormat="1" x14ac:dyDescent="0.25">
      <c r="A228" s="12" t="s">
        <v>470</v>
      </c>
      <c r="B228" s="13" t="s">
        <v>471</v>
      </c>
      <c r="C228" s="14">
        <v>45041</v>
      </c>
      <c r="D228" s="13">
        <v>2023</v>
      </c>
      <c r="E228" s="13" t="s">
        <v>10</v>
      </c>
      <c r="F228" s="13" t="s">
        <v>22</v>
      </c>
      <c r="G228" s="15"/>
      <c r="H228" s="15">
        <v>552.88826666666671</v>
      </c>
      <c r="I228" s="13">
        <v>2</v>
      </c>
      <c r="J228" s="13">
        <v>2</v>
      </c>
      <c r="K228" s="13" t="s">
        <v>15</v>
      </c>
      <c r="L228" s="15">
        <v>276.44413333333335</v>
      </c>
      <c r="M228" s="16">
        <v>276.44413333333335</v>
      </c>
    </row>
    <row r="229" spans="1:13" s="5" customFormat="1" x14ac:dyDescent="0.25">
      <c r="A229" s="12" t="s">
        <v>472</v>
      </c>
      <c r="B229" s="13" t="s">
        <v>473</v>
      </c>
      <c r="C229" s="14">
        <v>45468</v>
      </c>
      <c r="D229" s="13">
        <v>2024</v>
      </c>
      <c r="E229" s="13" t="s">
        <v>3347</v>
      </c>
      <c r="F229" s="13" t="s">
        <v>11</v>
      </c>
      <c r="G229" s="15">
        <v>749.03</v>
      </c>
      <c r="H229" s="15">
        <v>749.03</v>
      </c>
      <c r="I229" s="13">
        <v>3</v>
      </c>
      <c r="J229" s="13">
        <v>3</v>
      </c>
      <c r="K229" s="13" t="s">
        <v>18</v>
      </c>
      <c r="L229" s="15">
        <v>249.67666666666665</v>
      </c>
      <c r="M229" s="16">
        <v>249.67666666666665</v>
      </c>
    </row>
    <row r="230" spans="1:13" s="5" customFormat="1" x14ac:dyDescent="0.25">
      <c r="A230" s="12" t="s">
        <v>474</v>
      </c>
      <c r="B230" s="13" t="s">
        <v>475</v>
      </c>
      <c r="C230" s="14">
        <v>45346</v>
      </c>
      <c r="D230" s="13">
        <v>2024</v>
      </c>
      <c r="E230" s="13" t="s">
        <v>10</v>
      </c>
      <c r="F230" s="13" t="s">
        <v>34</v>
      </c>
      <c r="G230" s="15">
        <v>6.79</v>
      </c>
      <c r="H230" s="15">
        <v>6.79</v>
      </c>
      <c r="I230" s="13">
        <v>8</v>
      </c>
      <c r="J230" s="13">
        <v>8</v>
      </c>
      <c r="K230" s="13" t="s">
        <v>15</v>
      </c>
      <c r="L230" s="15">
        <v>0.84875</v>
      </c>
      <c r="M230" s="16">
        <v>0.84875</v>
      </c>
    </row>
    <row r="231" spans="1:13" s="5" customFormat="1" x14ac:dyDescent="0.25">
      <c r="A231" s="12" t="s">
        <v>476</v>
      </c>
      <c r="B231" s="13" t="s">
        <v>477</v>
      </c>
      <c r="C231" s="14">
        <v>45185</v>
      </c>
      <c r="D231" s="13">
        <v>2023</v>
      </c>
      <c r="E231" s="13" t="s">
        <v>21</v>
      </c>
      <c r="F231" s="13" t="s">
        <v>11</v>
      </c>
      <c r="G231" s="15">
        <v>193.81</v>
      </c>
      <c r="H231" s="15">
        <v>193.81</v>
      </c>
      <c r="I231" s="13">
        <v>2</v>
      </c>
      <c r="J231" s="13">
        <v>2</v>
      </c>
      <c r="K231" s="13" t="s">
        <v>3346</v>
      </c>
      <c r="L231" s="15">
        <v>96.905000000000001</v>
      </c>
      <c r="M231" s="16">
        <v>96.905000000000001</v>
      </c>
    </row>
    <row r="232" spans="1:13" s="5" customFormat="1" x14ac:dyDescent="0.25">
      <c r="A232" s="12" t="s">
        <v>478</v>
      </c>
      <c r="B232" s="13" t="s">
        <v>479</v>
      </c>
      <c r="C232" s="14">
        <v>45865</v>
      </c>
      <c r="D232" s="13">
        <v>2025</v>
      </c>
      <c r="E232" s="13" t="s">
        <v>3347</v>
      </c>
      <c r="F232" s="13" t="s">
        <v>34</v>
      </c>
      <c r="G232" s="15">
        <v>65.37</v>
      </c>
      <c r="H232" s="15">
        <v>65.37</v>
      </c>
      <c r="I232" s="13">
        <v>2</v>
      </c>
      <c r="J232" s="13">
        <v>2</v>
      </c>
      <c r="K232" s="13" t="s">
        <v>3348</v>
      </c>
      <c r="L232" s="15">
        <v>32.685000000000002</v>
      </c>
      <c r="M232" s="16">
        <v>32.685000000000002</v>
      </c>
    </row>
    <row r="233" spans="1:13" s="5" customFormat="1" x14ac:dyDescent="0.25">
      <c r="A233" s="12" t="s">
        <v>480</v>
      </c>
      <c r="B233" s="13" t="s">
        <v>481</v>
      </c>
      <c r="C233" s="14">
        <v>45907</v>
      </c>
      <c r="D233" s="13">
        <v>2025</v>
      </c>
      <c r="E233" s="13" t="s">
        <v>14</v>
      </c>
      <c r="F233" s="13" t="s">
        <v>11</v>
      </c>
      <c r="G233" s="15">
        <v>1771.55</v>
      </c>
      <c r="H233" s="15">
        <v>1771.55</v>
      </c>
      <c r="I233" s="13">
        <v>1</v>
      </c>
      <c r="J233" s="13">
        <v>1</v>
      </c>
      <c r="K233" s="13" t="s">
        <v>18</v>
      </c>
      <c r="L233" s="15">
        <v>1771.55</v>
      </c>
      <c r="M233" s="16">
        <v>1771.55</v>
      </c>
    </row>
    <row r="234" spans="1:13" s="5" customFormat="1" x14ac:dyDescent="0.25">
      <c r="A234" s="12" t="s">
        <v>482</v>
      </c>
      <c r="B234" s="13" t="s">
        <v>483</v>
      </c>
      <c r="C234" s="14">
        <v>45920</v>
      </c>
      <c r="D234" s="13">
        <v>2025</v>
      </c>
      <c r="E234" s="13" t="s">
        <v>3347</v>
      </c>
      <c r="F234" s="13" t="s">
        <v>22</v>
      </c>
      <c r="G234" s="15"/>
      <c r="H234" s="15">
        <v>2321.0387500000002</v>
      </c>
      <c r="I234" s="13">
        <v>6</v>
      </c>
      <c r="J234" s="13">
        <v>6</v>
      </c>
      <c r="K234" s="13" t="s">
        <v>18</v>
      </c>
      <c r="L234" s="15">
        <v>386.83979166666671</v>
      </c>
      <c r="M234" s="16">
        <v>386.83979166666671</v>
      </c>
    </row>
    <row r="235" spans="1:13" s="5" customFormat="1" x14ac:dyDescent="0.25">
      <c r="A235" s="12" t="s">
        <v>484</v>
      </c>
      <c r="B235" s="13" t="s">
        <v>485</v>
      </c>
      <c r="C235" s="14">
        <v>45912</v>
      </c>
      <c r="D235" s="13">
        <v>2025</v>
      </c>
      <c r="E235" s="13" t="s">
        <v>21</v>
      </c>
      <c r="F235" s="13" t="s">
        <v>25</v>
      </c>
      <c r="G235" s="15">
        <v>1894.79</v>
      </c>
      <c r="H235" s="15">
        <v>1894.79</v>
      </c>
      <c r="I235" s="13">
        <v>6</v>
      </c>
      <c r="J235" s="13">
        <v>6</v>
      </c>
      <c r="K235" s="13" t="s">
        <v>3348</v>
      </c>
      <c r="L235" s="15">
        <v>315.79833333333335</v>
      </c>
      <c r="M235" s="16">
        <v>315.79833333333335</v>
      </c>
    </row>
    <row r="236" spans="1:13" s="5" customFormat="1" x14ac:dyDescent="0.25">
      <c r="A236" s="12" t="s">
        <v>486</v>
      </c>
      <c r="B236" s="13" t="s">
        <v>487</v>
      </c>
      <c r="C236" s="14">
        <v>45368</v>
      </c>
      <c r="D236" s="13">
        <v>2024</v>
      </c>
      <c r="E236" s="13" t="s">
        <v>3347</v>
      </c>
      <c r="F236" s="13" t="s">
        <v>11</v>
      </c>
      <c r="G236" s="15"/>
      <c r="H236" s="15">
        <v>1960.0836666666667</v>
      </c>
      <c r="I236" s="13">
        <v>8</v>
      </c>
      <c r="J236" s="13">
        <v>8</v>
      </c>
      <c r="K236" s="13" t="s">
        <v>35</v>
      </c>
      <c r="L236" s="15">
        <v>245.01045833333333</v>
      </c>
      <c r="M236" s="16">
        <v>245.01045833333333</v>
      </c>
    </row>
    <row r="237" spans="1:13" s="5" customFormat="1" x14ac:dyDescent="0.25">
      <c r="A237" s="12" t="s">
        <v>488</v>
      </c>
      <c r="B237" s="13" t="s">
        <v>489</v>
      </c>
      <c r="C237" s="14">
        <v>45244</v>
      </c>
      <c r="D237" s="13">
        <v>2023</v>
      </c>
      <c r="E237" s="13" t="s">
        <v>14</v>
      </c>
      <c r="F237" s="13" t="s">
        <v>22</v>
      </c>
      <c r="G237" s="15">
        <v>1013.22</v>
      </c>
      <c r="H237" s="15">
        <v>1013.22</v>
      </c>
      <c r="I237" s="13">
        <v>4</v>
      </c>
      <c r="J237" s="13">
        <v>4</v>
      </c>
      <c r="K237" s="13" t="s">
        <v>35</v>
      </c>
      <c r="L237" s="15">
        <v>253.30500000000001</v>
      </c>
      <c r="M237" s="16">
        <v>253.30500000000001</v>
      </c>
    </row>
    <row r="238" spans="1:13" s="5" customFormat="1" x14ac:dyDescent="0.25">
      <c r="A238" s="12" t="s">
        <v>490</v>
      </c>
      <c r="B238" s="13" t="s">
        <v>491</v>
      </c>
      <c r="C238" s="14">
        <v>44901</v>
      </c>
      <c r="D238" s="13">
        <v>2022</v>
      </c>
      <c r="E238" s="13" t="s">
        <v>3347</v>
      </c>
      <c r="F238" s="13" t="s">
        <v>11</v>
      </c>
      <c r="G238" s="15">
        <v>667.78</v>
      </c>
      <c r="H238" s="15">
        <v>667.78</v>
      </c>
      <c r="I238" s="13">
        <v>4</v>
      </c>
      <c r="J238" s="13">
        <v>4</v>
      </c>
      <c r="K238" s="13" t="s">
        <v>3346</v>
      </c>
      <c r="L238" s="15">
        <v>166.94499999999999</v>
      </c>
      <c r="M238" s="16">
        <v>166.94499999999999</v>
      </c>
    </row>
    <row r="239" spans="1:13" s="5" customFormat="1" x14ac:dyDescent="0.25">
      <c r="A239" s="12" t="s">
        <v>492</v>
      </c>
      <c r="B239" s="13" t="s">
        <v>493</v>
      </c>
      <c r="C239" s="14">
        <v>45044</v>
      </c>
      <c r="D239" s="13">
        <v>2023</v>
      </c>
      <c r="E239" s="13" t="s">
        <v>10</v>
      </c>
      <c r="F239" s="13" t="s">
        <v>34</v>
      </c>
      <c r="G239" s="15">
        <v>859.85</v>
      </c>
      <c r="H239" s="15">
        <v>859.85</v>
      </c>
      <c r="I239" s="13">
        <v>8</v>
      </c>
      <c r="J239" s="13">
        <v>8</v>
      </c>
      <c r="K239" s="13" t="s">
        <v>18</v>
      </c>
      <c r="L239" s="15">
        <v>107.48125</v>
      </c>
      <c r="M239" s="16">
        <v>107.48125</v>
      </c>
    </row>
    <row r="240" spans="1:13" s="5" customFormat="1" x14ac:dyDescent="0.25">
      <c r="A240" s="12" t="s">
        <v>494</v>
      </c>
      <c r="B240" s="13" t="s">
        <v>495</v>
      </c>
      <c r="C240" s="14">
        <v>45638</v>
      </c>
      <c r="D240" s="13">
        <v>2024</v>
      </c>
      <c r="E240" s="13" t="s">
        <v>10</v>
      </c>
      <c r="F240" s="13" t="s">
        <v>34</v>
      </c>
      <c r="G240" s="15">
        <v>1239.72</v>
      </c>
      <c r="H240" s="15">
        <v>1239.72</v>
      </c>
      <c r="I240" s="13">
        <v>3</v>
      </c>
      <c r="J240" s="13">
        <v>3</v>
      </c>
      <c r="K240" s="13" t="s">
        <v>3346</v>
      </c>
      <c r="L240" s="15">
        <v>413.24</v>
      </c>
      <c r="M240" s="16">
        <v>413.24</v>
      </c>
    </row>
    <row r="241" spans="1:13" s="5" customFormat="1" x14ac:dyDescent="0.25">
      <c r="A241" s="12" t="s">
        <v>496</v>
      </c>
      <c r="B241" s="13" t="s">
        <v>497</v>
      </c>
      <c r="C241" s="14">
        <v>45681</v>
      </c>
      <c r="D241" s="13">
        <v>2025</v>
      </c>
      <c r="E241" s="13" t="s">
        <v>14</v>
      </c>
      <c r="F241" s="13" t="s">
        <v>34</v>
      </c>
      <c r="G241" s="15">
        <v>167.29</v>
      </c>
      <c r="H241" s="15">
        <v>167.29</v>
      </c>
      <c r="I241" s="13">
        <v>5</v>
      </c>
      <c r="J241" s="13">
        <v>5</v>
      </c>
      <c r="K241" s="13" t="s">
        <v>15</v>
      </c>
      <c r="L241" s="15">
        <v>33.457999999999998</v>
      </c>
      <c r="M241" s="16">
        <v>33.457999999999998</v>
      </c>
    </row>
    <row r="242" spans="1:13" s="5" customFormat="1" x14ac:dyDescent="0.25">
      <c r="A242" s="12" t="s">
        <v>499</v>
      </c>
      <c r="B242" s="13" t="s">
        <v>500</v>
      </c>
      <c r="C242" s="14">
        <v>45392</v>
      </c>
      <c r="D242" s="13">
        <v>2024</v>
      </c>
      <c r="E242" s="13" t="s">
        <v>21</v>
      </c>
      <c r="F242" s="13" t="s">
        <v>25</v>
      </c>
      <c r="G242" s="15">
        <v>1180.5</v>
      </c>
      <c r="H242" s="15">
        <v>1180.5</v>
      </c>
      <c r="I242" s="13">
        <v>2</v>
      </c>
      <c r="J242" s="13">
        <v>2</v>
      </c>
      <c r="K242" s="13" t="s">
        <v>18</v>
      </c>
      <c r="L242" s="15">
        <v>590.25</v>
      </c>
      <c r="M242" s="16">
        <v>590.25</v>
      </c>
    </row>
    <row r="243" spans="1:13" s="5" customFormat="1" x14ac:dyDescent="0.25">
      <c r="A243" s="12" t="s">
        <v>501</v>
      </c>
      <c r="B243" s="13" t="s">
        <v>502</v>
      </c>
      <c r="C243" s="14">
        <v>45949</v>
      </c>
      <c r="D243" s="13">
        <v>2025</v>
      </c>
      <c r="E243" s="13" t="s">
        <v>10</v>
      </c>
      <c r="F243" s="13" t="s">
        <v>11</v>
      </c>
      <c r="G243" s="15">
        <v>1371.14</v>
      </c>
      <c r="H243" s="15">
        <v>1371.14</v>
      </c>
      <c r="I243" s="13">
        <v>1</v>
      </c>
      <c r="J243" s="13">
        <v>1</v>
      </c>
      <c r="K243" s="13" t="s">
        <v>3346</v>
      </c>
      <c r="L243" s="15">
        <v>1371.14</v>
      </c>
      <c r="M243" s="16">
        <v>1371.14</v>
      </c>
    </row>
    <row r="244" spans="1:13" s="5" customFormat="1" x14ac:dyDescent="0.25">
      <c r="A244" s="12" t="s">
        <v>503</v>
      </c>
      <c r="B244" s="13" t="s">
        <v>504</v>
      </c>
      <c r="C244" s="14">
        <v>45817</v>
      </c>
      <c r="D244" s="13">
        <v>2025</v>
      </c>
      <c r="E244" s="13" t="s">
        <v>14</v>
      </c>
      <c r="F244" s="13" t="s">
        <v>34</v>
      </c>
      <c r="G244" s="15">
        <v>417.32</v>
      </c>
      <c r="H244" s="15">
        <v>417.32</v>
      </c>
      <c r="I244" s="13">
        <v>8</v>
      </c>
      <c r="J244" s="13">
        <v>8</v>
      </c>
      <c r="K244" s="13" t="s">
        <v>3346</v>
      </c>
      <c r="L244" s="15">
        <v>52.164999999999999</v>
      </c>
      <c r="M244" s="16">
        <v>52.164999999999999</v>
      </c>
    </row>
    <row r="245" spans="1:13" s="5" customFormat="1" x14ac:dyDescent="0.25">
      <c r="A245" s="12" t="s">
        <v>505</v>
      </c>
      <c r="B245" s="13" t="s">
        <v>506</v>
      </c>
      <c r="C245" s="14">
        <v>45827</v>
      </c>
      <c r="D245" s="13">
        <v>2025</v>
      </c>
      <c r="E245" s="13" t="s">
        <v>3347</v>
      </c>
      <c r="F245" s="13" t="s">
        <v>22</v>
      </c>
      <c r="G245" s="15">
        <v>1414.42</v>
      </c>
      <c r="H245" s="15">
        <v>1414.42</v>
      </c>
      <c r="I245" s="13">
        <v>4</v>
      </c>
      <c r="J245" s="13">
        <v>4</v>
      </c>
      <c r="K245" s="13" t="s">
        <v>3348</v>
      </c>
      <c r="L245" s="15">
        <v>353.60500000000002</v>
      </c>
      <c r="M245" s="16">
        <v>353.60500000000002</v>
      </c>
    </row>
    <row r="246" spans="1:13" s="5" customFormat="1" x14ac:dyDescent="0.25">
      <c r="A246" s="12" t="s">
        <v>507</v>
      </c>
      <c r="B246" s="13" t="s">
        <v>508</v>
      </c>
      <c r="C246" s="14">
        <v>45327</v>
      </c>
      <c r="D246" s="13">
        <v>2024</v>
      </c>
      <c r="E246" s="13" t="s">
        <v>10</v>
      </c>
      <c r="F246" s="13" t="s">
        <v>34</v>
      </c>
      <c r="G246" s="15"/>
      <c r="H246" s="15">
        <v>3234.165</v>
      </c>
      <c r="I246" s="13">
        <v>9</v>
      </c>
      <c r="J246" s="13">
        <v>9</v>
      </c>
      <c r="K246" s="13" t="s">
        <v>3348</v>
      </c>
      <c r="L246" s="15">
        <v>359.35166666666669</v>
      </c>
      <c r="M246" s="16">
        <v>359.35166666666669</v>
      </c>
    </row>
    <row r="247" spans="1:13" s="5" customFormat="1" x14ac:dyDescent="0.25">
      <c r="A247" s="12" t="s">
        <v>509</v>
      </c>
      <c r="B247" s="13" t="s">
        <v>510</v>
      </c>
      <c r="C247" s="14">
        <v>45518</v>
      </c>
      <c r="D247" s="13">
        <v>2024</v>
      </c>
      <c r="E247" s="13" t="s">
        <v>10</v>
      </c>
      <c r="F247" s="13" t="s">
        <v>34</v>
      </c>
      <c r="G247" s="15">
        <v>924.08</v>
      </c>
      <c r="H247" s="15">
        <v>924.08</v>
      </c>
      <c r="I247" s="13">
        <v>8</v>
      </c>
      <c r="J247" s="13">
        <v>8</v>
      </c>
      <c r="K247" s="13" t="s">
        <v>35</v>
      </c>
      <c r="L247" s="15">
        <v>115.51</v>
      </c>
      <c r="M247" s="16">
        <v>115.51</v>
      </c>
    </row>
    <row r="248" spans="1:13" s="5" customFormat="1" x14ac:dyDescent="0.25">
      <c r="A248" s="12" t="s">
        <v>511</v>
      </c>
      <c r="B248" s="13" t="s">
        <v>512</v>
      </c>
      <c r="C248" s="14">
        <v>45079</v>
      </c>
      <c r="D248" s="13">
        <v>2023</v>
      </c>
      <c r="E248" s="13" t="s">
        <v>3347</v>
      </c>
      <c r="F248" s="13" t="s">
        <v>34</v>
      </c>
      <c r="G248" s="15">
        <v>1931.16</v>
      </c>
      <c r="H248" s="15">
        <v>1931.16</v>
      </c>
      <c r="I248" s="13">
        <v>4</v>
      </c>
      <c r="J248" s="13">
        <v>4</v>
      </c>
      <c r="K248" s="13" t="s">
        <v>3348</v>
      </c>
      <c r="L248" s="15">
        <v>482.79</v>
      </c>
      <c r="M248" s="16">
        <v>482.79</v>
      </c>
    </row>
    <row r="249" spans="1:13" s="5" customFormat="1" x14ac:dyDescent="0.25">
      <c r="A249" s="12" t="s">
        <v>513</v>
      </c>
      <c r="B249" s="13" t="s">
        <v>514</v>
      </c>
      <c r="C249" s="14">
        <v>45109</v>
      </c>
      <c r="D249" s="13">
        <v>2023</v>
      </c>
      <c r="E249" s="13" t="s">
        <v>10</v>
      </c>
      <c r="F249" s="13" t="s">
        <v>25</v>
      </c>
      <c r="G249" s="15">
        <v>1206.5999999999999</v>
      </c>
      <c r="H249" s="15">
        <v>1206.5999999999999</v>
      </c>
      <c r="I249" s="13">
        <v>10</v>
      </c>
      <c r="J249" s="13">
        <v>10</v>
      </c>
      <c r="K249" s="13" t="s">
        <v>15</v>
      </c>
      <c r="L249" s="15">
        <v>120.66</v>
      </c>
      <c r="M249" s="16">
        <v>120.66</v>
      </c>
    </row>
    <row r="250" spans="1:13" s="5" customFormat="1" x14ac:dyDescent="0.25">
      <c r="A250" s="12" t="s">
        <v>515</v>
      </c>
      <c r="B250" s="13" t="s">
        <v>516</v>
      </c>
      <c r="C250" s="14">
        <v>45736</v>
      </c>
      <c r="D250" s="13">
        <v>2025</v>
      </c>
      <c r="E250" s="13" t="s">
        <v>10</v>
      </c>
      <c r="F250" s="13" t="s">
        <v>34</v>
      </c>
      <c r="G250" s="15">
        <v>1234.18</v>
      </c>
      <c r="H250" s="15">
        <v>1234.18</v>
      </c>
      <c r="I250" s="13">
        <v>2</v>
      </c>
      <c r="J250" s="13">
        <v>2</v>
      </c>
      <c r="K250" s="13" t="s">
        <v>3346</v>
      </c>
      <c r="L250" s="15">
        <v>617.09</v>
      </c>
      <c r="M250" s="16">
        <v>617.09</v>
      </c>
    </row>
    <row r="251" spans="1:13" s="5" customFormat="1" x14ac:dyDescent="0.25">
      <c r="A251" s="12" t="s">
        <v>517</v>
      </c>
      <c r="B251" s="13" t="s">
        <v>518</v>
      </c>
      <c r="C251" s="14">
        <v>45043</v>
      </c>
      <c r="D251" s="13">
        <v>2023</v>
      </c>
      <c r="E251" s="13" t="s">
        <v>3347</v>
      </c>
      <c r="F251" s="13" t="s">
        <v>25</v>
      </c>
      <c r="G251" s="15">
        <v>712.4</v>
      </c>
      <c r="H251" s="15">
        <v>712.4</v>
      </c>
      <c r="I251" s="13">
        <v>9</v>
      </c>
      <c r="J251" s="13">
        <v>9</v>
      </c>
      <c r="K251" s="13" t="s">
        <v>35</v>
      </c>
      <c r="L251" s="15">
        <v>79.155555555555551</v>
      </c>
      <c r="M251" s="16">
        <v>79.155555555555551</v>
      </c>
    </row>
    <row r="252" spans="1:13" s="5" customFormat="1" x14ac:dyDescent="0.25">
      <c r="A252" s="12" t="s">
        <v>519</v>
      </c>
      <c r="B252" s="13" t="s">
        <v>520</v>
      </c>
      <c r="C252" s="14">
        <v>45219</v>
      </c>
      <c r="D252" s="13">
        <v>2023</v>
      </c>
      <c r="E252" s="13" t="s">
        <v>14</v>
      </c>
      <c r="F252" s="13" t="s">
        <v>11</v>
      </c>
      <c r="G252" s="15">
        <v>1365.17</v>
      </c>
      <c r="H252" s="15">
        <v>1365.17</v>
      </c>
      <c r="I252" s="13">
        <v>3</v>
      </c>
      <c r="J252" s="13">
        <v>3</v>
      </c>
      <c r="K252" s="13" t="s">
        <v>15</v>
      </c>
      <c r="L252" s="15">
        <v>455.05666666666667</v>
      </c>
      <c r="M252" s="16">
        <v>455.05666666666667</v>
      </c>
    </row>
    <row r="253" spans="1:13" s="5" customFormat="1" x14ac:dyDescent="0.25">
      <c r="A253" s="12" t="s">
        <v>521</v>
      </c>
      <c r="B253" s="13" t="s">
        <v>522</v>
      </c>
      <c r="C253" s="14">
        <v>44960</v>
      </c>
      <c r="D253" s="13">
        <v>2023</v>
      </c>
      <c r="E253" s="13" t="s">
        <v>14</v>
      </c>
      <c r="F253" s="13" t="s">
        <v>25</v>
      </c>
      <c r="G253" s="15">
        <v>1824.19</v>
      </c>
      <c r="H253" s="15">
        <v>1824.19</v>
      </c>
      <c r="I253" s="13">
        <v>1</v>
      </c>
      <c r="J253" s="13">
        <v>1</v>
      </c>
      <c r="K253" s="13" t="s">
        <v>15</v>
      </c>
      <c r="L253" s="15">
        <v>1824.19</v>
      </c>
      <c r="M253" s="16">
        <v>1824.19</v>
      </c>
    </row>
    <row r="254" spans="1:13" s="5" customFormat="1" x14ac:dyDescent="0.25">
      <c r="A254" s="12" t="s">
        <v>523</v>
      </c>
      <c r="B254" s="13" t="s">
        <v>524</v>
      </c>
      <c r="C254" s="14">
        <v>45916</v>
      </c>
      <c r="D254" s="13">
        <v>2025</v>
      </c>
      <c r="E254" s="13" t="s">
        <v>3347</v>
      </c>
      <c r="F254" s="13" t="s">
        <v>25</v>
      </c>
      <c r="G254" s="15">
        <v>1502.12</v>
      </c>
      <c r="H254" s="15">
        <v>1502.12</v>
      </c>
      <c r="I254" s="13">
        <v>5</v>
      </c>
      <c r="J254" s="13">
        <v>5</v>
      </c>
      <c r="K254" s="13" t="s">
        <v>15</v>
      </c>
      <c r="L254" s="15">
        <v>300.42399999999998</v>
      </c>
      <c r="M254" s="16">
        <v>300.42399999999998</v>
      </c>
    </row>
    <row r="255" spans="1:13" s="5" customFormat="1" x14ac:dyDescent="0.25">
      <c r="A255" s="12" t="s">
        <v>525</v>
      </c>
      <c r="B255" s="13" t="s">
        <v>526</v>
      </c>
      <c r="C255" s="14">
        <v>45715</v>
      </c>
      <c r="D255" s="13">
        <v>2025</v>
      </c>
      <c r="E255" s="13" t="s">
        <v>10</v>
      </c>
      <c r="F255" s="13" t="s">
        <v>25</v>
      </c>
      <c r="G255" s="15">
        <v>922.13</v>
      </c>
      <c r="H255" s="15">
        <v>922.13</v>
      </c>
      <c r="I255" s="13">
        <v>9</v>
      </c>
      <c r="J255" s="13">
        <v>9</v>
      </c>
      <c r="K255" s="13" t="s">
        <v>15</v>
      </c>
      <c r="L255" s="15">
        <v>102.45888888888889</v>
      </c>
      <c r="M255" s="16">
        <v>102.45888888888889</v>
      </c>
    </row>
    <row r="256" spans="1:13" s="5" customFormat="1" x14ac:dyDescent="0.25">
      <c r="A256" s="12" t="s">
        <v>527</v>
      </c>
      <c r="B256" s="13" t="s">
        <v>528</v>
      </c>
      <c r="C256" s="14">
        <v>45906</v>
      </c>
      <c r="D256" s="13">
        <v>2025</v>
      </c>
      <c r="E256" s="13" t="s">
        <v>10</v>
      </c>
      <c r="F256" s="13" t="s">
        <v>25</v>
      </c>
      <c r="G256" s="15">
        <v>13.73</v>
      </c>
      <c r="H256" s="15">
        <v>13.73</v>
      </c>
      <c r="I256" s="13">
        <v>9</v>
      </c>
      <c r="J256" s="13">
        <v>9</v>
      </c>
      <c r="K256" s="13" t="s">
        <v>35</v>
      </c>
      <c r="L256" s="15">
        <v>1.5255555555555556</v>
      </c>
      <c r="M256" s="16">
        <v>1.5255555555555556</v>
      </c>
    </row>
    <row r="257" spans="1:13" s="5" customFormat="1" x14ac:dyDescent="0.25">
      <c r="A257" s="12" t="s">
        <v>529</v>
      </c>
      <c r="B257" s="13" t="s">
        <v>530</v>
      </c>
      <c r="C257" s="14">
        <v>45417</v>
      </c>
      <c r="D257" s="13">
        <v>2024</v>
      </c>
      <c r="E257" s="13" t="s">
        <v>21</v>
      </c>
      <c r="F257" s="13" t="s">
        <v>22</v>
      </c>
      <c r="G257" s="15">
        <v>1409.88</v>
      </c>
      <c r="H257" s="15">
        <v>1409.88</v>
      </c>
      <c r="I257" s="13"/>
      <c r="J257" s="13">
        <v>3</v>
      </c>
      <c r="K257" s="13" t="s">
        <v>3348</v>
      </c>
      <c r="L257" s="15">
        <v>469.96000000000004</v>
      </c>
      <c r="M257" s="16">
        <v>428.9487738095238</v>
      </c>
    </row>
    <row r="258" spans="1:13" s="5" customFormat="1" x14ac:dyDescent="0.25">
      <c r="A258" s="12" t="s">
        <v>531</v>
      </c>
      <c r="B258" s="13" t="s">
        <v>532</v>
      </c>
      <c r="C258" s="14">
        <v>45729</v>
      </c>
      <c r="D258" s="13">
        <v>2025</v>
      </c>
      <c r="E258" s="13" t="s">
        <v>3347</v>
      </c>
      <c r="F258" s="13" t="s">
        <v>11</v>
      </c>
      <c r="G258" s="15">
        <v>1802.13</v>
      </c>
      <c r="H258" s="15">
        <v>1802.13</v>
      </c>
      <c r="I258" s="13">
        <v>1</v>
      </c>
      <c r="J258" s="13">
        <v>1</v>
      </c>
      <c r="K258" s="13" t="s">
        <v>15</v>
      </c>
      <c r="L258" s="15">
        <v>1802.13</v>
      </c>
      <c r="M258" s="16">
        <v>1802.13</v>
      </c>
    </row>
    <row r="259" spans="1:13" s="5" customFormat="1" x14ac:dyDescent="0.25">
      <c r="A259" s="12" t="s">
        <v>533</v>
      </c>
      <c r="B259" s="13" t="s">
        <v>534</v>
      </c>
      <c r="C259" s="14">
        <v>45902</v>
      </c>
      <c r="D259" s="13">
        <v>2025</v>
      </c>
      <c r="E259" s="13" t="s">
        <v>21</v>
      </c>
      <c r="F259" s="13" t="s">
        <v>34</v>
      </c>
      <c r="G259" s="15">
        <v>1244.5999999999999</v>
      </c>
      <c r="H259" s="15">
        <v>1244.5999999999999</v>
      </c>
      <c r="I259" s="13">
        <v>5</v>
      </c>
      <c r="J259" s="13">
        <v>5</v>
      </c>
      <c r="K259" s="13" t="s">
        <v>35</v>
      </c>
      <c r="L259" s="15">
        <v>248.92</v>
      </c>
      <c r="M259" s="16">
        <v>248.92</v>
      </c>
    </row>
    <row r="260" spans="1:13" s="5" customFormat="1" x14ac:dyDescent="0.25">
      <c r="A260" s="12" t="s">
        <v>535</v>
      </c>
      <c r="B260" s="13" t="s">
        <v>536</v>
      </c>
      <c r="C260" s="14">
        <v>45833</v>
      </c>
      <c r="D260" s="13">
        <v>2025</v>
      </c>
      <c r="E260" s="13" t="s">
        <v>21</v>
      </c>
      <c r="F260" s="13" t="s">
        <v>34</v>
      </c>
      <c r="G260" s="15">
        <v>828.78</v>
      </c>
      <c r="H260" s="15">
        <v>828.78</v>
      </c>
      <c r="I260" s="13">
        <v>10</v>
      </c>
      <c r="J260" s="13">
        <v>10</v>
      </c>
      <c r="K260" s="13" t="s">
        <v>35</v>
      </c>
      <c r="L260" s="15">
        <v>82.878</v>
      </c>
      <c r="M260" s="16">
        <v>82.878</v>
      </c>
    </row>
    <row r="261" spans="1:13" s="5" customFormat="1" x14ac:dyDescent="0.25">
      <c r="A261" s="12" t="s">
        <v>537</v>
      </c>
      <c r="B261" s="13" t="s">
        <v>538</v>
      </c>
      <c r="C261" s="14">
        <v>44918</v>
      </c>
      <c r="D261" s="13">
        <v>2022</v>
      </c>
      <c r="E261" s="13" t="s">
        <v>3347</v>
      </c>
      <c r="F261" s="13" t="s">
        <v>22</v>
      </c>
      <c r="G261" s="15"/>
      <c r="H261" s="15">
        <v>2069.8183333333332</v>
      </c>
      <c r="I261" s="13">
        <v>7</v>
      </c>
      <c r="J261" s="13">
        <v>7</v>
      </c>
      <c r="K261" s="13" t="s">
        <v>18</v>
      </c>
      <c r="L261" s="15">
        <v>295.68833333333333</v>
      </c>
      <c r="M261" s="16">
        <v>295.68833333333333</v>
      </c>
    </row>
    <row r="262" spans="1:13" s="5" customFormat="1" x14ac:dyDescent="0.25">
      <c r="A262" s="12" t="s">
        <v>539</v>
      </c>
      <c r="B262" s="13" t="s">
        <v>540</v>
      </c>
      <c r="C262" s="14">
        <v>45349</v>
      </c>
      <c r="D262" s="13">
        <v>2024</v>
      </c>
      <c r="E262" s="13" t="s">
        <v>3347</v>
      </c>
      <c r="F262" s="13" t="s">
        <v>34</v>
      </c>
      <c r="G262" s="15">
        <v>982.06</v>
      </c>
      <c r="H262" s="15">
        <v>982.06</v>
      </c>
      <c r="I262" s="13">
        <v>3</v>
      </c>
      <c r="J262" s="13">
        <v>3</v>
      </c>
      <c r="K262" s="13" t="s">
        <v>18</v>
      </c>
      <c r="L262" s="15">
        <v>327.3533333333333</v>
      </c>
      <c r="M262" s="16">
        <v>327.3533333333333</v>
      </c>
    </row>
    <row r="263" spans="1:13" s="5" customFormat="1" x14ac:dyDescent="0.25">
      <c r="A263" s="12" t="s">
        <v>541</v>
      </c>
      <c r="B263" s="13" t="s">
        <v>542</v>
      </c>
      <c r="C263" s="14">
        <v>45264</v>
      </c>
      <c r="D263" s="13">
        <v>2023</v>
      </c>
      <c r="E263" s="13" t="s">
        <v>21</v>
      </c>
      <c r="F263" s="13" t="s">
        <v>22</v>
      </c>
      <c r="G263" s="15">
        <v>681.17</v>
      </c>
      <c r="H263" s="15">
        <v>681.17</v>
      </c>
      <c r="I263" s="13">
        <v>5</v>
      </c>
      <c r="J263" s="13">
        <v>5</v>
      </c>
      <c r="K263" s="13" t="s">
        <v>3348</v>
      </c>
      <c r="L263" s="15">
        <v>136.23399999999998</v>
      </c>
      <c r="M263" s="16">
        <v>136.23399999999998</v>
      </c>
    </row>
    <row r="264" spans="1:13" s="5" customFormat="1" x14ac:dyDescent="0.25">
      <c r="A264" s="12" t="s">
        <v>543</v>
      </c>
      <c r="B264" s="13" t="s">
        <v>544</v>
      </c>
      <c r="C264" s="14">
        <v>45540</v>
      </c>
      <c r="D264" s="13">
        <v>2024</v>
      </c>
      <c r="E264" s="13" t="s">
        <v>3347</v>
      </c>
      <c r="F264" s="13" t="s">
        <v>25</v>
      </c>
      <c r="G264" s="15">
        <v>1892.34</v>
      </c>
      <c r="H264" s="15">
        <v>1892.34</v>
      </c>
      <c r="I264" s="13"/>
      <c r="J264" s="13">
        <v>10</v>
      </c>
      <c r="K264" s="13" t="s">
        <v>3346</v>
      </c>
      <c r="L264" s="15">
        <v>172.03090909090909</v>
      </c>
      <c r="M264" s="16">
        <v>172.99932539682541</v>
      </c>
    </row>
    <row r="265" spans="1:13" s="5" customFormat="1" x14ac:dyDescent="0.25">
      <c r="A265" s="12" t="s">
        <v>545</v>
      </c>
      <c r="B265" s="13" t="s">
        <v>546</v>
      </c>
      <c r="C265" s="14">
        <v>45345</v>
      </c>
      <c r="D265" s="13">
        <v>2024</v>
      </c>
      <c r="E265" s="13" t="s">
        <v>3347</v>
      </c>
      <c r="F265" s="13" t="s">
        <v>34</v>
      </c>
      <c r="G265" s="15">
        <v>1264.17</v>
      </c>
      <c r="H265" s="15">
        <v>1264.17</v>
      </c>
      <c r="I265" s="13">
        <v>2</v>
      </c>
      <c r="J265" s="13">
        <v>2</v>
      </c>
      <c r="K265" s="13" t="s">
        <v>35</v>
      </c>
      <c r="L265" s="15">
        <v>632.08500000000004</v>
      </c>
      <c r="M265" s="16">
        <v>632.08500000000004</v>
      </c>
    </row>
    <row r="266" spans="1:13" s="5" customFormat="1" x14ac:dyDescent="0.25">
      <c r="A266" s="12" t="s">
        <v>547</v>
      </c>
      <c r="B266" s="13" t="s">
        <v>548</v>
      </c>
      <c r="C266" s="14">
        <v>45050</v>
      </c>
      <c r="D266" s="13">
        <v>2023</v>
      </c>
      <c r="E266" s="13" t="s">
        <v>21</v>
      </c>
      <c r="F266" s="13" t="s">
        <v>22</v>
      </c>
      <c r="G266" s="15">
        <v>186.96</v>
      </c>
      <c r="H266" s="15">
        <v>186.96</v>
      </c>
      <c r="I266" s="13"/>
      <c r="J266" s="13">
        <v>1</v>
      </c>
      <c r="K266" s="13" t="s">
        <v>3348</v>
      </c>
      <c r="L266" s="15">
        <v>186.96</v>
      </c>
      <c r="M266" s="16">
        <v>253.30313492063493</v>
      </c>
    </row>
    <row r="267" spans="1:13" s="5" customFormat="1" x14ac:dyDescent="0.25">
      <c r="A267" s="12" t="s">
        <v>549</v>
      </c>
      <c r="B267" s="13" t="s">
        <v>550</v>
      </c>
      <c r="C267" s="14">
        <v>45123</v>
      </c>
      <c r="D267" s="13">
        <v>2023</v>
      </c>
      <c r="E267" s="13" t="s">
        <v>10</v>
      </c>
      <c r="F267" s="13" t="s">
        <v>22</v>
      </c>
      <c r="G267" s="15">
        <v>1742.06</v>
      </c>
      <c r="H267" s="15">
        <v>1742.06</v>
      </c>
      <c r="I267" s="13">
        <v>5</v>
      </c>
      <c r="J267" s="13">
        <v>5</v>
      </c>
      <c r="K267" s="13" t="s">
        <v>18</v>
      </c>
      <c r="L267" s="15">
        <v>348.41199999999998</v>
      </c>
      <c r="M267" s="16">
        <v>348.41199999999998</v>
      </c>
    </row>
    <row r="268" spans="1:13" s="5" customFormat="1" x14ac:dyDescent="0.25">
      <c r="A268" s="12" t="s">
        <v>551</v>
      </c>
      <c r="B268" s="13" t="s">
        <v>552</v>
      </c>
      <c r="C268" s="14">
        <v>44960</v>
      </c>
      <c r="D268" s="13">
        <v>2023</v>
      </c>
      <c r="E268" s="13" t="s">
        <v>3347</v>
      </c>
      <c r="F268" s="13" t="s">
        <v>34</v>
      </c>
      <c r="G268" s="15">
        <v>1095.95</v>
      </c>
      <c r="H268" s="15">
        <v>1095.95</v>
      </c>
      <c r="I268" s="13">
        <v>1</v>
      </c>
      <c r="J268" s="13">
        <v>1</v>
      </c>
      <c r="K268" s="13" t="s">
        <v>3346</v>
      </c>
      <c r="L268" s="15">
        <v>1095.95</v>
      </c>
      <c r="M268" s="16">
        <v>1095.95</v>
      </c>
    </row>
    <row r="269" spans="1:13" s="5" customFormat="1" x14ac:dyDescent="0.25">
      <c r="A269" s="12" t="s">
        <v>553</v>
      </c>
      <c r="B269" s="13" t="s">
        <v>554</v>
      </c>
      <c r="C269" s="14">
        <v>45532</v>
      </c>
      <c r="D269" s="13">
        <v>2024</v>
      </c>
      <c r="E269" s="13" t="s">
        <v>21</v>
      </c>
      <c r="F269" s="13" t="s">
        <v>25</v>
      </c>
      <c r="G269" s="15">
        <v>467.11</v>
      </c>
      <c r="H269" s="15">
        <v>467.11</v>
      </c>
      <c r="I269" s="13"/>
      <c r="J269" s="13">
        <v>1</v>
      </c>
      <c r="K269" s="13" t="s">
        <v>3348</v>
      </c>
      <c r="L269" s="15">
        <v>467.11</v>
      </c>
      <c r="M269" s="16">
        <v>471.44636111111112</v>
      </c>
    </row>
    <row r="270" spans="1:13" s="5" customFormat="1" x14ac:dyDescent="0.25">
      <c r="A270" s="12" t="s">
        <v>555</v>
      </c>
      <c r="B270" s="13" t="s">
        <v>556</v>
      </c>
      <c r="C270" s="14">
        <v>45912</v>
      </c>
      <c r="D270" s="13">
        <v>2025</v>
      </c>
      <c r="E270" s="13" t="s">
        <v>3347</v>
      </c>
      <c r="F270" s="13" t="s">
        <v>11</v>
      </c>
      <c r="G270" s="15">
        <v>424.47</v>
      </c>
      <c r="H270" s="15">
        <v>424.47</v>
      </c>
      <c r="I270" s="13">
        <v>1</v>
      </c>
      <c r="J270" s="13">
        <v>1</v>
      </c>
      <c r="K270" s="13" t="s">
        <v>18</v>
      </c>
      <c r="L270" s="15">
        <v>424.47</v>
      </c>
      <c r="M270" s="16">
        <v>424.47</v>
      </c>
    </row>
    <row r="271" spans="1:13" s="5" customFormat="1" x14ac:dyDescent="0.25">
      <c r="A271" s="12" t="s">
        <v>557</v>
      </c>
      <c r="B271" s="13" t="s">
        <v>558</v>
      </c>
      <c r="C271" s="14">
        <v>44963</v>
      </c>
      <c r="D271" s="13">
        <v>2023</v>
      </c>
      <c r="E271" s="13" t="s">
        <v>14</v>
      </c>
      <c r="F271" s="13" t="s">
        <v>11</v>
      </c>
      <c r="G271" s="15">
        <v>294.01</v>
      </c>
      <c r="H271" s="15">
        <v>294.01</v>
      </c>
      <c r="I271" s="13">
        <v>1</v>
      </c>
      <c r="J271" s="13">
        <v>1</v>
      </c>
      <c r="K271" s="13" t="s">
        <v>3346</v>
      </c>
      <c r="L271" s="15">
        <v>294.01</v>
      </c>
      <c r="M271" s="16">
        <v>294.01</v>
      </c>
    </row>
    <row r="272" spans="1:13" s="5" customFormat="1" x14ac:dyDescent="0.25">
      <c r="A272" s="12" t="s">
        <v>559</v>
      </c>
      <c r="B272" s="13" t="s">
        <v>560</v>
      </c>
      <c r="C272" s="14">
        <v>44893</v>
      </c>
      <c r="D272" s="13">
        <v>2022</v>
      </c>
      <c r="E272" s="13" t="s">
        <v>3347</v>
      </c>
      <c r="F272" s="13" t="s">
        <v>34</v>
      </c>
      <c r="G272" s="15">
        <v>435.47</v>
      </c>
      <c r="H272" s="15">
        <v>435.47</v>
      </c>
      <c r="I272" s="13">
        <v>1</v>
      </c>
      <c r="J272" s="13">
        <v>1</v>
      </c>
      <c r="K272" s="13" t="s">
        <v>35</v>
      </c>
      <c r="L272" s="15">
        <v>435.47</v>
      </c>
      <c r="M272" s="16">
        <v>435.47</v>
      </c>
    </row>
    <row r="273" spans="1:13" s="5" customFormat="1" x14ac:dyDescent="0.25">
      <c r="A273" s="12" t="s">
        <v>561</v>
      </c>
      <c r="B273" s="13" t="s">
        <v>562</v>
      </c>
      <c r="C273" s="14">
        <v>45448</v>
      </c>
      <c r="D273" s="13">
        <v>2024</v>
      </c>
      <c r="E273" s="13" t="s">
        <v>21</v>
      </c>
      <c r="F273" s="13" t="s">
        <v>11</v>
      </c>
      <c r="G273" s="15">
        <v>1948.53</v>
      </c>
      <c r="H273" s="15">
        <v>1948.53</v>
      </c>
      <c r="I273" s="13">
        <v>1</v>
      </c>
      <c r="J273" s="13">
        <v>1</v>
      </c>
      <c r="K273" s="13" t="s">
        <v>35</v>
      </c>
      <c r="L273" s="15">
        <v>1948.53</v>
      </c>
      <c r="M273" s="16">
        <v>1948.53</v>
      </c>
    </row>
    <row r="274" spans="1:13" s="5" customFormat="1" x14ac:dyDescent="0.25">
      <c r="A274" s="12" t="s">
        <v>563</v>
      </c>
      <c r="B274" s="13" t="s">
        <v>564</v>
      </c>
      <c r="C274" s="14">
        <v>45374</v>
      </c>
      <c r="D274" s="13">
        <v>2024</v>
      </c>
      <c r="E274" s="13" t="s">
        <v>14</v>
      </c>
      <c r="F274" s="13" t="s">
        <v>34</v>
      </c>
      <c r="G274" s="15">
        <v>567.76</v>
      </c>
      <c r="H274" s="15">
        <v>567.76</v>
      </c>
      <c r="I274" s="13">
        <v>7</v>
      </c>
      <c r="J274" s="13">
        <v>7</v>
      </c>
      <c r="K274" s="13" t="s">
        <v>15</v>
      </c>
      <c r="L274" s="15">
        <v>81.108571428571423</v>
      </c>
      <c r="M274" s="16">
        <v>81.108571428571423</v>
      </c>
    </row>
    <row r="275" spans="1:13" s="5" customFormat="1" x14ac:dyDescent="0.25">
      <c r="A275" s="12" t="s">
        <v>565</v>
      </c>
      <c r="B275" s="13" t="s">
        <v>566</v>
      </c>
      <c r="C275" s="14">
        <v>45796</v>
      </c>
      <c r="D275" s="13">
        <v>2025</v>
      </c>
      <c r="E275" s="13" t="s">
        <v>21</v>
      </c>
      <c r="F275" s="13" t="s">
        <v>11</v>
      </c>
      <c r="G275" s="15">
        <v>965.6</v>
      </c>
      <c r="H275" s="15">
        <v>965.6</v>
      </c>
      <c r="I275" s="13"/>
      <c r="J275" s="13">
        <v>4</v>
      </c>
      <c r="K275" s="13" t="s">
        <v>35</v>
      </c>
      <c r="L275" s="15">
        <v>241.4</v>
      </c>
      <c r="M275" s="16">
        <v>274.60970833333334</v>
      </c>
    </row>
    <row r="276" spans="1:13" s="5" customFormat="1" x14ac:dyDescent="0.25">
      <c r="A276" s="12" t="s">
        <v>567</v>
      </c>
      <c r="B276" s="13" t="s">
        <v>568</v>
      </c>
      <c r="C276" s="14">
        <v>45819</v>
      </c>
      <c r="D276" s="13">
        <v>2025</v>
      </c>
      <c r="E276" s="13" t="s">
        <v>21</v>
      </c>
      <c r="F276" s="13" t="s">
        <v>25</v>
      </c>
      <c r="G276" s="15">
        <v>1155.5999999999999</v>
      </c>
      <c r="H276" s="15">
        <v>1155.5999999999999</v>
      </c>
      <c r="I276" s="13"/>
      <c r="J276" s="13">
        <v>2</v>
      </c>
      <c r="K276" s="13" t="s">
        <v>18</v>
      </c>
      <c r="L276" s="15">
        <v>577.79999999999995</v>
      </c>
      <c r="M276" s="16">
        <v>602.04750000000001</v>
      </c>
    </row>
    <row r="277" spans="1:13" s="5" customFormat="1" x14ac:dyDescent="0.25">
      <c r="A277" s="12" t="s">
        <v>569</v>
      </c>
      <c r="B277" s="13" t="s">
        <v>570</v>
      </c>
      <c r="C277" s="14">
        <v>45338</v>
      </c>
      <c r="D277" s="13">
        <v>2024</v>
      </c>
      <c r="E277" s="13" t="s">
        <v>10</v>
      </c>
      <c r="F277" s="13" t="s">
        <v>34</v>
      </c>
      <c r="G277" s="15">
        <v>1870.29</v>
      </c>
      <c r="H277" s="15">
        <v>1870.29</v>
      </c>
      <c r="I277" s="13">
        <v>2</v>
      </c>
      <c r="J277" s="13">
        <v>2</v>
      </c>
      <c r="K277" s="13" t="s">
        <v>18</v>
      </c>
      <c r="L277" s="15">
        <v>935.14499999999998</v>
      </c>
      <c r="M277" s="16">
        <v>935.14499999999998</v>
      </c>
    </row>
    <row r="278" spans="1:13" s="5" customFormat="1" x14ac:dyDescent="0.25">
      <c r="A278" s="12" t="s">
        <v>572</v>
      </c>
      <c r="B278" s="13" t="s">
        <v>573</v>
      </c>
      <c r="C278" s="14">
        <v>45770</v>
      </c>
      <c r="D278" s="13">
        <v>2025</v>
      </c>
      <c r="E278" s="13" t="s">
        <v>21</v>
      </c>
      <c r="F278" s="13" t="s">
        <v>22</v>
      </c>
      <c r="G278" s="15">
        <v>1412.84</v>
      </c>
      <c r="H278" s="15">
        <v>1412.84</v>
      </c>
      <c r="I278" s="13">
        <v>6</v>
      </c>
      <c r="J278" s="13">
        <v>6</v>
      </c>
      <c r="K278" s="13" t="s">
        <v>15</v>
      </c>
      <c r="L278" s="15">
        <v>235.47333333333333</v>
      </c>
      <c r="M278" s="16">
        <v>235.47333333333333</v>
      </c>
    </row>
    <row r="279" spans="1:13" s="5" customFormat="1" x14ac:dyDescent="0.25">
      <c r="A279" s="12" t="s">
        <v>574</v>
      </c>
      <c r="B279" s="13" t="s">
        <v>575</v>
      </c>
      <c r="C279" s="14">
        <v>45889</v>
      </c>
      <c r="D279" s="13">
        <v>2025</v>
      </c>
      <c r="E279" s="13" t="s">
        <v>21</v>
      </c>
      <c r="F279" s="13" t="s">
        <v>34</v>
      </c>
      <c r="G279" s="15">
        <v>1129.75</v>
      </c>
      <c r="H279" s="15">
        <v>1129.75</v>
      </c>
      <c r="I279" s="13">
        <v>9</v>
      </c>
      <c r="J279" s="13">
        <v>9</v>
      </c>
      <c r="K279" s="13" t="s">
        <v>3346</v>
      </c>
      <c r="L279" s="15">
        <v>125.52777777777777</v>
      </c>
      <c r="M279" s="16">
        <v>125.52777777777777</v>
      </c>
    </row>
    <row r="280" spans="1:13" s="5" customFormat="1" x14ac:dyDescent="0.25">
      <c r="A280" s="12" t="s">
        <v>576</v>
      </c>
      <c r="B280" s="13" t="s">
        <v>577</v>
      </c>
      <c r="C280" s="14">
        <v>45469</v>
      </c>
      <c r="D280" s="13">
        <v>2024</v>
      </c>
      <c r="E280" s="13" t="s">
        <v>10</v>
      </c>
      <c r="F280" s="13" t="s">
        <v>34</v>
      </c>
      <c r="G280" s="15">
        <v>325.13</v>
      </c>
      <c r="H280" s="15">
        <v>325.13</v>
      </c>
      <c r="I280" s="13">
        <v>2</v>
      </c>
      <c r="J280" s="13">
        <v>2</v>
      </c>
      <c r="K280" s="13" t="s">
        <v>18</v>
      </c>
      <c r="L280" s="15">
        <v>162.565</v>
      </c>
      <c r="M280" s="16">
        <v>162.565</v>
      </c>
    </row>
    <row r="281" spans="1:13" s="5" customFormat="1" x14ac:dyDescent="0.25">
      <c r="A281" s="12" t="s">
        <v>578</v>
      </c>
      <c r="B281" s="13" t="s">
        <v>579</v>
      </c>
      <c r="C281" s="14">
        <v>45388</v>
      </c>
      <c r="D281" s="13">
        <v>2024</v>
      </c>
      <c r="E281" s="13" t="s">
        <v>14</v>
      </c>
      <c r="F281" s="13" t="s">
        <v>34</v>
      </c>
      <c r="G281" s="15">
        <v>1610.55</v>
      </c>
      <c r="H281" s="15">
        <v>1610.55</v>
      </c>
      <c r="I281" s="13">
        <v>1</v>
      </c>
      <c r="J281" s="13">
        <v>1</v>
      </c>
      <c r="K281" s="13" t="s">
        <v>3348</v>
      </c>
      <c r="L281" s="15">
        <v>1610.55</v>
      </c>
      <c r="M281" s="16">
        <v>1610.55</v>
      </c>
    </row>
    <row r="282" spans="1:13" s="5" customFormat="1" x14ac:dyDescent="0.25">
      <c r="A282" s="12" t="s">
        <v>580</v>
      </c>
      <c r="B282" s="13" t="s">
        <v>581</v>
      </c>
      <c r="C282" s="14">
        <v>45244</v>
      </c>
      <c r="D282" s="13">
        <v>2023</v>
      </c>
      <c r="E282" s="13" t="s">
        <v>14</v>
      </c>
      <c r="F282" s="13" t="s">
        <v>22</v>
      </c>
      <c r="G282" s="15">
        <v>1010.07</v>
      </c>
      <c r="H282" s="15">
        <v>1010.07</v>
      </c>
      <c r="I282" s="13">
        <v>5</v>
      </c>
      <c r="J282" s="13">
        <v>5</v>
      </c>
      <c r="K282" s="13" t="s">
        <v>3346</v>
      </c>
      <c r="L282" s="15">
        <v>202.01400000000001</v>
      </c>
      <c r="M282" s="16">
        <v>202.01400000000001</v>
      </c>
    </row>
    <row r="283" spans="1:13" s="5" customFormat="1" x14ac:dyDescent="0.25">
      <c r="A283" s="12" t="s">
        <v>582</v>
      </c>
      <c r="B283" s="13" t="s">
        <v>354</v>
      </c>
      <c r="C283" s="14">
        <v>45322</v>
      </c>
      <c r="D283" s="13">
        <v>2024</v>
      </c>
      <c r="E283" s="13" t="s">
        <v>21</v>
      </c>
      <c r="F283" s="13" t="s">
        <v>22</v>
      </c>
      <c r="G283" s="15">
        <v>198.68</v>
      </c>
      <c r="H283" s="15">
        <v>198.68</v>
      </c>
      <c r="I283" s="13">
        <v>8</v>
      </c>
      <c r="J283" s="13">
        <v>8</v>
      </c>
      <c r="K283" s="13" t="s">
        <v>15</v>
      </c>
      <c r="L283" s="15">
        <v>24.835000000000001</v>
      </c>
      <c r="M283" s="16">
        <v>24.835000000000001</v>
      </c>
    </row>
    <row r="284" spans="1:13" s="5" customFormat="1" x14ac:dyDescent="0.25">
      <c r="A284" s="12" t="s">
        <v>583</v>
      </c>
      <c r="B284" s="13" t="s">
        <v>584</v>
      </c>
      <c r="C284" s="14">
        <v>45135</v>
      </c>
      <c r="D284" s="13">
        <v>2023</v>
      </c>
      <c r="E284" s="13" t="s">
        <v>3347</v>
      </c>
      <c r="F284" s="13" t="s">
        <v>34</v>
      </c>
      <c r="G284" s="15">
        <v>210.91</v>
      </c>
      <c r="H284" s="15">
        <v>210.91</v>
      </c>
      <c r="I284" s="13">
        <v>3</v>
      </c>
      <c r="J284" s="13">
        <v>3</v>
      </c>
      <c r="K284" s="13" t="s">
        <v>3346</v>
      </c>
      <c r="L284" s="15">
        <v>70.303333333333327</v>
      </c>
      <c r="M284" s="16">
        <v>70.303333333333327</v>
      </c>
    </row>
    <row r="285" spans="1:13" s="5" customFormat="1" x14ac:dyDescent="0.25">
      <c r="A285" s="12" t="s">
        <v>585</v>
      </c>
      <c r="B285" s="13" t="s">
        <v>586</v>
      </c>
      <c r="C285" s="14">
        <v>45775</v>
      </c>
      <c r="D285" s="13">
        <v>2025</v>
      </c>
      <c r="E285" s="13" t="s">
        <v>3347</v>
      </c>
      <c r="F285" s="13" t="s">
        <v>25</v>
      </c>
      <c r="G285" s="15">
        <v>768.35</v>
      </c>
      <c r="H285" s="15">
        <v>768.35</v>
      </c>
      <c r="I285" s="13">
        <v>3</v>
      </c>
      <c r="J285" s="13">
        <v>3</v>
      </c>
      <c r="K285" s="13" t="s">
        <v>35</v>
      </c>
      <c r="L285" s="15">
        <v>256.11666666666667</v>
      </c>
      <c r="M285" s="16">
        <v>256.11666666666667</v>
      </c>
    </row>
    <row r="286" spans="1:13" s="5" customFormat="1" x14ac:dyDescent="0.25">
      <c r="A286" s="12" t="s">
        <v>587</v>
      </c>
      <c r="B286" s="13" t="s">
        <v>588</v>
      </c>
      <c r="C286" s="14">
        <v>44998</v>
      </c>
      <c r="D286" s="13">
        <v>2023</v>
      </c>
      <c r="E286" s="13" t="s">
        <v>14</v>
      </c>
      <c r="F286" s="13" t="s">
        <v>22</v>
      </c>
      <c r="G286" s="15">
        <v>443.77</v>
      </c>
      <c r="H286" s="15">
        <v>443.77</v>
      </c>
      <c r="I286" s="13">
        <v>9</v>
      </c>
      <c r="J286" s="13">
        <v>9</v>
      </c>
      <c r="K286" s="13" t="s">
        <v>3346</v>
      </c>
      <c r="L286" s="15">
        <v>49.307777777777773</v>
      </c>
      <c r="M286" s="16">
        <v>49.307777777777773</v>
      </c>
    </row>
    <row r="287" spans="1:13" s="5" customFormat="1" x14ac:dyDescent="0.25">
      <c r="A287" s="12" t="s">
        <v>589</v>
      </c>
      <c r="B287" s="13" t="s">
        <v>590</v>
      </c>
      <c r="C287" s="14">
        <v>45387</v>
      </c>
      <c r="D287" s="13">
        <v>2024</v>
      </c>
      <c r="E287" s="13" t="s">
        <v>14</v>
      </c>
      <c r="F287" s="13" t="s">
        <v>25</v>
      </c>
      <c r="G287" s="15">
        <v>418.03</v>
      </c>
      <c r="H287" s="15">
        <v>418.03</v>
      </c>
      <c r="I287" s="13">
        <v>5</v>
      </c>
      <c r="J287" s="13">
        <v>5</v>
      </c>
      <c r="K287" s="13" t="s">
        <v>3348</v>
      </c>
      <c r="L287" s="15">
        <v>83.605999999999995</v>
      </c>
      <c r="M287" s="16">
        <v>83.605999999999995</v>
      </c>
    </row>
    <row r="288" spans="1:13" s="5" customFormat="1" x14ac:dyDescent="0.25">
      <c r="A288" s="12" t="s">
        <v>591</v>
      </c>
      <c r="B288" s="13" t="s">
        <v>592</v>
      </c>
      <c r="C288" s="14">
        <v>45878</v>
      </c>
      <c r="D288" s="13">
        <v>2025</v>
      </c>
      <c r="E288" s="13" t="s">
        <v>14</v>
      </c>
      <c r="F288" s="13" t="s">
        <v>22</v>
      </c>
      <c r="G288" s="15">
        <v>704.33</v>
      </c>
      <c r="H288" s="15">
        <v>704.33</v>
      </c>
      <c r="I288" s="13">
        <v>6</v>
      </c>
      <c r="J288" s="13">
        <v>6</v>
      </c>
      <c r="K288" s="13" t="s">
        <v>15</v>
      </c>
      <c r="L288" s="15">
        <v>117.38833333333334</v>
      </c>
      <c r="M288" s="16">
        <v>117.38833333333334</v>
      </c>
    </row>
    <row r="289" spans="1:13" s="5" customFormat="1" x14ac:dyDescent="0.25">
      <c r="A289" s="12" t="s">
        <v>593</v>
      </c>
      <c r="B289" s="13" t="s">
        <v>594</v>
      </c>
      <c r="C289" s="14">
        <v>45459</v>
      </c>
      <c r="D289" s="13">
        <v>2024</v>
      </c>
      <c r="E289" s="13" t="s">
        <v>3347</v>
      </c>
      <c r="F289" s="13" t="s">
        <v>25</v>
      </c>
      <c r="G289" s="15">
        <v>110.59</v>
      </c>
      <c r="H289" s="15">
        <v>110.59</v>
      </c>
      <c r="I289" s="13">
        <v>3</v>
      </c>
      <c r="J289" s="13">
        <v>3</v>
      </c>
      <c r="K289" s="13" t="s">
        <v>15</v>
      </c>
      <c r="L289" s="15">
        <v>36.863333333333337</v>
      </c>
      <c r="M289" s="16">
        <v>36.863333333333337</v>
      </c>
    </row>
    <row r="290" spans="1:13" s="5" customFormat="1" x14ac:dyDescent="0.25">
      <c r="A290" s="12" t="s">
        <v>595</v>
      </c>
      <c r="B290" s="13" t="s">
        <v>596</v>
      </c>
      <c r="C290" s="14">
        <v>45520</v>
      </c>
      <c r="D290" s="13">
        <v>2024</v>
      </c>
      <c r="E290" s="13" t="s">
        <v>21</v>
      </c>
      <c r="F290" s="13" t="s">
        <v>25</v>
      </c>
      <c r="G290" s="15">
        <v>1079.18</v>
      </c>
      <c r="H290" s="15">
        <v>1079.18</v>
      </c>
      <c r="I290" s="13">
        <v>7</v>
      </c>
      <c r="J290" s="13">
        <v>7</v>
      </c>
      <c r="K290" s="13" t="s">
        <v>15</v>
      </c>
      <c r="L290" s="15">
        <v>154.16857142857143</v>
      </c>
      <c r="M290" s="16">
        <v>154.16857142857143</v>
      </c>
    </row>
    <row r="291" spans="1:13" s="5" customFormat="1" x14ac:dyDescent="0.25">
      <c r="A291" s="12" t="s">
        <v>597</v>
      </c>
      <c r="B291" s="13" t="s">
        <v>598</v>
      </c>
      <c r="C291" s="14">
        <v>45521</v>
      </c>
      <c r="D291" s="13">
        <v>2024</v>
      </c>
      <c r="E291" s="13" t="s">
        <v>3347</v>
      </c>
      <c r="F291" s="13" t="s">
        <v>34</v>
      </c>
      <c r="G291" s="15">
        <v>1397.34</v>
      </c>
      <c r="H291" s="15">
        <v>1397.34</v>
      </c>
      <c r="I291" s="13">
        <v>1</v>
      </c>
      <c r="J291" s="13">
        <v>1</v>
      </c>
      <c r="K291" s="13" t="s">
        <v>3346</v>
      </c>
      <c r="L291" s="15">
        <v>1397.34</v>
      </c>
      <c r="M291" s="16">
        <v>1397.34</v>
      </c>
    </row>
    <row r="292" spans="1:13" s="5" customFormat="1" x14ac:dyDescent="0.25">
      <c r="A292" s="12" t="s">
        <v>599</v>
      </c>
      <c r="B292" s="13" t="s">
        <v>600</v>
      </c>
      <c r="C292" s="14">
        <v>45802</v>
      </c>
      <c r="D292" s="13">
        <v>2025</v>
      </c>
      <c r="E292" s="13" t="s">
        <v>21</v>
      </c>
      <c r="F292" s="13" t="s">
        <v>34</v>
      </c>
      <c r="G292" s="15"/>
      <c r="H292" s="15">
        <v>1473.2333035714287</v>
      </c>
      <c r="I292" s="13">
        <v>9</v>
      </c>
      <c r="J292" s="13">
        <v>9</v>
      </c>
      <c r="K292" s="13" t="s">
        <v>18</v>
      </c>
      <c r="L292" s="15">
        <v>163.69258928571429</v>
      </c>
      <c r="M292" s="16">
        <v>163.69258928571429</v>
      </c>
    </row>
    <row r="293" spans="1:13" s="5" customFormat="1" x14ac:dyDescent="0.25">
      <c r="A293" s="12" t="s">
        <v>601</v>
      </c>
      <c r="B293" s="13" t="s">
        <v>602</v>
      </c>
      <c r="C293" s="14">
        <v>45286</v>
      </c>
      <c r="D293" s="13">
        <v>2023</v>
      </c>
      <c r="E293" s="13" t="s">
        <v>21</v>
      </c>
      <c r="F293" s="13" t="s">
        <v>34</v>
      </c>
      <c r="G293" s="15">
        <v>1484.83</v>
      </c>
      <c r="H293" s="15">
        <v>1484.83</v>
      </c>
      <c r="I293" s="13">
        <v>10</v>
      </c>
      <c r="J293" s="13">
        <v>10</v>
      </c>
      <c r="K293" s="13" t="s">
        <v>15</v>
      </c>
      <c r="L293" s="15">
        <v>148.483</v>
      </c>
      <c r="M293" s="16">
        <v>148.483</v>
      </c>
    </row>
    <row r="294" spans="1:13" s="5" customFormat="1" x14ac:dyDescent="0.25">
      <c r="A294" s="12" t="s">
        <v>603</v>
      </c>
      <c r="B294" s="13" t="s">
        <v>604</v>
      </c>
      <c r="C294" s="14">
        <v>45587</v>
      </c>
      <c r="D294" s="13">
        <v>2024</v>
      </c>
      <c r="E294" s="13" t="s">
        <v>14</v>
      </c>
      <c r="F294" s="13" t="s">
        <v>22</v>
      </c>
      <c r="G294" s="15">
        <v>1244.8800000000001</v>
      </c>
      <c r="H294" s="15">
        <v>1244.8800000000001</v>
      </c>
      <c r="I294" s="13">
        <v>7</v>
      </c>
      <c r="J294" s="13">
        <v>7</v>
      </c>
      <c r="K294" s="13" t="s">
        <v>18</v>
      </c>
      <c r="L294" s="15">
        <v>177.84</v>
      </c>
      <c r="M294" s="16">
        <v>177.84</v>
      </c>
    </row>
    <row r="295" spans="1:13" s="5" customFormat="1" x14ac:dyDescent="0.25">
      <c r="A295" s="12" t="s">
        <v>605</v>
      </c>
      <c r="B295" s="13" t="s">
        <v>606</v>
      </c>
      <c r="C295" s="14">
        <v>45707</v>
      </c>
      <c r="D295" s="13">
        <v>2025</v>
      </c>
      <c r="E295" s="13" t="s">
        <v>10</v>
      </c>
      <c r="F295" s="13" t="s">
        <v>34</v>
      </c>
      <c r="G295" s="15"/>
      <c r="H295" s="15">
        <v>240.39999999999998</v>
      </c>
      <c r="I295" s="13">
        <v>8</v>
      </c>
      <c r="J295" s="13">
        <v>8</v>
      </c>
      <c r="K295" s="13" t="s">
        <v>15</v>
      </c>
      <c r="L295" s="15">
        <v>30.049999999999997</v>
      </c>
      <c r="M295" s="16">
        <v>30.049999999999997</v>
      </c>
    </row>
    <row r="296" spans="1:13" s="5" customFormat="1" x14ac:dyDescent="0.25">
      <c r="A296" s="12" t="s">
        <v>607</v>
      </c>
      <c r="B296" s="13" t="s">
        <v>608</v>
      </c>
      <c r="C296" s="14">
        <v>45515</v>
      </c>
      <c r="D296" s="13">
        <v>2024</v>
      </c>
      <c r="E296" s="13" t="s">
        <v>14</v>
      </c>
      <c r="F296" s="13" t="s">
        <v>22</v>
      </c>
      <c r="G296" s="15">
        <v>869.89</v>
      </c>
      <c r="H296" s="15">
        <v>869.89</v>
      </c>
      <c r="I296" s="13">
        <v>5</v>
      </c>
      <c r="J296" s="13">
        <v>5</v>
      </c>
      <c r="K296" s="13" t="s">
        <v>35</v>
      </c>
      <c r="L296" s="15">
        <v>173.97800000000001</v>
      </c>
      <c r="M296" s="16">
        <v>173.97800000000001</v>
      </c>
    </row>
    <row r="297" spans="1:13" s="5" customFormat="1" x14ac:dyDescent="0.25">
      <c r="A297" s="12" t="s">
        <v>609</v>
      </c>
      <c r="B297" s="13" t="s">
        <v>610</v>
      </c>
      <c r="C297" s="14">
        <v>45455</v>
      </c>
      <c r="D297" s="13">
        <v>2024</v>
      </c>
      <c r="E297" s="13" t="s">
        <v>3347</v>
      </c>
      <c r="F297" s="13" t="s">
        <v>11</v>
      </c>
      <c r="G297" s="15"/>
      <c r="H297" s="15">
        <v>3548.2821388888883</v>
      </c>
      <c r="I297" s="13">
        <v>6</v>
      </c>
      <c r="J297" s="13">
        <v>6</v>
      </c>
      <c r="K297" s="13" t="s">
        <v>3348</v>
      </c>
      <c r="L297" s="15">
        <v>661.73085317460323</v>
      </c>
      <c r="M297" s="16">
        <v>661.73085317460323</v>
      </c>
    </row>
    <row r="298" spans="1:13" s="5" customFormat="1" x14ac:dyDescent="0.25">
      <c r="A298" s="12" t="s">
        <v>611</v>
      </c>
      <c r="B298" s="13" t="s">
        <v>612</v>
      </c>
      <c r="C298" s="14">
        <v>45348</v>
      </c>
      <c r="D298" s="13">
        <v>2024</v>
      </c>
      <c r="E298" s="13" t="s">
        <v>3347</v>
      </c>
      <c r="F298" s="13" t="s">
        <v>22</v>
      </c>
      <c r="G298" s="15">
        <v>922.45</v>
      </c>
      <c r="H298" s="15">
        <v>922.45</v>
      </c>
      <c r="I298" s="13">
        <v>6</v>
      </c>
      <c r="J298" s="13">
        <v>6</v>
      </c>
      <c r="K298" s="13" t="s">
        <v>15</v>
      </c>
      <c r="L298" s="15">
        <v>153.74166666666667</v>
      </c>
      <c r="M298" s="16">
        <v>153.74166666666667</v>
      </c>
    </row>
    <row r="299" spans="1:13" s="5" customFormat="1" x14ac:dyDescent="0.25">
      <c r="A299" s="12" t="s">
        <v>613</v>
      </c>
      <c r="B299" s="13" t="s">
        <v>614</v>
      </c>
      <c r="C299" s="14">
        <v>45661</v>
      </c>
      <c r="D299" s="13">
        <v>2025</v>
      </c>
      <c r="E299" s="13" t="s">
        <v>14</v>
      </c>
      <c r="F299" s="13" t="s">
        <v>22</v>
      </c>
      <c r="G299" s="15">
        <v>1900.41</v>
      </c>
      <c r="H299" s="15">
        <v>1900.41</v>
      </c>
      <c r="I299" s="13">
        <v>10</v>
      </c>
      <c r="J299" s="13">
        <v>10</v>
      </c>
      <c r="K299" s="13" t="s">
        <v>3348</v>
      </c>
      <c r="L299" s="15">
        <v>190.041</v>
      </c>
      <c r="M299" s="16">
        <v>190.041</v>
      </c>
    </row>
    <row r="300" spans="1:13" s="5" customFormat="1" x14ac:dyDescent="0.25">
      <c r="A300" s="12" t="s">
        <v>615</v>
      </c>
      <c r="B300" s="13" t="s">
        <v>616</v>
      </c>
      <c r="C300" s="14">
        <v>44872</v>
      </c>
      <c r="D300" s="13">
        <v>2022</v>
      </c>
      <c r="E300" s="13" t="s">
        <v>21</v>
      </c>
      <c r="F300" s="13" t="s">
        <v>34</v>
      </c>
      <c r="G300" s="15">
        <v>1896.8</v>
      </c>
      <c r="H300" s="15">
        <v>1896.8</v>
      </c>
      <c r="I300" s="13">
        <v>1</v>
      </c>
      <c r="J300" s="13">
        <v>1</v>
      </c>
      <c r="K300" s="13" t="s">
        <v>15</v>
      </c>
      <c r="L300" s="15">
        <v>1896.8</v>
      </c>
      <c r="M300" s="16">
        <v>1896.8</v>
      </c>
    </row>
    <row r="301" spans="1:13" s="5" customFormat="1" x14ac:dyDescent="0.25">
      <c r="A301" s="12" t="s">
        <v>617</v>
      </c>
      <c r="B301" s="13" t="s">
        <v>618</v>
      </c>
      <c r="C301" s="14">
        <v>44897</v>
      </c>
      <c r="D301" s="13">
        <v>2022</v>
      </c>
      <c r="E301" s="13" t="s">
        <v>21</v>
      </c>
      <c r="F301" s="13" t="s">
        <v>11</v>
      </c>
      <c r="G301" s="15">
        <v>606.23</v>
      </c>
      <c r="H301" s="15">
        <v>606.23</v>
      </c>
      <c r="I301" s="13">
        <v>7</v>
      </c>
      <c r="J301" s="13">
        <v>7</v>
      </c>
      <c r="K301" s="13" t="s">
        <v>3346</v>
      </c>
      <c r="L301" s="15">
        <v>86.604285714285723</v>
      </c>
      <c r="M301" s="16">
        <v>86.604285714285723</v>
      </c>
    </row>
    <row r="302" spans="1:13" s="5" customFormat="1" x14ac:dyDescent="0.25">
      <c r="A302" s="12" t="s">
        <v>619</v>
      </c>
      <c r="B302" s="13" t="s">
        <v>620</v>
      </c>
      <c r="C302" s="14">
        <v>45361</v>
      </c>
      <c r="D302" s="13">
        <v>2024</v>
      </c>
      <c r="E302" s="13" t="s">
        <v>21</v>
      </c>
      <c r="F302" s="13" t="s">
        <v>25</v>
      </c>
      <c r="G302" s="15">
        <v>586.12</v>
      </c>
      <c r="H302" s="15">
        <v>586.12</v>
      </c>
      <c r="I302" s="13">
        <v>9</v>
      </c>
      <c r="J302" s="13">
        <v>9</v>
      </c>
      <c r="K302" s="13" t="s">
        <v>15</v>
      </c>
      <c r="L302" s="15">
        <v>65.12444444444445</v>
      </c>
      <c r="M302" s="16">
        <v>65.12444444444445</v>
      </c>
    </row>
    <row r="303" spans="1:13" s="5" customFormat="1" x14ac:dyDescent="0.25">
      <c r="A303" s="12" t="s">
        <v>621</v>
      </c>
      <c r="B303" s="13" t="s">
        <v>622</v>
      </c>
      <c r="C303" s="14">
        <v>45251</v>
      </c>
      <c r="D303" s="13">
        <v>2023</v>
      </c>
      <c r="E303" s="13" t="s">
        <v>10</v>
      </c>
      <c r="F303" s="13" t="s">
        <v>22</v>
      </c>
      <c r="G303" s="15">
        <v>1250.47</v>
      </c>
      <c r="H303" s="15">
        <v>1250.47</v>
      </c>
      <c r="I303" s="13">
        <v>2</v>
      </c>
      <c r="J303" s="13">
        <v>2</v>
      </c>
      <c r="K303" s="13" t="s">
        <v>3348</v>
      </c>
      <c r="L303" s="15">
        <v>625.23500000000001</v>
      </c>
      <c r="M303" s="16">
        <v>625.23500000000001</v>
      </c>
    </row>
    <row r="304" spans="1:13" s="5" customFormat="1" x14ac:dyDescent="0.25">
      <c r="A304" s="12" t="s">
        <v>623</v>
      </c>
      <c r="B304" s="13" t="s">
        <v>624</v>
      </c>
      <c r="C304" s="14">
        <v>45177</v>
      </c>
      <c r="D304" s="13">
        <v>2023</v>
      </c>
      <c r="E304" s="13" t="s">
        <v>21</v>
      </c>
      <c r="F304" s="13" t="s">
        <v>22</v>
      </c>
      <c r="G304" s="15">
        <v>392.99</v>
      </c>
      <c r="H304" s="15">
        <v>392.99</v>
      </c>
      <c r="I304" s="13">
        <v>1</v>
      </c>
      <c r="J304" s="13">
        <v>1</v>
      </c>
      <c r="K304" s="13" t="s">
        <v>3346</v>
      </c>
      <c r="L304" s="15">
        <v>392.99</v>
      </c>
      <c r="M304" s="16">
        <v>392.99</v>
      </c>
    </row>
    <row r="305" spans="1:13" s="5" customFormat="1" x14ac:dyDescent="0.25">
      <c r="A305" s="12" t="s">
        <v>625</v>
      </c>
      <c r="B305" s="13" t="s">
        <v>626</v>
      </c>
      <c r="C305" s="14">
        <v>45188</v>
      </c>
      <c r="D305" s="13">
        <v>2023</v>
      </c>
      <c r="E305" s="13" t="s">
        <v>21</v>
      </c>
      <c r="F305" s="13" t="s">
        <v>34</v>
      </c>
      <c r="G305" s="15">
        <v>1249.8</v>
      </c>
      <c r="H305" s="15">
        <v>1249.8</v>
      </c>
      <c r="I305" s="13">
        <v>10</v>
      </c>
      <c r="J305" s="13">
        <v>10</v>
      </c>
      <c r="K305" s="13" t="s">
        <v>15</v>
      </c>
      <c r="L305" s="15">
        <v>124.97999999999999</v>
      </c>
      <c r="M305" s="16">
        <v>124.97999999999999</v>
      </c>
    </row>
    <row r="306" spans="1:13" s="5" customFormat="1" x14ac:dyDescent="0.25">
      <c r="A306" s="12" t="s">
        <v>627</v>
      </c>
      <c r="B306" s="13" t="s">
        <v>628</v>
      </c>
      <c r="C306" s="14">
        <v>44876</v>
      </c>
      <c r="D306" s="13">
        <v>2022</v>
      </c>
      <c r="E306" s="13" t="s">
        <v>21</v>
      </c>
      <c r="F306" s="13" t="s">
        <v>22</v>
      </c>
      <c r="G306" s="15">
        <v>1713.43</v>
      </c>
      <c r="H306" s="15">
        <v>1713.43</v>
      </c>
      <c r="I306" s="13">
        <v>6</v>
      </c>
      <c r="J306" s="13">
        <v>6</v>
      </c>
      <c r="K306" s="13" t="s">
        <v>18</v>
      </c>
      <c r="L306" s="15">
        <v>285.57166666666666</v>
      </c>
      <c r="M306" s="16">
        <v>285.57166666666666</v>
      </c>
    </row>
    <row r="307" spans="1:13" s="5" customFormat="1" x14ac:dyDescent="0.25">
      <c r="A307" s="12" t="s">
        <v>629</v>
      </c>
      <c r="B307" s="13" t="s">
        <v>630</v>
      </c>
      <c r="C307" s="14">
        <v>45385</v>
      </c>
      <c r="D307" s="13">
        <v>2024</v>
      </c>
      <c r="E307" s="13" t="s">
        <v>3347</v>
      </c>
      <c r="F307" s="13" t="s">
        <v>34</v>
      </c>
      <c r="G307" s="15">
        <v>1327.29</v>
      </c>
      <c r="H307" s="15">
        <v>1327.29</v>
      </c>
      <c r="I307" s="13">
        <v>3</v>
      </c>
      <c r="J307" s="13">
        <v>3</v>
      </c>
      <c r="K307" s="13" t="s">
        <v>15</v>
      </c>
      <c r="L307" s="15">
        <v>442.43</v>
      </c>
      <c r="M307" s="16">
        <v>442.43</v>
      </c>
    </row>
    <row r="308" spans="1:13" s="5" customFormat="1" x14ac:dyDescent="0.25">
      <c r="A308" s="12" t="s">
        <v>631</v>
      </c>
      <c r="B308" s="13" t="s">
        <v>632</v>
      </c>
      <c r="C308" s="14">
        <v>44891</v>
      </c>
      <c r="D308" s="13">
        <v>2022</v>
      </c>
      <c r="E308" s="13" t="s">
        <v>3347</v>
      </c>
      <c r="F308" s="13" t="s">
        <v>22</v>
      </c>
      <c r="G308" s="15">
        <v>1774.13</v>
      </c>
      <c r="H308" s="15">
        <v>1774.13</v>
      </c>
      <c r="I308" s="13">
        <v>6</v>
      </c>
      <c r="J308" s="13">
        <v>6</v>
      </c>
      <c r="K308" s="13" t="s">
        <v>18</v>
      </c>
      <c r="L308" s="15">
        <v>295.68833333333333</v>
      </c>
      <c r="M308" s="16">
        <v>295.68833333333333</v>
      </c>
    </row>
    <row r="309" spans="1:13" s="5" customFormat="1" x14ac:dyDescent="0.25">
      <c r="A309" s="12" t="s">
        <v>633</v>
      </c>
      <c r="B309" s="13" t="s">
        <v>634</v>
      </c>
      <c r="C309" s="14">
        <v>45939</v>
      </c>
      <c r="D309" s="13">
        <v>2025</v>
      </c>
      <c r="E309" s="13" t="s">
        <v>21</v>
      </c>
      <c r="F309" s="13" t="s">
        <v>34</v>
      </c>
      <c r="G309" s="15">
        <v>154.58000000000001</v>
      </c>
      <c r="H309" s="15">
        <v>154.58000000000001</v>
      </c>
      <c r="I309" s="13">
        <v>7</v>
      </c>
      <c r="J309" s="13">
        <v>7</v>
      </c>
      <c r="K309" s="13" t="s">
        <v>18</v>
      </c>
      <c r="L309" s="15">
        <v>22.082857142857144</v>
      </c>
      <c r="M309" s="16">
        <v>22.082857142857144</v>
      </c>
    </row>
    <row r="310" spans="1:13" s="5" customFormat="1" x14ac:dyDescent="0.25">
      <c r="A310" s="12" t="s">
        <v>635</v>
      </c>
      <c r="B310" s="13" t="s">
        <v>636</v>
      </c>
      <c r="C310" s="14">
        <v>45462</v>
      </c>
      <c r="D310" s="13">
        <v>2024</v>
      </c>
      <c r="E310" s="13" t="s">
        <v>3347</v>
      </c>
      <c r="F310" s="13" t="s">
        <v>34</v>
      </c>
      <c r="G310" s="15"/>
      <c r="H310" s="15">
        <v>2419.4962916666664</v>
      </c>
      <c r="I310" s="13">
        <v>7</v>
      </c>
      <c r="J310" s="13">
        <v>7</v>
      </c>
      <c r="K310" s="13" t="s">
        <v>3346</v>
      </c>
      <c r="L310" s="15">
        <v>345.64232738095234</v>
      </c>
      <c r="M310" s="16">
        <v>345.64232738095234</v>
      </c>
    </row>
    <row r="311" spans="1:13" s="5" customFormat="1" x14ac:dyDescent="0.25">
      <c r="A311" s="12" t="s">
        <v>637</v>
      </c>
      <c r="B311" s="13" t="s">
        <v>638</v>
      </c>
      <c r="C311" s="14">
        <v>45832</v>
      </c>
      <c r="D311" s="13">
        <v>2025</v>
      </c>
      <c r="E311" s="13" t="s">
        <v>21</v>
      </c>
      <c r="F311" s="13" t="s">
        <v>11</v>
      </c>
      <c r="G311" s="15">
        <v>1601.22</v>
      </c>
      <c r="H311" s="15">
        <v>1601.22</v>
      </c>
      <c r="I311" s="13">
        <v>3</v>
      </c>
      <c r="J311" s="13">
        <v>3</v>
      </c>
      <c r="K311" s="13" t="s">
        <v>15</v>
      </c>
      <c r="L311" s="15">
        <v>533.74</v>
      </c>
      <c r="M311" s="16">
        <v>533.74</v>
      </c>
    </row>
    <row r="312" spans="1:13" s="5" customFormat="1" x14ac:dyDescent="0.25">
      <c r="A312" s="12" t="s">
        <v>639</v>
      </c>
      <c r="B312" s="13" t="s">
        <v>640</v>
      </c>
      <c r="C312" s="14">
        <v>44867</v>
      </c>
      <c r="D312" s="13">
        <v>2022</v>
      </c>
      <c r="E312" s="13" t="s">
        <v>21</v>
      </c>
      <c r="F312" s="13" t="s">
        <v>22</v>
      </c>
      <c r="G312" s="15">
        <v>603.91999999999996</v>
      </c>
      <c r="H312" s="15">
        <v>603.91999999999996</v>
      </c>
      <c r="I312" s="13">
        <v>9</v>
      </c>
      <c r="J312" s="13">
        <v>9</v>
      </c>
      <c r="K312" s="13" t="s">
        <v>35</v>
      </c>
      <c r="L312" s="15">
        <v>67.102222222222224</v>
      </c>
      <c r="M312" s="16">
        <v>67.102222222222224</v>
      </c>
    </row>
    <row r="313" spans="1:13" s="5" customFormat="1" x14ac:dyDescent="0.25">
      <c r="A313" s="12" t="s">
        <v>641</v>
      </c>
      <c r="B313" s="13" t="s">
        <v>642</v>
      </c>
      <c r="C313" s="14">
        <v>45501</v>
      </c>
      <c r="D313" s="13">
        <v>2024</v>
      </c>
      <c r="E313" s="13" t="s">
        <v>3347</v>
      </c>
      <c r="F313" s="13" t="s">
        <v>25</v>
      </c>
      <c r="G313" s="15">
        <v>1119.8</v>
      </c>
      <c r="H313" s="15">
        <v>1119.8</v>
      </c>
      <c r="I313" s="13"/>
      <c r="J313" s="13">
        <v>6</v>
      </c>
      <c r="K313" s="13" t="s">
        <v>3346</v>
      </c>
      <c r="L313" s="15">
        <v>186.63333333333333</v>
      </c>
      <c r="M313" s="16">
        <v>172.99932539682541</v>
      </c>
    </row>
    <row r="314" spans="1:13" s="5" customFormat="1" x14ac:dyDescent="0.25">
      <c r="A314" s="12" t="s">
        <v>643</v>
      </c>
      <c r="B314" s="13" t="s">
        <v>644</v>
      </c>
      <c r="C314" s="14">
        <v>45137</v>
      </c>
      <c r="D314" s="13">
        <v>2023</v>
      </c>
      <c r="E314" s="13" t="s">
        <v>10</v>
      </c>
      <c r="F314" s="13" t="s">
        <v>22</v>
      </c>
      <c r="G314" s="15">
        <v>1152.6300000000001</v>
      </c>
      <c r="H314" s="15">
        <v>1152.6300000000001</v>
      </c>
      <c r="I314" s="13">
        <v>3</v>
      </c>
      <c r="J314" s="13">
        <v>3</v>
      </c>
      <c r="K314" s="13" t="s">
        <v>3346</v>
      </c>
      <c r="L314" s="15">
        <v>384.21000000000004</v>
      </c>
      <c r="M314" s="16">
        <v>384.21000000000004</v>
      </c>
    </row>
    <row r="315" spans="1:13" s="5" customFormat="1" x14ac:dyDescent="0.25">
      <c r="A315" s="12" t="s">
        <v>645</v>
      </c>
      <c r="B315" s="13" t="s">
        <v>646</v>
      </c>
      <c r="C315" s="14">
        <v>45561</v>
      </c>
      <c r="D315" s="13">
        <v>2024</v>
      </c>
      <c r="E315" s="13" t="s">
        <v>3347</v>
      </c>
      <c r="F315" s="13" t="s">
        <v>22</v>
      </c>
      <c r="G315" s="15">
        <v>281.22000000000003</v>
      </c>
      <c r="H315" s="15">
        <v>281.22000000000003</v>
      </c>
      <c r="I315" s="13">
        <v>3</v>
      </c>
      <c r="J315" s="13">
        <v>3</v>
      </c>
      <c r="K315" s="13" t="s">
        <v>3348</v>
      </c>
      <c r="L315" s="15">
        <v>93.740000000000009</v>
      </c>
      <c r="M315" s="16">
        <v>93.740000000000009</v>
      </c>
    </row>
    <row r="316" spans="1:13" s="5" customFormat="1" x14ac:dyDescent="0.25">
      <c r="A316" s="12" t="s">
        <v>647</v>
      </c>
      <c r="B316" s="13" t="s">
        <v>648</v>
      </c>
      <c r="C316" s="14">
        <v>45457</v>
      </c>
      <c r="D316" s="13">
        <v>2024</v>
      </c>
      <c r="E316" s="13" t="s">
        <v>10</v>
      </c>
      <c r="F316" s="13" t="s">
        <v>34</v>
      </c>
      <c r="G316" s="15">
        <v>341.01</v>
      </c>
      <c r="H316" s="15">
        <v>341.01</v>
      </c>
      <c r="I316" s="13"/>
      <c r="J316" s="13">
        <v>1</v>
      </c>
      <c r="K316" s="13" t="s">
        <v>3348</v>
      </c>
      <c r="L316" s="15">
        <v>341.01</v>
      </c>
      <c r="M316" s="16">
        <v>359.35166666666669</v>
      </c>
    </row>
    <row r="317" spans="1:13" s="5" customFormat="1" x14ac:dyDescent="0.25">
      <c r="A317" s="12" t="s">
        <v>649</v>
      </c>
      <c r="B317" s="13" t="s">
        <v>650</v>
      </c>
      <c r="C317" s="14">
        <v>45329</v>
      </c>
      <c r="D317" s="13">
        <v>2024</v>
      </c>
      <c r="E317" s="13" t="s">
        <v>14</v>
      </c>
      <c r="F317" s="13" t="s">
        <v>11</v>
      </c>
      <c r="G317" s="15">
        <v>60.42</v>
      </c>
      <c r="H317" s="15">
        <v>60.42</v>
      </c>
      <c r="I317" s="13">
        <v>9</v>
      </c>
      <c r="J317" s="13">
        <v>9</v>
      </c>
      <c r="K317" s="13" t="s">
        <v>18</v>
      </c>
      <c r="L317" s="15">
        <v>6.7133333333333338</v>
      </c>
      <c r="M317" s="16">
        <v>6.7133333333333338</v>
      </c>
    </row>
    <row r="318" spans="1:13" s="5" customFormat="1" x14ac:dyDescent="0.25">
      <c r="A318" s="12" t="s">
        <v>651</v>
      </c>
      <c r="B318" s="13" t="s">
        <v>391</v>
      </c>
      <c r="C318" s="14">
        <v>45417</v>
      </c>
      <c r="D318" s="13">
        <v>2024</v>
      </c>
      <c r="E318" s="13" t="s">
        <v>21</v>
      </c>
      <c r="F318" s="13" t="s">
        <v>25</v>
      </c>
      <c r="G318" s="15">
        <v>103.38</v>
      </c>
      <c r="H318" s="15">
        <v>103.38</v>
      </c>
      <c r="I318" s="13">
        <v>5</v>
      </c>
      <c r="J318" s="13">
        <v>5</v>
      </c>
      <c r="K318" s="13" t="s">
        <v>18</v>
      </c>
      <c r="L318" s="15">
        <v>20.675999999999998</v>
      </c>
      <c r="M318" s="16">
        <v>20.675999999999998</v>
      </c>
    </row>
    <row r="319" spans="1:13" s="5" customFormat="1" x14ac:dyDescent="0.25">
      <c r="A319" s="12" t="s">
        <v>652</v>
      </c>
      <c r="B319" s="13" t="s">
        <v>653</v>
      </c>
      <c r="C319" s="14">
        <v>45923</v>
      </c>
      <c r="D319" s="13">
        <v>2025</v>
      </c>
      <c r="E319" s="13" t="s">
        <v>14</v>
      </c>
      <c r="F319" s="13" t="s">
        <v>34</v>
      </c>
      <c r="G319" s="15">
        <v>1486.16</v>
      </c>
      <c r="H319" s="15">
        <v>1486.16</v>
      </c>
      <c r="I319" s="13">
        <v>7</v>
      </c>
      <c r="J319" s="13">
        <v>7</v>
      </c>
      <c r="K319" s="13" t="s">
        <v>35</v>
      </c>
      <c r="L319" s="15">
        <v>212.30857142857144</v>
      </c>
      <c r="M319" s="16">
        <v>212.30857142857144</v>
      </c>
    </row>
    <row r="320" spans="1:13" s="5" customFormat="1" x14ac:dyDescent="0.25">
      <c r="A320" s="12" t="s">
        <v>654</v>
      </c>
      <c r="B320" s="13" t="s">
        <v>655</v>
      </c>
      <c r="C320" s="14">
        <v>45310</v>
      </c>
      <c r="D320" s="13">
        <v>2024</v>
      </c>
      <c r="E320" s="13" t="s">
        <v>14</v>
      </c>
      <c r="F320" s="13" t="s">
        <v>34</v>
      </c>
      <c r="G320" s="15"/>
      <c r="H320" s="15">
        <v>966.93783035714296</v>
      </c>
      <c r="I320" s="13">
        <v>6</v>
      </c>
      <c r="J320" s="13">
        <v>6</v>
      </c>
      <c r="K320" s="13" t="s">
        <v>18</v>
      </c>
      <c r="L320" s="15">
        <v>161.15630505952382</v>
      </c>
      <c r="M320" s="16">
        <v>161.15630505952382</v>
      </c>
    </row>
    <row r="321" spans="1:13" s="5" customFormat="1" x14ac:dyDescent="0.25">
      <c r="A321" s="12" t="s">
        <v>656</v>
      </c>
      <c r="B321" s="13" t="s">
        <v>657</v>
      </c>
      <c r="C321" s="14">
        <v>45453</v>
      </c>
      <c r="D321" s="13">
        <v>2024</v>
      </c>
      <c r="E321" s="13" t="s">
        <v>14</v>
      </c>
      <c r="F321" s="13" t="s">
        <v>34</v>
      </c>
      <c r="G321" s="15">
        <v>1486.17</v>
      </c>
      <c r="H321" s="15">
        <v>1486.17</v>
      </c>
      <c r="I321" s="13">
        <v>4</v>
      </c>
      <c r="J321" s="13">
        <v>4</v>
      </c>
      <c r="K321" s="13" t="s">
        <v>15</v>
      </c>
      <c r="L321" s="15">
        <v>371.54250000000002</v>
      </c>
      <c r="M321" s="16">
        <v>371.54250000000002</v>
      </c>
    </row>
    <row r="322" spans="1:13" s="5" customFormat="1" x14ac:dyDescent="0.25">
      <c r="A322" s="12" t="s">
        <v>658</v>
      </c>
      <c r="B322" s="13" t="s">
        <v>659</v>
      </c>
      <c r="C322" s="14">
        <v>45592</v>
      </c>
      <c r="D322" s="13">
        <v>2024</v>
      </c>
      <c r="E322" s="13" t="s">
        <v>3347</v>
      </c>
      <c r="F322" s="13" t="s">
        <v>34</v>
      </c>
      <c r="G322" s="15">
        <v>1526.5</v>
      </c>
      <c r="H322" s="15">
        <v>1526.5</v>
      </c>
      <c r="I322" s="13">
        <v>2</v>
      </c>
      <c r="J322" s="13">
        <v>2</v>
      </c>
      <c r="K322" s="13" t="s">
        <v>35</v>
      </c>
      <c r="L322" s="15">
        <v>763.25</v>
      </c>
      <c r="M322" s="16">
        <v>763.25</v>
      </c>
    </row>
    <row r="323" spans="1:13" s="5" customFormat="1" x14ac:dyDescent="0.25">
      <c r="A323" s="12" t="s">
        <v>660</v>
      </c>
      <c r="B323" s="13" t="s">
        <v>661</v>
      </c>
      <c r="C323" s="14">
        <v>45739</v>
      </c>
      <c r="D323" s="13">
        <v>2025</v>
      </c>
      <c r="E323" s="13" t="s">
        <v>14</v>
      </c>
      <c r="F323" s="13" t="s">
        <v>25</v>
      </c>
      <c r="G323" s="15">
        <v>1747.6</v>
      </c>
      <c r="H323" s="15">
        <v>1747.6</v>
      </c>
      <c r="I323" s="13">
        <v>4</v>
      </c>
      <c r="J323" s="13">
        <v>4</v>
      </c>
      <c r="K323" s="13" t="s">
        <v>15</v>
      </c>
      <c r="L323" s="15">
        <v>436.9</v>
      </c>
      <c r="M323" s="16">
        <v>436.9</v>
      </c>
    </row>
    <row r="324" spans="1:13" s="5" customFormat="1" x14ac:dyDescent="0.25">
      <c r="A324" s="12" t="s">
        <v>662</v>
      </c>
      <c r="B324" s="13" t="s">
        <v>663</v>
      </c>
      <c r="C324" s="14">
        <v>45595</v>
      </c>
      <c r="D324" s="13">
        <v>2024</v>
      </c>
      <c r="E324" s="13" t="s">
        <v>14</v>
      </c>
      <c r="F324" s="13" t="s">
        <v>34</v>
      </c>
      <c r="G324" s="15">
        <v>1466.09</v>
      </c>
      <c r="H324" s="15">
        <v>1466.09</v>
      </c>
      <c r="I324" s="13">
        <v>7</v>
      </c>
      <c r="J324" s="13">
        <v>7</v>
      </c>
      <c r="K324" s="13" t="s">
        <v>3348</v>
      </c>
      <c r="L324" s="15">
        <v>209.44142857142856</v>
      </c>
      <c r="M324" s="16">
        <v>209.44142857142856</v>
      </c>
    </row>
    <row r="325" spans="1:13" s="5" customFormat="1" x14ac:dyDescent="0.25">
      <c r="A325" s="12" t="s">
        <v>664</v>
      </c>
      <c r="B325" s="13" t="s">
        <v>33</v>
      </c>
      <c r="C325" s="14">
        <v>45361</v>
      </c>
      <c r="D325" s="13">
        <v>2024</v>
      </c>
      <c r="E325" s="13" t="s">
        <v>3347</v>
      </c>
      <c r="F325" s="13" t="s">
        <v>25</v>
      </c>
      <c r="G325" s="15">
        <v>58.12</v>
      </c>
      <c r="H325" s="15">
        <v>58.12</v>
      </c>
      <c r="I325" s="13">
        <v>5</v>
      </c>
      <c r="J325" s="13">
        <v>5</v>
      </c>
      <c r="K325" s="13" t="s">
        <v>35</v>
      </c>
      <c r="L325" s="15">
        <v>11.623999999999999</v>
      </c>
      <c r="M325" s="16">
        <v>11.623999999999999</v>
      </c>
    </row>
    <row r="326" spans="1:13" s="5" customFormat="1" x14ac:dyDescent="0.25">
      <c r="A326" s="12" t="s">
        <v>665</v>
      </c>
      <c r="B326" s="13" t="s">
        <v>666</v>
      </c>
      <c r="C326" s="14">
        <v>45874</v>
      </c>
      <c r="D326" s="13">
        <v>2025</v>
      </c>
      <c r="E326" s="13" t="s">
        <v>21</v>
      </c>
      <c r="F326" s="13" t="s">
        <v>34</v>
      </c>
      <c r="G326" s="15">
        <v>365.55</v>
      </c>
      <c r="H326" s="15">
        <v>365.55</v>
      </c>
      <c r="I326" s="13">
        <v>2</v>
      </c>
      <c r="J326" s="13">
        <v>2</v>
      </c>
      <c r="K326" s="13" t="s">
        <v>3346</v>
      </c>
      <c r="L326" s="15">
        <v>182.77500000000001</v>
      </c>
      <c r="M326" s="16">
        <v>182.77500000000001</v>
      </c>
    </row>
    <row r="327" spans="1:13" s="5" customFormat="1" x14ac:dyDescent="0.25">
      <c r="A327" s="12" t="s">
        <v>667</v>
      </c>
      <c r="B327" s="13" t="s">
        <v>668</v>
      </c>
      <c r="C327" s="14">
        <v>45252</v>
      </c>
      <c r="D327" s="13">
        <v>2023</v>
      </c>
      <c r="E327" s="13" t="s">
        <v>10</v>
      </c>
      <c r="F327" s="13" t="s">
        <v>34</v>
      </c>
      <c r="G327" s="15">
        <v>528.44000000000005</v>
      </c>
      <c r="H327" s="15">
        <v>528.44000000000005</v>
      </c>
      <c r="I327" s="13">
        <v>4</v>
      </c>
      <c r="J327" s="13">
        <v>4</v>
      </c>
      <c r="K327" s="13" t="s">
        <v>3348</v>
      </c>
      <c r="L327" s="15">
        <v>132.11000000000001</v>
      </c>
      <c r="M327" s="16">
        <v>132.11000000000001</v>
      </c>
    </row>
    <row r="328" spans="1:13" s="5" customFormat="1" x14ac:dyDescent="0.25">
      <c r="A328" s="12" t="s">
        <v>669</v>
      </c>
      <c r="B328" s="13" t="s">
        <v>670</v>
      </c>
      <c r="C328" s="14">
        <v>45247</v>
      </c>
      <c r="D328" s="13">
        <v>2023</v>
      </c>
      <c r="E328" s="13" t="s">
        <v>14</v>
      </c>
      <c r="F328" s="13" t="s">
        <v>22</v>
      </c>
      <c r="G328" s="15">
        <v>1041.54</v>
      </c>
      <c r="H328" s="15">
        <v>1041.54</v>
      </c>
      <c r="I328" s="13">
        <v>8</v>
      </c>
      <c r="J328" s="13">
        <v>8</v>
      </c>
      <c r="K328" s="13" t="s">
        <v>35</v>
      </c>
      <c r="L328" s="15">
        <v>130.1925</v>
      </c>
      <c r="M328" s="16">
        <v>130.1925</v>
      </c>
    </row>
    <row r="329" spans="1:13" s="5" customFormat="1" x14ac:dyDescent="0.25">
      <c r="A329" s="12" t="s">
        <v>671</v>
      </c>
      <c r="B329" s="13" t="s">
        <v>672</v>
      </c>
      <c r="C329" s="14">
        <v>45740</v>
      </c>
      <c r="D329" s="13">
        <v>2025</v>
      </c>
      <c r="E329" s="13" t="s">
        <v>14</v>
      </c>
      <c r="F329" s="13" t="s">
        <v>22</v>
      </c>
      <c r="G329" s="15">
        <v>470.83</v>
      </c>
      <c r="H329" s="15">
        <v>470.83</v>
      </c>
      <c r="I329" s="13">
        <v>7</v>
      </c>
      <c r="J329" s="13">
        <v>7</v>
      </c>
      <c r="K329" s="13" t="s">
        <v>3348</v>
      </c>
      <c r="L329" s="15">
        <v>67.261428571428567</v>
      </c>
      <c r="M329" s="16">
        <v>67.261428571428567</v>
      </c>
    </row>
    <row r="330" spans="1:13" s="5" customFormat="1" x14ac:dyDescent="0.25">
      <c r="A330" s="12" t="s">
        <v>673</v>
      </c>
      <c r="B330" s="13" t="s">
        <v>674</v>
      </c>
      <c r="C330" s="14">
        <v>45010</v>
      </c>
      <c r="D330" s="13">
        <v>2023</v>
      </c>
      <c r="E330" s="13" t="s">
        <v>3347</v>
      </c>
      <c r="F330" s="13" t="s">
        <v>34</v>
      </c>
      <c r="G330" s="15">
        <v>1058.73</v>
      </c>
      <c r="H330" s="15">
        <v>1058.73</v>
      </c>
      <c r="I330" s="13">
        <v>8</v>
      </c>
      <c r="J330" s="13">
        <v>8</v>
      </c>
      <c r="K330" s="13" t="s">
        <v>35</v>
      </c>
      <c r="L330" s="15">
        <v>132.34125</v>
      </c>
      <c r="M330" s="16">
        <v>132.34125</v>
      </c>
    </row>
    <row r="331" spans="1:13" s="5" customFormat="1" x14ac:dyDescent="0.25">
      <c r="A331" s="12" t="s">
        <v>675</v>
      </c>
      <c r="B331" s="13" t="s">
        <v>676</v>
      </c>
      <c r="C331" s="14">
        <v>44965</v>
      </c>
      <c r="D331" s="13">
        <v>2023</v>
      </c>
      <c r="E331" s="13" t="s">
        <v>14</v>
      </c>
      <c r="F331" s="13" t="s">
        <v>11</v>
      </c>
      <c r="G331" s="15">
        <v>639.92999999999995</v>
      </c>
      <c r="H331" s="15">
        <v>639.92999999999995</v>
      </c>
      <c r="I331" s="13">
        <v>8</v>
      </c>
      <c r="J331" s="13">
        <v>8</v>
      </c>
      <c r="K331" s="13" t="s">
        <v>3346</v>
      </c>
      <c r="L331" s="15">
        <v>79.991249999999994</v>
      </c>
      <c r="M331" s="16">
        <v>79.991249999999994</v>
      </c>
    </row>
    <row r="332" spans="1:13" s="5" customFormat="1" x14ac:dyDescent="0.25">
      <c r="A332" s="12" t="s">
        <v>677</v>
      </c>
      <c r="B332" s="13" t="s">
        <v>678</v>
      </c>
      <c r="C332" s="14">
        <v>45133</v>
      </c>
      <c r="D332" s="13">
        <v>2023</v>
      </c>
      <c r="E332" s="13" t="s">
        <v>10</v>
      </c>
      <c r="F332" s="13" t="s">
        <v>25</v>
      </c>
      <c r="G332" s="15">
        <v>1637.15</v>
      </c>
      <c r="H332" s="15">
        <v>1637.15</v>
      </c>
      <c r="I332" s="13"/>
      <c r="J332" s="13">
        <v>10</v>
      </c>
      <c r="K332" s="13" t="s">
        <v>3346</v>
      </c>
      <c r="L332" s="15">
        <v>136.42916666666667</v>
      </c>
      <c r="M332" s="16">
        <v>131.3463630952381</v>
      </c>
    </row>
    <row r="333" spans="1:13" s="5" customFormat="1" x14ac:dyDescent="0.25">
      <c r="A333" s="12" t="s">
        <v>679</v>
      </c>
      <c r="B333" s="13" t="s">
        <v>680</v>
      </c>
      <c r="C333" s="14">
        <v>45507</v>
      </c>
      <c r="D333" s="13">
        <v>2024</v>
      </c>
      <c r="E333" s="13" t="s">
        <v>14</v>
      </c>
      <c r="F333" s="13" t="s">
        <v>34</v>
      </c>
      <c r="G333" s="15">
        <v>204.01</v>
      </c>
      <c r="H333" s="15">
        <v>204.01</v>
      </c>
      <c r="I333" s="13">
        <v>6</v>
      </c>
      <c r="J333" s="13">
        <v>6</v>
      </c>
      <c r="K333" s="13" t="s">
        <v>3348</v>
      </c>
      <c r="L333" s="15">
        <v>34.001666666666665</v>
      </c>
      <c r="M333" s="16">
        <v>34.001666666666665</v>
      </c>
    </row>
    <row r="334" spans="1:13" s="5" customFormat="1" x14ac:dyDescent="0.25">
      <c r="A334" s="12" t="s">
        <v>681</v>
      </c>
      <c r="B334" s="13" t="s">
        <v>682</v>
      </c>
      <c r="C334" s="14">
        <v>45163</v>
      </c>
      <c r="D334" s="13">
        <v>2023</v>
      </c>
      <c r="E334" s="13" t="s">
        <v>3347</v>
      </c>
      <c r="F334" s="13" t="s">
        <v>25</v>
      </c>
      <c r="G334" s="15">
        <v>957.75</v>
      </c>
      <c r="H334" s="15">
        <v>957.75</v>
      </c>
      <c r="I334" s="13">
        <v>3</v>
      </c>
      <c r="J334" s="13">
        <v>3</v>
      </c>
      <c r="K334" s="13" t="s">
        <v>35</v>
      </c>
      <c r="L334" s="15">
        <v>319.25</v>
      </c>
      <c r="M334" s="16">
        <v>319.25</v>
      </c>
    </row>
    <row r="335" spans="1:13" s="5" customFormat="1" x14ac:dyDescent="0.25">
      <c r="A335" s="12" t="s">
        <v>683</v>
      </c>
      <c r="B335" s="13" t="s">
        <v>684</v>
      </c>
      <c r="C335" s="14">
        <v>45173</v>
      </c>
      <c r="D335" s="13">
        <v>2023</v>
      </c>
      <c r="E335" s="13" t="s">
        <v>3347</v>
      </c>
      <c r="F335" s="13" t="s">
        <v>25</v>
      </c>
      <c r="G335" s="15"/>
      <c r="H335" s="15">
        <v>1811.7885694444442</v>
      </c>
      <c r="I335" s="13">
        <v>7</v>
      </c>
      <c r="J335" s="13">
        <v>7</v>
      </c>
      <c r="K335" s="13" t="s">
        <v>18</v>
      </c>
      <c r="L335" s="15">
        <v>258.82693849206345</v>
      </c>
      <c r="M335" s="16">
        <v>258.82693849206345</v>
      </c>
    </row>
    <row r="336" spans="1:13" s="5" customFormat="1" x14ac:dyDescent="0.25">
      <c r="A336" s="12" t="s">
        <v>685</v>
      </c>
      <c r="B336" s="13" t="s">
        <v>686</v>
      </c>
      <c r="C336" s="14">
        <v>45935</v>
      </c>
      <c r="D336" s="13">
        <v>2025</v>
      </c>
      <c r="E336" s="13" t="s">
        <v>3347</v>
      </c>
      <c r="F336" s="13" t="s">
        <v>34</v>
      </c>
      <c r="G336" s="15"/>
      <c r="H336" s="15">
        <v>2524.7171809523811</v>
      </c>
      <c r="I336" s="13">
        <v>8</v>
      </c>
      <c r="J336" s="13">
        <v>8</v>
      </c>
      <c r="K336" s="13" t="s">
        <v>3346</v>
      </c>
      <c r="L336" s="15">
        <v>315.58964761904764</v>
      </c>
      <c r="M336" s="16">
        <v>315.58964761904764</v>
      </c>
    </row>
    <row r="337" spans="1:13" s="5" customFormat="1" x14ac:dyDescent="0.25">
      <c r="A337" s="12" t="s">
        <v>687</v>
      </c>
      <c r="B337" s="13" t="s">
        <v>688</v>
      </c>
      <c r="C337" s="14">
        <v>45515</v>
      </c>
      <c r="D337" s="13">
        <v>2024</v>
      </c>
      <c r="E337" s="13" t="s">
        <v>14</v>
      </c>
      <c r="F337" s="13" t="s">
        <v>25</v>
      </c>
      <c r="G337" s="15">
        <v>221.34</v>
      </c>
      <c r="H337" s="15">
        <v>221.34</v>
      </c>
      <c r="I337" s="13">
        <v>10</v>
      </c>
      <c r="J337" s="13">
        <v>10</v>
      </c>
      <c r="K337" s="13" t="s">
        <v>3346</v>
      </c>
      <c r="L337" s="15">
        <v>22.134</v>
      </c>
      <c r="M337" s="16">
        <v>22.134</v>
      </c>
    </row>
    <row r="338" spans="1:13" s="5" customFormat="1" x14ac:dyDescent="0.25">
      <c r="A338" s="12" t="s">
        <v>689</v>
      </c>
      <c r="B338" s="13" t="s">
        <v>690</v>
      </c>
      <c r="C338" s="14">
        <v>45542</v>
      </c>
      <c r="D338" s="13">
        <v>2024</v>
      </c>
      <c r="E338" s="13" t="s">
        <v>14</v>
      </c>
      <c r="F338" s="13" t="s">
        <v>25</v>
      </c>
      <c r="G338" s="15">
        <v>1151.8399999999999</v>
      </c>
      <c r="H338" s="15">
        <v>1151.8399999999999</v>
      </c>
      <c r="I338" s="13">
        <v>10</v>
      </c>
      <c r="J338" s="13">
        <v>10</v>
      </c>
      <c r="K338" s="13" t="s">
        <v>35</v>
      </c>
      <c r="L338" s="15">
        <v>115.184</v>
      </c>
      <c r="M338" s="16">
        <v>115.184</v>
      </c>
    </row>
    <row r="339" spans="1:13" s="5" customFormat="1" x14ac:dyDescent="0.25">
      <c r="A339" s="12" t="s">
        <v>691</v>
      </c>
      <c r="B339" s="13" t="s">
        <v>692</v>
      </c>
      <c r="C339" s="14">
        <v>45495</v>
      </c>
      <c r="D339" s="13">
        <v>2024</v>
      </c>
      <c r="E339" s="13" t="s">
        <v>10</v>
      </c>
      <c r="F339" s="13" t="s">
        <v>25</v>
      </c>
      <c r="G339" s="15">
        <v>1804.47</v>
      </c>
      <c r="H339" s="15">
        <v>1804.47</v>
      </c>
      <c r="I339" s="13">
        <v>4</v>
      </c>
      <c r="J339" s="13">
        <v>4</v>
      </c>
      <c r="K339" s="13" t="s">
        <v>3348</v>
      </c>
      <c r="L339" s="15">
        <v>451.11750000000001</v>
      </c>
      <c r="M339" s="16">
        <v>451.11750000000001</v>
      </c>
    </row>
    <row r="340" spans="1:13" s="5" customFormat="1" x14ac:dyDescent="0.25">
      <c r="A340" s="12" t="s">
        <v>693</v>
      </c>
      <c r="B340" s="13" t="s">
        <v>694</v>
      </c>
      <c r="C340" s="14">
        <v>45851</v>
      </c>
      <c r="D340" s="13">
        <v>2025</v>
      </c>
      <c r="E340" s="13" t="s">
        <v>3347</v>
      </c>
      <c r="F340" s="13" t="s">
        <v>22</v>
      </c>
      <c r="G340" s="15">
        <v>988.73</v>
      </c>
      <c r="H340" s="15">
        <v>988.73</v>
      </c>
      <c r="I340" s="13">
        <v>7</v>
      </c>
      <c r="J340" s="13">
        <v>7</v>
      </c>
      <c r="K340" s="13" t="s">
        <v>15</v>
      </c>
      <c r="L340" s="15">
        <v>141.24714285714285</v>
      </c>
      <c r="M340" s="16">
        <v>141.24714285714285</v>
      </c>
    </row>
    <row r="341" spans="1:13" s="5" customFormat="1" x14ac:dyDescent="0.25">
      <c r="A341" s="12" t="s">
        <v>695</v>
      </c>
      <c r="B341" s="13" t="s">
        <v>696</v>
      </c>
      <c r="C341" s="14">
        <v>45554</v>
      </c>
      <c r="D341" s="13">
        <v>2024</v>
      </c>
      <c r="E341" s="13" t="s">
        <v>14</v>
      </c>
      <c r="F341" s="13" t="s">
        <v>25</v>
      </c>
      <c r="G341" s="15">
        <v>744.26</v>
      </c>
      <c r="H341" s="15">
        <v>744.26</v>
      </c>
      <c r="I341" s="13">
        <v>10</v>
      </c>
      <c r="J341" s="13">
        <v>10</v>
      </c>
      <c r="K341" s="13" t="s">
        <v>18</v>
      </c>
      <c r="L341" s="15">
        <v>74.426000000000002</v>
      </c>
      <c r="M341" s="16">
        <v>74.426000000000002</v>
      </c>
    </row>
    <row r="342" spans="1:13" s="5" customFormat="1" x14ac:dyDescent="0.25">
      <c r="A342" s="12" t="s">
        <v>697</v>
      </c>
      <c r="B342" s="13" t="s">
        <v>698</v>
      </c>
      <c r="C342" s="14">
        <v>45297</v>
      </c>
      <c r="D342" s="13">
        <v>2024</v>
      </c>
      <c r="E342" s="13" t="s">
        <v>10</v>
      </c>
      <c r="F342" s="13" t="s">
        <v>34</v>
      </c>
      <c r="G342" s="15">
        <v>65.180000000000007</v>
      </c>
      <c r="H342" s="15">
        <v>65.180000000000007</v>
      </c>
      <c r="I342" s="13">
        <v>4</v>
      </c>
      <c r="J342" s="13">
        <v>4</v>
      </c>
      <c r="K342" s="13" t="s">
        <v>35</v>
      </c>
      <c r="L342" s="15">
        <v>16.295000000000002</v>
      </c>
      <c r="M342" s="16">
        <v>16.295000000000002</v>
      </c>
    </row>
    <row r="343" spans="1:13" s="5" customFormat="1" x14ac:dyDescent="0.25">
      <c r="A343" s="12" t="s">
        <v>699</v>
      </c>
      <c r="B343" s="13" t="s">
        <v>700</v>
      </c>
      <c r="C343" s="14">
        <v>45716</v>
      </c>
      <c r="D343" s="13">
        <v>2025</v>
      </c>
      <c r="E343" s="13" t="s">
        <v>21</v>
      </c>
      <c r="F343" s="13" t="s">
        <v>25</v>
      </c>
      <c r="G343" s="15">
        <v>1751.55</v>
      </c>
      <c r="H343" s="15">
        <v>1751.55</v>
      </c>
      <c r="I343" s="13">
        <v>9</v>
      </c>
      <c r="J343" s="13">
        <v>9</v>
      </c>
      <c r="K343" s="13" t="s">
        <v>3346</v>
      </c>
      <c r="L343" s="15">
        <v>194.61666666666667</v>
      </c>
      <c r="M343" s="16">
        <v>194.61666666666667</v>
      </c>
    </row>
    <row r="344" spans="1:13" s="5" customFormat="1" x14ac:dyDescent="0.25">
      <c r="A344" s="12" t="s">
        <v>701</v>
      </c>
      <c r="B344" s="13" t="s">
        <v>702</v>
      </c>
      <c r="C344" s="14">
        <v>45119</v>
      </c>
      <c r="D344" s="13">
        <v>2023</v>
      </c>
      <c r="E344" s="13" t="s">
        <v>14</v>
      </c>
      <c r="F344" s="13" t="s">
        <v>11</v>
      </c>
      <c r="G344" s="15">
        <v>1821.2</v>
      </c>
      <c r="H344" s="15">
        <v>1821.2</v>
      </c>
      <c r="I344" s="13">
        <v>4</v>
      </c>
      <c r="J344" s="13">
        <v>4</v>
      </c>
      <c r="K344" s="13" t="s">
        <v>35</v>
      </c>
      <c r="L344" s="15">
        <v>455.3</v>
      </c>
      <c r="M344" s="16">
        <v>455.3</v>
      </c>
    </row>
    <row r="345" spans="1:13" s="5" customFormat="1" x14ac:dyDescent="0.25">
      <c r="A345" s="12" t="s">
        <v>703</v>
      </c>
      <c r="B345" s="13" t="s">
        <v>704</v>
      </c>
      <c r="C345" s="14">
        <v>45829</v>
      </c>
      <c r="D345" s="13">
        <v>2025</v>
      </c>
      <c r="E345" s="13" t="s">
        <v>3347</v>
      </c>
      <c r="F345" s="13" t="s">
        <v>34</v>
      </c>
      <c r="G345" s="15"/>
      <c r="H345" s="15">
        <v>3295.5219047619044</v>
      </c>
      <c r="I345" s="13">
        <v>10</v>
      </c>
      <c r="J345" s="13">
        <v>10</v>
      </c>
      <c r="K345" s="13" t="s">
        <v>35</v>
      </c>
      <c r="L345" s="15">
        <v>329.55219047619045</v>
      </c>
      <c r="M345" s="16">
        <v>329.55219047619045</v>
      </c>
    </row>
    <row r="346" spans="1:13" s="5" customFormat="1" x14ac:dyDescent="0.25">
      <c r="A346" s="12" t="s">
        <v>705</v>
      </c>
      <c r="B346" s="13" t="s">
        <v>706</v>
      </c>
      <c r="C346" s="14">
        <v>45398</v>
      </c>
      <c r="D346" s="13">
        <v>2024</v>
      </c>
      <c r="E346" s="13" t="s">
        <v>21</v>
      </c>
      <c r="F346" s="13" t="s">
        <v>34</v>
      </c>
      <c r="G346" s="15">
        <v>633.67999999999995</v>
      </c>
      <c r="H346" s="15">
        <v>633.67999999999995</v>
      </c>
      <c r="I346" s="13">
        <v>7</v>
      </c>
      <c r="J346" s="13">
        <v>7</v>
      </c>
      <c r="K346" s="13" t="s">
        <v>18</v>
      </c>
      <c r="L346" s="15">
        <v>90.525714285714272</v>
      </c>
      <c r="M346" s="16">
        <v>90.525714285714272</v>
      </c>
    </row>
    <row r="347" spans="1:13" s="5" customFormat="1" x14ac:dyDescent="0.25">
      <c r="A347" s="12" t="s">
        <v>707</v>
      </c>
      <c r="B347" s="13" t="s">
        <v>708</v>
      </c>
      <c r="C347" s="14">
        <v>45745</v>
      </c>
      <c r="D347" s="13">
        <v>2025</v>
      </c>
      <c r="E347" s="13" t="s">
        <v>10</v>
      </c>
      <c r="F347" s="13" t="s">
        <v>22</v>
      </c>
      <c r="G347" s="15">
        <v>12.67</v>
      </c>
      <c r="H347" s="15">
        <v>12.67</v>
      </c>
      <c r="I347" s="13">
        <v>2</v>
      </c>
      <c r="J347" s="13">
        <v>2</v>
      </c>
      <c r="K347" s="13" t="s">
        <v>3346</v>
      </c>
      <c r="L347" s="15">
        <v>6.335</v>
      </c>
      <c r="M347" s="16">
        <v>6.335</v>
      </c>
    </row>
    <row r="348" spans="1:13" s="5" customFormat="1" x14ac:dyDescent="0.25">
      <c r="A348" s="12" t="s">
        <v>709</v>
      </c>
      <c r="B348" s="13" t="s">
        <v>710</v>
      </c>
      <c r="C348" s="14">
        <v>45908</v>
      </c>
      <c r="D348" s="13">
        <v>2025</v>
      </c>
      <c r="E348" s="13" t="s">
        <v>14</v>
      </c>
      <c r="F348" s="13" t="s">
        <v>22</v>
      </c>
      <c r="G348" s="15">
        <v>1648.06</v>
      </c>
      <c r="H348" s="15">
        <v>1648.06</v>
      </c>
      <c r="I348" s="13">
        <v>7</v>
      </c>
      <c r="J348" s="13">
        <v>7</v>
      </c>
      <c r="K348" s="13" t="s">
        <v>3348</v>
      </c>
      <c r="L348" s="15">
        <v>235.43714285714285</v>
      </c>
      <c r="M348" s="16">
        <v>235.43714285714285</v>
      </c>
    </row>
    <row r="349" spans="1:13" s="5" customFormat="1" x14ac:dyDescent="0.25">
      <c r="A349" s="12" t="s">
        <v>711</v>
      </c>
      <c r="B349" s="13" t="s">
        <v>712</v>
      </c>
      <c r="C349" s="14">
        <v>45112</v>
      </c>
      <c r="D349" s="13">
        <v>2023</v>
      </c>
      <c r="E349" s="13" t="s">
        <v>3347</v>
      </c>
      <c r="F349" s="13" t="s">
        <v>34</v>
      </c>
      <c r="G349" s="15"/>
      <c r="H349" s="15">
        <v>540.57193055555558</v>
      </c>
      <c r="I349" s="13">
        <v>1</v>
      </c>
      <c r="J349" s="13">
        <v>1</v>
      </c>
      <c r="K349" s="13" t="s">
        <v>3348</v>
      </c>
      <c r="L349" s="15">
        <v>540.57193055555558</v>
      </c>
      <c r="M349" s="16">
        <v>540.57193055555558</v>
      </c>
    </row>
    <row r="350" spans="1:13" s="5" customFormat="1" x14ac:dyDescent="0.25">
      <c r="A350" s="12" t="s">
        <v>713</v>
      </c>
      <c r="B350" s="13" t="s">
        <v>714</v>
      </c>
      <c r="C350" s="14">
        <v>45419</v>
      </c>
      <c r="D350" s="13">
        <v>2024</v>
      </c>
      <c r="E350" s="13" t="s">
        <v>21</v>
      </c>
      <c r="F350" s="13" t="s">
        <v>11</v>
      </c>
      <c r="G350" s="15">
        <v>1238.68</v>
      </c>
      <c r="H350" s="15">
        <v>1238.68</v>
      </c>
      <c r="I350" s="13">
        <v>4</v>
      </c>
      <c r="J350" s="13">
        <v>4</v>
      </c>
      <c r="K350" s="13" t="s">
        <v>15</v>
      </c>
      <c r="L350" s="15">
        <v>309.67</v>
      </c>
      <c r="M350" s="16">
        <v>309.67</v>
      </c>
    </row>
    <row r="351" spans="1:13" s="5" customFormat="1" x14ac:dyDescent="0.25">
      <c r="A351" s="12" t="s">
        <v>715</v>
      </c>
      <c r="B351" s="13" t="s">
        <v>716</v>
      </c>
      <c r="C351" s="14">
        <v>45091</v>
      </c>
      <c r="D351" s="13">
        <v>2023</v>
      </c>
      <c r="E351" s="13" t="s">
        <v>21</v>
      </c>
      <c r="F351" s="13" t="s">
        <v>11</v>
      </c>
      <c r="G351" s="15"/>
      <c r="H351" s="15">
        <v>3548.2821388888883</v>
      </c>
      <c r="I351" s="13">
        <v>7</v>
      </c>
      <c r="J351" s="13">
        <v>7</v>
      </c>
      <c r="K351" s="13" t="s">
        <v>18</v>
      </c>
      <c r="L351" s="15">
        <v>897.666875</v>
      </c>
      <c r="M351" s="16">
        <v>897.666875</v>
      </c>
    </row>
    <row r="352" spans="1:13" s="5" customFormat="1" x14ac:dyDescent="0.25">
      <c r="A352" s="12" t="s">
        <v>717</v>
      </c>
      <c r="B352" s="13" t="s">
        <v>718</v>
      </c>
      <c r="C352" s="14">
        <v>45676</v>
      </c>
      <c r="D352" s="13">
        <v>2025</v>
      </c>
      <c r="E352" s="13" t="s">
        <v>10</v>
      </c>
      <c r="F352" s="13" t="s">
        <v>34</v>
      </c>
      <c r="G352" s="15">
        <v>744.45</v>
      </c>
      <c r="H352" s="15">
        <v>744.45</v>
      </c>
      <c r="I352" s="13">
        <v>1</v>
      </c>
      <c r="J352" s="13">
        <v>1</v>
      </c>
      <c r="K352" s="13" t="s">
        <v>35</v>
      </c>
      <c r="L352" s="15">
        <v>744.45</v>
      </c>
      <c r="M352" s="16">
        <v>744.45</v>
      </c>
    </row>
    <row r="353" spans="1:13" s="5" customFormat="1" x14ac:dyDescent="0.25">
      <c r="A353" s="12" t="s">
        <v>719</v>
      </c>
      <c r="B353" s="13" t="s">
        <v>720</v>
      </c>
      <c r="C353" s="14">
        <v>45168</v>
      </c>
      <c r="D353" s="13">
        <v>2023</v>
      </c>
      <c r="E353" s="13" t="s">
        <v>3347</v>
      </c>
      <c r="F353" s="13" t="s">
        <v>34</v>
      </c>
      <c r="G353" s="15">
        <v>1843.79</v>
      </c>
      <c r="H353" s="15">
        <v>1843.79</v>
      </c>
      <c r="I353" s="13">
        <v>8</v>
      </c>
      <c r="J353" s="13">
        <v>8</v>
      </c>
      <c r="K353" s="13" t="s">
        <v>15</v>
      </c>
      <c r="L353" s="15">
        <v>230.47375</v>
      </c>
      <c r="M353" s="16">
        <v>230.47375</v>
      </c>
    </row>
    <row r="354" spans="1:13" s="5" customFormat="1" x14ac:dyDescent="0.25">
      <c r="A354" s="12" t="s">
        <v>721</v>
      </c>
      <c r="B354" s="13" t="s">
        <v>722</v>
      </c>
      <c r="C354" s="14">
        <v>45631</v>
      </c>
      <c r="D354" s="13">
        <v>2024</v>
      </c>
      <c r="E354" s="13" t="s">
        <v>21</v>
      </c>
      <c r="F354" s="13" t="s">
        <v>34</v>
      </c>
      <c r="G354" s="15">
        <v>160.46</v>
      </c>
      <c r="H354" s="15">
        <v>160.46</v>
      </c>
      <c r="I354" s="13">
        <v>9</v>
      </c>
      <c r="J354" s="13">
        <v>9</v>
      </c>
      <c r="K354" s="13" t="s">
        <v>3348</v>
      </c>
      <c r="L354" s="15">
        <v>17.828888888888891</v>
      </c>
      <c r="M354" s="16">
        <v>17.828888888888891</v>
      </c>
    </row>
    <row r="355" spans="1:13" s="5" customFormat="1" x14ac:dyDescent="0.25">
      <c r="A355" s="12" t="s">
        <v>723</v>
      </c>
      <c r="B355" s="13" t="s">
        <v>724</v>
      </c>
      <c r="C355" s="14">
        <v>45843</v>
      </c>
      <c r="D355" s="13">
        <v>2025</v>
      </c>
      <c r="E355" s="13" t="s">
        <v>21</v>
      </c>
      <c r="F355" s="13" t="s">
        <v>22</v>
      </c>
      <c r="G355" s="15">
        <v>1696.66</v>
      </c>
      <c r="H355" s="15">
        <v>1696.66</v>
      </c>
      <c r="I355" s="13"/>
      <c r="J355" s="13">
        <v>6</v>
      </c>
      <c r="K355" s="13" t="s">
        <v>3346</v>
      </c>
      <c r="L355" s="15">
        <v>282.7766666666667</v>
      </c>
      <c r="M355" s="16">
        <v>269.95944047619054</v>
      </c>
    </row>
    <row r="356" spans="1:13" s="5" customFormat="1" x14ac:dyDescent="0.25">
      <c r="A356" s="12" t="s">
        <v>725</v>
      </c>
      <c r="B356" s="13" t="s">
        <v>726</v>
      </c>
      <c r="C356" s="14">
        <v>45793</v>
      </c>
      <c r="D356" s="13">
        <v>2025</v>
      </c>
      <c r="E356" s="13" t="s">
        <v>3347</v>
      </c>
      <c r="F356" s="13" t="s">
        <v>34</v>
      </c>
      <c r="G356" s="15">
        <v>498.22</v>
      </c>
      <c r="H356" s="15">
        <v>498.22</v>
      </c>
      <c r="I356" s="13">
        <v>8</v>
      </c>
      <c r="J356" s="13">
        <v>8</v>
      </c>
      <c r="K356" s="13" t="s">
        <v>3348</v>
      </c>
      <c r="L356" s="15">
        <v>62.277500000000003</v>
      </c>
      <c r="M356" s="16">
        <v>62.277500000000003</v>
      </c>
    </row>
    <row r="357" spans="1:13" s="5" customFormat="1" x14ac:dyDescent="0.25">
      <c r="A357" s="12" t="s">
        <v>727</v>
      </c>
      <c r="B357" s="13" t="s">
        <v>728</v>
      </c>
      <c r="C357" s="14">
        <v>44922</v>
      </c>
      <c r="D357" s="13">
        <v>2022</v>
      </c>
      <c r="E357" s="13" t="s">
        <v>3347</v>
      </c>
      <c r="F357" s="13" t="s">
        <v>22</v>
      </c>
      <c r="G357" s="15"/>
      <c r="H357" s="15">
        <v>1905.9151095238096</v>
      </c>
      <c r="I357" s="13">
        <v>8</v>
      </c>
      <c r="J357" s="13">
        <v>8</v>
      </c>
      <c r="K357" s="13" t="s">
        <v>35</v>
      </c>
      <c r="L357" s="15">
        <v>238.2393886904762</v>
      </c>
      <c r="M357" s="16">
        <v>238.2393886904762</v>
      </c>
    </row>
    <row r="358" spans="1:13" s="5" customFormat="1" x14ac:dyDescent="0.25">
      <c r="A358" s="12" t="s">
        <v>729</v>
      </c>
      <c r="B358" s="13" t="s">
        <v>730</v>
      </c>
      <c r="C358" s="14">
        <v>45033</v>
      </c>
      <c r="D358" s="13">
        <v>2023</v>
      </c>
      <c r="E358" s="13" t="s">
        <v>14</v>
      </c>
      <c r="F358" s="13" t="s">
        <v>25</v>
      </c>
      <c r="G358" s="15">
        <v>518.1</v>
      </c>
      <c r="H358" s="15">
        <v>518.1</v>
      </c>
      <c r="I358" s="13">
        <v>1</v>
      </c>
      <c r="J358" s="13">
        <v>1</v>
      </c>
      <c r="K358" s="13" t="s">
        <v>3346</v>
      </c>
      <c r="L358" s="15">
        <v>518.1</v>
      </c>
      <c r="M358" s="16">
        <v>518.1</v>
      </c>
    </row>
    <row r="359" spans="1:13" s="5" customFormat="1" x14ac:dyDescent="0.25">
      <c r="A359" s="12" t="s">
        <v>731</v>
      </c>
      <c r="B359" s="13" t="s">
        <v>732</v>
      </c>
      <c r="C359" s="14">
        <v>45647</v>
      </c>
      <c r="D359" s="13">
        <v>2024</v>
      </c>
      <c r="E359" s="13" t="s">
        <v>21</v>
      </c>
      <c r="F359" s="13" t="s">
        <v>25</v>
      </c>
      <c r="G359" s="15">
        <v>1808.39</v>
      </c>
      <c r="H359" s="15">
        <v>1808.39</v>
      </c>
      <c r="I359" s="13">
        <v>9</v>
      </c>
      <c r="J359" s="13">
        <v>9</v>
      </c>
      <c r="K359" s="13" t="s">
        <v>15</v>
      </c>
      <c r="L359" s="15">
        <v>200.93222222222224</v>
      </c>
      <c r="M359" s="16">
        <v>200.93222222222224</v>
      </c>
    </row>
    <row r="360" spans="1:13" s="5" customFormat="1" x14ac:dyDescent="0.25">
      <c r="A360" s="12" t="s">
        <v>733</v>
      </c>
      <c r="B360" s="13" t="s">
        <v>734</v>
      </c>
      <c r="C360" s="14">
        <v>45678</v>
      </c>
      <c r="D360" s="13">
        <v>2025</v>
      </c>
      <c r="E360" s="13" t="s">
        <v>3347</v>
      </c>
      <c r="F360" s="13" t="s">
        <v>25</v>
      </c>
      <c r="G360" s="15">
        <v>1038.7</v>
      </c>
      <c r="H360" s="15">
        <v>1038.7</v>
      </c>
      <c r="I360" s="13">
        <v>1</v>
      </c>
      <c r="J360" s="13">
        <v>1</v>
      </c>
      <c r="K360" s="13" t="s">
        <v>3346</v>
      </c>
      <c r="L360" s="15">
        <v>1038.7</v>
      </c>
      <c r="M360" s="16">
        <v>1038.7</v>
      </c>
    </row>
    <row r="361" spans="1:13" s="5" customFormat="1" x14ac:dyDescent="0.25">
      <c r="A361" s="12" t="s">
        <v>735</v>
      </c>
      <c r="B361" s="13" t="s">
        <v>736</v>
      </c>
      <c r="C361" s="14">
        <v>45267</v>
      </c>
      <c r="D361" s="13">
        <v>2023</v>
      </c>
      <c r="E361" s="13" t="s">
        <v>14</v>
      </c>
      <c r="F361" s="13" t="s">
        <v>22</v>
      </c>
      <c r="G361" s="15">
        <v>1167.0899999999999</v>
      </c>
      <c r="H361" s="15">
        <v>1167.0899999999999</v>
      </c>
      <c r="I361" s="13">
        <v>6</v>
      </c>
      <c r="J361" s="13">
        <v>6</v>
      </c>
      <c r="K361" s="13" t="s">
        <v>35</v>
      </c>
      <c r="L361" s="15">
        <v>194.51499999999999</v>
      </c>
      <c r="M361" s="16">
        <v>194.51499999999999</v>
      </c>
    </row>
    <row r="362" spans="1:13" s="5" customFormat="1" x14ac:dyDescent="0.25">
      <c r="A362" s="12" t="s">
        <v>737</v>
      </c>
      <c r="B362" s="13" t="s">
        <v>738</v>
      </c>
      <c r="C362" s="14">
        <v>45039</v>
      </c>
      <c r="D362" s="13">
        <v>2023</v>
      </c>
      <c r="E362" s="13" t="s">
        <v>3347</v>
      </c>
      <c r="F362" s="13" t="s">
        <v>11</v>
      </c>
      <c r="G362" s="15">
        <v>1524.8</v>
      </c>
      <c r="H362" s="15">
        <v>1524.8</v>
      </c>
      <c r="I362" s="13">
        <v>8</v>
      </c>
      <c r="J362" s="13">
        <v>8</v>
      </c>
      <c r="K362" s="13" t="s">
        <v>3346</v>
      </c>
      <c r="L362" s="15">
        <v>190.6</v>
      </c>
      <c r="M362" s="16">
        <v>190.6</v>
      </c>
    </row>
    <row r="363" spans="1:13" s="5" customFormat="1" x14ac:dyDescent="0.25">
      <c r="A363" s="12" t="s">
        <v>739</v>
      </c>
      <c r="B363" s="13" t="s">
        <v>740</v>
      </c>
      <c r="C363" s="14">
        <v>44997</v>
      </c>
      <c r="D363" s="13">
        <v>2023</v>
      </c>
      <c r="E363" s="13" t="s">
        <v>21</v>
      </c>
      <c r="F363" s="13" t="s">
        <v>11</v>
      </c>
      <c r="G363" s="15">
        <v>1740.04</v>
      </c>
      <c r="H363" s="15">
        <v>1740.04</v>
      </c>
      <c r="I363" s="13">
        <v>8</v>
      </c>
      <c r="J363" s="13">
        <v>8</v>
      </c>
      <c r="K363" s="13" t="s">
        <v>35</v>
      </c>
      <c r="L363" s="15">
        <v>217.505</v>
      </c>
      <c r="M363" s="16">
        <v>217.505</v>
      </c>
    </row>
    <row r="364" spans="1:13" s="5" customFormat="1" x14ac:dyDescent="0.25">
      <c r="A364" s="12" t="s">
        <v>741</v>
      </c>
      <c r="B364" s="13" t="s">
        <v>742</v>
      </c>
      <c r="C364" s="14">
        <v>45077</v>
      </c>
      <c r="D364" s="13">
        <v>2023</v>
      </c>
      <c r="E364" s="13" t="s">
        <v>14</v>
      </c>
      <c r="F364" s="13" t="s">
        <v>34</v>
      </c>
      <c r="G364" s="15">
        <v>36.67</v>
      </c>
      <c r="H364" s="15">
        <v>36.67</v>
      </c>
      <c r="I364" s="13">
        <v>8</v>
      </c>
      <c r="J364" s="13">
        <v>8</v>
      </c>
      <c r="K364" s="13" t="s">
        <v>3348</v>
      </c>
      <c r="L364" s="15">
        <v>4.5837500000000002</v>
      </c>
      <c r="M364" s="16">
        <v>4.5837500000000002</v>
      </c>
    </row>
    <row r="365" spans="1:13" s="5" customFormat="1" x14ac:dyDescent="0.25">
      <c r="A365" s="12" t="s">
        <v>743</v>
      </c>
      <c r="B365" s="13" t="s">
        <v>121</v>
      </c>
      <c r="C365" s="14">
        <v>45797</v>
      </c>
      <c r="D365" s="13">
        <v>2025</v>
      </c>
      <c r="E365" s="13" t="s">
        <v>21</v>
      </c>
      <c r="F365" s="13" t="s">
        <v>22</v>
      </c>
      <c r="G365" s="15">
        <v>753.95</v>
      </c>
      <c r="H365" s="15">
        <v>753.95</v>
      </c>
      <c r="I365" s="13">
        <v>6</v>
      </c>
      <c r="J365" s="13">
        <v>6</v>
      </c>
      <c r="K365" s="13" t="s">
        <v>18</v>
      </c>
      <c r="L365" s="15">
        <v>125.65833333333335</v>
      </c>
      <c r="M365" s="16">
        <v>125.65833333333335</v>
      </c>
    </row>
    <row r="366" spans="1:13" s="5" customFormat="1" x14ac:dyDescent="0.25">
      <c r="A366" s="12" t="s">
        <v>744</v>
      </c>
      <c r="B366" s="13" t="s">
        <v>745</v>
      </c>
      <c r="C366" s="14">
        <v>45794</v>
      </c>
      <c r="D366" s="13">
        <v>2025</v>
      </c>
      <c r="E366" s="13" t="s">
        <v>3347</v>
      </c>
      <c r="F366" s="13" t="s">
        <v>11</v>
      </c>
      <c r="G366" s="15">
        <v>1991.57</v>
      </c>
      <c r="H366" s="15">
        <v>1991.57</v>
      </c>
      <c r="I366" s="13">
        <v>4</v>
      </c>
      <c r="J366" s="13">
        <v>4</v>
      </c>
      <c r="K366" s="13" t="s">
        <v>18</v>
      </c>
      <c r="L366" s="15">
        <v>497.89249999999998</v>
      </c>
      <c r="M366" s="16">
        <v>497.89249999999998</v>
      </c>
    </row>
    <row r="367" spans="1:13" s="5" customFormat="1" x14ac:dyDescent="0.25">
      <c r="A367" s="12" t="s">
        <v>746</v>
      </c>
      <c r="B367" s="13" t="s">
        <v>747</v>
      </c>
      <c r="C367" s="14">
        <v>44951</v>
      </c>
      <c r="D367" s="13">
        <v>2023</v>
      </c>
      <c r="E367" s="13" t="s">
        <v>3347</v>
      </c>
      <c r="F367" s="13" t="s">
        <v>25</v>
      </c>
      <c r="G367" s="15"/>
      <c r="H367" s="15">
        <v>749.1825</v>
      </c>
      <c r="I367" s="13">
        <v>3</v>
      </c>
      <c r="J367" s="13">
        <v>3</v>
      </c>
      <c r="K367" s="13" t="s">
        <v>3348</v>
      </c>
      <c r="L367" s="15">
        <v>249.72749999999999</v>
      </c>
      <c r="M367" s="16">
        <v>249.72749999999999</v>
      </c>
    </row>
    <row r="368" spans="1:13" s="5" customFormat="1" x14ac:dyDescent="0.25">
      <c r="A368" s="12" t="s">
        <v>748</v>
      </c>
      <c r="B368" s="13" t="s">
        <v>749</v>
      </c>
      <c r="C368" s="14">
        <v>45243</v>
      </c>
      <c r="D368" s="13">
        <v>2023</v>
      </c>
      <c r="E368" s="13" t="s">
        <v>10</v>
      </c>
      <c r="F368" s="13" t="s">
        <v>22</v>
      </c>
      <c r="G368" s="15">
        <v>1373.02</v>
      </c>
      <c r="H368" s="15">
        <v>1373.02</v>
      </c>
      <c r="I368" s="13">
        <v>5</v>
      </c>
      <c r="J368" s="13">
        <v>5</v>
      </c>
      <c r="K368" s="13" t="s">
        <v>3348</v>
      </c>
      <c r="L368" s="15">
        <v>274.60399999999998</v>
      </c>
      <c r="M368" s="16">
        <v>274.60399999999998</v>
      </c>
    </row>
    <row r="369" spans="1:13" s="5" customFormat="1" x14ac:dyDescent="0.25">
      <c r="A369" s="12" t="s">
        <v>750</v>
      </c>
      <c r="B369" s="13" t="s">
        <v>544</v>
      </c>
      <c r="C369" s="14">
        <v>45356</v>
      </c>
      <c r="D369" s="13">
        <v>2024</v>
      </c>
      <c r="E369" s="13" t="s">
        <v>21</v>
      </c>
      <c r="F369" s="13" t="s">
        <v>22</v>
      </c>
      <c r="G369" s="15">
        <v>451.81</v>
      </c>
      <c r="H369" s="15">
        <v>451.81</v>
      </c>
      <c r="I369" s="13">
        <v>6</v>
      </c>
      <c r="J369" s="13">
        <v>6</v>
      </c>
      <c r="K369" s="13" t="s">
        <v>15</v>
      </c>
      <c r="L369" s="15">
        <v>75.301666666666662</v>
      </c>
      <c r="M369" s="16">
        <v>75.301666666666662</v>
      </c>
    </row>
    <row r="370" spans="1:13" s="5" customFormat="1" x14ac:dyDescent="0.25">
      <c r="A370" s="12" t="s">
        <v>751</v>
      </c>
      <c r="B370" s="13" t="s">
        <v>752</v>
      </c>
      <c r="C370" s="14">
        <v>45913</v>
      </c>
      <c r="D370" s="13">
        <v>2025</v>
      </c>
      <c r="E370" s="13" t="s">
        <v>14</v>
      </c>
      <c r="F370" s="13" t="s">
        <v>22</v>
      </c>
      <c r="G370" s="15">
        <v>643.03</v>
      </c>
      <c r="H370" s="15">
        <v>643.03</v>
      </c>
      <c r="I370" s="13">
        <v>3</v>
      </c>
      <c r="J370" s="13">
        <v>3</v>
      </c>
      <c r="K370" s="13" t="s">
        <v>35</v>
      </c>
      <c r="L370" s="15">
        <v>214.34333333333333</v>
      </c>
      <c r="M370" s="16">
        <v>214.34333333333333</v>
      </c>
    </row>
    <row r="371" spans="1:13" s="5" customFormat="1" x14ac:dyDescent="0.25">
      <c r="A371" s="12" t="s">
        <v>753</v>
      </c>
      <c r="B371" s="13" t="s">
        <v>712</v>
      </c>
      <c r="C371" s="14">
        <v>45251</v>
      </c>
      <c r="D371" s="13">
        <v>2023</v>
      </c>
      <c r="E371" s="13" t="s">
        <v>10</v>
      </c>
      <c r="F371" s="13" t="s">
        <v>25</v>
      </c>
      <c r="G371" s="15"/>
      <c r="H371" s="15">
        <v>1003.8087857142857</v>
      </c>
      <c r="I371" s="13">
        <v>3</v>
      </c>
      <c r="J371" s="13">
        <v>3</v>
      </c>
      <c r="K371" s="13" t="s">
        <v>3348</v>
      </c>
      <c r="L371" s="15">
        <v>334.60292857142855</v>
      </c>
      <c r="M371" s="16">
        <v>334.60292857142855</v>
      </c>
    </row>
    <row r="372" spans="1:13" s="5" customFormat="1" x14ac:dyDescent="0.25">
      <c r="A372" s="12" t="s">
        <v>754</v>
      </c>
      <c r="B372" s="13" t="s">
        <v>755</v>
      </c>
      <c r="C372" s="14">
        <v>45730</v>
      </c>
      <c r="D372" s="13">
        <v>2025</v>
      </c>
      <c r="E372" s="13" t="s">
        <v>10</v>
      </c>
      <c r="F372" s="13" t="s">
        <v>11</v>
      </c>
      <c r="G372" s="15">
        <v>704.29</v>
      </c>
      <c r="H372" s="15">
        <v>704.29</v>
      </c>
      <c r="I372" s="13">
        <v>5</v>
      </c>
      <c r="J372" s="13">
        <v>5</v>
      </c>
      <c r="K372" s="13" t="s">
        <v>3346</v>
      </c>
      <c r="L372" s="15">
        <v>140.858</v>
      </c>
      <c r="M372" s="16">
        <v>140.858</v>
      </c>
    </row>
    <row r="373" spans="1:13" s="5" customFormat="1" x14ac:dyDescent="0.25">
      <c r="A373" s="12" t="s">
        <v>756</v>
      </c>
      <c r="B373" s="13" t="s">
        <v>757</v>
      </c>
      <c r="C373" s="14">
        <v>45031</v>
      </c>
      <c r="D373" s="13">
        <v>2023</v>
      </c>
      <c r="E373" s="13" t="s">
        <v>10</v>
      </c>
      <c r="F373" s="13" t="s">
        <v>34</v>
      </c>
      <c r="G373" s="15"/>
      <c r="H373" s="15">
        <v>2052.8570666666669</v>
      </c>
      <c r="I373" s="13">
        <v>8</v>
      </c>
      <c r="J373" s="13">
        <v>8</v>
      </c>
      <c r="K373" s="13" t="s">
        <v>3346</v>
      </c>
      <c r="L373" s="15">
        <v>256.60713333333337</v>
      </c>
      <c r="M373" s="16">
        <v>256.60713333333337</v>
      </c>
    </row>
    <row r="374" spans="1:13" s="5" customFormat="1" x14ac:dyDescent="0.25">
      <c r="A374" s="12" t="s">
        <v>758</v>
      </c>
      <c r="B374" s="13" t="s">
        <v>233</v>
      </c>
      <c r="C374" s="14">
        <v>45165</v>
      </c>
      <c r="D374" s="13">
        <v>2023</v>
      </c>
      <c r="E374" s="13" t="s">
        <v>21</v>
      </c>
      <c r="F374" s="13" t="s">
        <v>22</v>
      </c>
      <c r="G374" s="15">
        <v>1667.59</v>
      </c>
      <c r="H374" s="15">
        <v>1667.59</v>
      </c>
      <c r="I374" s="13">
        <v>7</v>
      </c>
      <c r="J374" s="13">
        <v>7</v>
      </c>
      <c r="K374" s="13" t="s">
        <v>35</v>
      </c>
      <c r="L374" s="15">
        <v>238.22714285714284</v>
      </c>
      <c r="M374" s="16">
        <v>238.22714285714284</v>
      </c>
    </row>
    <row r="375" spans="1:13" s="5" customFormat="1" x14ac:dyDescent="0.25">
      <c r="A375" s="12" t="s">
        <v>759</v>
      </c>
      <c r="B375" s="13" t="s">
        <v>760</v>
      </c>
      <c r="C375" s="14">
        <v>45776</v>
      </c>
      <c r="D375" s="13">
        <v>2025</v>
      </c>
      <c r="E375" s="13" t="s">
        <v>3347</v>
      </c>
      <c r="F375" s="13" t="s">
        <v>11</v>
      </c>
      <c r="G375" s="15">
        <v>1343.45</v>
      </c>
      <c r="H375" s="15">
        <v>1343.45</v>
      </c>
      <c r="I375" s="13">
        <v>6</v>
      </c>
      <c r="J375" s="13">
        <v>6</v>
      </c>
      <c r="K375" s="13" t="s">
        <v>35</v>
      </c>
      <c r="L375" s="15">
        <v>223.90833333333333</v>
      </c>
      <c r="M375" s="16">
        <v>223.90833333333333</v>
      </c>
    </row>
    <row r="376" spans="1:13" s="5" customFormat="1" x14ac:dyDescent="0.25">
      <c r="A376" s="12" t="s">
        <v>761</v>
      </c>
      <c r="B376" s="13" t="s">
        <v>762</v>
      </c>
      <c r="C376" s="14">
        <v>45431</v>
      </c>
      <c r="D376" s="13">
        <v>2024</v>
      </c>
      <c r="E376" s="13" t="s">
        <v>14</v>
      </c>
      <c r="F376" s="13" t="s">
        <v>34</v>
      </c>
      <c r="G376" s="15">
        <v>1189.8399999999999</v>
      </c>
      <c r="H376" s="15">
        <v>1189.8399999999999</v>
      </c>
      <c r="I376" s="13">
        <v>5</v>
      </c>
      <c r="J376" s="13">
        <v>5</v>
      </c>
      <c r="K376" s="13" t="s">
        <v>18</v>
      </c>
      <c r="L376" s="15">
        <v>237.96799999999999</v>
      </c>
      <c r="M376" s="16">
        <v>237.96799999999999</v>
      </c>
    </row>
    <row r="377" spans="1:13" s="5" customFormat="1" x14ac:dyDescent="0.25">
      <c r="A377" s="12" t="s">
        <v>763</v>
      </c>
      <c r="B377" s="13" t="s">
        <v>764</v>
      </c>
      <c r="C377" s="14">
        <v>45922</v>
      </c>
      <c r="D377" s="13">
        <v>2025</v>
      </c>
      <c r="E377" s="13" t="s">
        <v>14</v>
      </c>
      <c r="F377" s="13" t="s">
        <v>11</v>
      </c>
      <c r="G377" s="15">
        <v>836.28</v>
      </c>
      <c r="H377" s="15">
        <v>836.28</v>
      </c>
      <c r="I377" s="13">
        <v>3</v>
      </c>
      <c r="J377" s="13">
        <v>3</v>
      </c>
      <c r="K377" s="13" t="s">
        <v>3346</v>
      </c>
      <c r="L377" s="15">
        <v>278.76</v>
      </c>
      <c r="M377" s="16">
        <v>278.76</v>
      </c>
    </row>
    <row r="378" spans="1:13" s="5" customFormat="1" x14ac:dyDescent="0.25">
      <c r="A378" s="12" t="s">
        <v>765</v>
      </c>
      <c r="B378" s="13" t="s">
        <v>556</v>
      </c>
      <c r="C378" s="14">
        <v>45516</v>
      </c>
      <c r="D378" s="13">
        <v>2024</v>
      </c>
      <c r="E378" s="13" t="s">
        <v>3347</v>
      </c>
      <c r="F378" s="13" t="s">
        <v>25</v>
      </c>
      <c r="G378" s="15">
        <v>1864.12</v>
      </c>
      <c r="H378" s="15">
        <v>1864.12</v>
      </c>
      <c r="I378" s="13">
        <v>3</v>
      </c>
      <c r="J378" s="13">
        <v>3</v>
      </c>
      <c r="K378" s="13" t="s">
        <v>35</v>
      </c>
      <c r="L378" s="15">
        <v>621.37333333333333</v>
      </c>
      <c r="M378" s="16">
        <v>621.37333333333333</v>
      </c>
    </row>
    <row r="379" spans="1:13" s="5" customFormat="1" x14ac:dyDescent="0.25">
      <c r="A379" s="12" t="s">
        <v>766</v>
      </c>
      <c r="B379" s="13" t="s">
        <v>767</v>
      </c>
      <c r="C379" s="14">
        <v>44998</v>
      </c>
      <c r="D379" s="13">
        <v>2023</v>
      </c>
      <c r="E379" s="13" t="s">
        <v>3347</v>
      </c>
      <c r="F379" s="13" t="s">
        <v>11</v>
      </c>
      <c r="G379" s="15">
        <v>1002.96</v>
      </c>
      <c r="H379" s="15">
        <v>1002.96</v>
      </c>
      <c r="I379" s="13">
        <v>6</v>
      </c>
      <c r="J379" s="13">
        <v>6</v>
      </c>
      <c r="K379" s="13" t="s">
        <v>3346</v>
      </c>
      <c r="L379" s="15">
        <v>167.16</v>
      </c>
      <c r="M379" s="16">
        <v>167.16</v>
      </c>
    </row>
    <row r="380" spans="1:13" s="5" customFormat="1" x14ac:dyDescent="0.25">
      <c r="A380" s="12" t="s">
        <v>768</v>
      </c>
      <c r="B380" s="13" t="s">
        <v>769</v>
      </c>
      <c r="C380" s="14">
        <v>45579</v>
      </c>
      <c r="D380" s="13">
        <v>2024</v>
      </c>
      <c r="E380" s="13" t="s">
        <v>10</v>
      </c>
      <c r="F380" s="13" t="s">
        <v>11</v>
      </c>
      <c r="G380" s="15"/>
      <c r="H380" s="15">
        <v>1675.5740555555556</v>
      </c>
      <c r="I380" s="13">
        <v>7</v>
      </c>
      <c r="J380" s="13">
        <v>7</v>
      </c>
      <c r="K380" s="13" t="s">
        <v>3346</v>
      </c>
      <c r="L380" s="15">
        <v>239.36772222222223</v>
      </c>
      <c r="M380" s="16">
        <v>239.36772222222223</v>
      </c>
    </row>
    <row r="381" spans="1:13" s="5" customFormat="1" x14ac:dyDescent="0.25">
      <c r="A381" s="12" t="s">
        <v>770</v>
      </c>
      <c r="B381" s="13" t="s">
        <v>771</v>
      </c>
      <c r="C381" s="14">
        <v>45616</v>
      </c>
      <c r="D381" s="13">
        <v>2024</v>
      </c>
      <c r="E381" s="13" t="s">
        <v>21</v>
      </c>
      <c r="F381" s="13" t="s">
        <v>22</v>
      </c>
      <c r="G381" s="15">
        <v>1082.96</v>
      </c>
      <c r="H381" s="15">
        <v>1082.96</v>
      </c>
      <c r="I381" s="13">
        <v>4</v>
      </c>
      <c r="J381" s="13">
        <v>4</v>
      </c>
      <c r="K381" s="13" t="s">
        <v>35</v>
      </c>
      <c r="L381" s="15">
        <v>270.74</v>
      </c>
      <c r="M381" s="16">
        <v>270.74</v>
      </c>
    </row>
    <row r="382" spans="1:13" s="5" customFormat="1" x14ac:dyDescent="0.25">
      <c r="A382" s="12" t="s">
        <v>772</v>
      </c>
      <c r="B382" s="13" t="s">
        <v>773</v>
      </c>
      <c r="C382" s="14">
        <v>45224</v>
      </c>
      <c r="D382" s="13">
        <v>2023</v>
      </c>
      <c r="E382" s="13" t="s">
        <v>14</v>
      </c>
      <c r="F382" s="13" t="s">
        <v>34</v>
      </c>
      <c r="G382" s="15">
        <v>200.14</v>
      </c>
      <c r="H382" s="15">
        <v>200.14</v>
      </c>
      <c r="I382" s="13">
        <v>2</v>
      </c>
      <c r="J382" s="13">
        <v>2</v>
      </c>
      <c r="K382" s="13" t="s">
        <v>15</v>
      </c>
      <c r="L382" s="15">
        <v>100.07</v>
      </c>
      <c r="M382" s="16">
        <v>100.07</v>
      </c>
    </row>
    <row r="383" spans="1:13" s="5" customFormat="1" x14ac:dyDescent="0.25">
      <c r="A383" s="12" t="s">
        <v>774</v>
      </c>
      <c r="B383" s="13" t="s">
        <v>775</v>
      </c>
      <c r="C383" s="14">
        <v>45794</v>
      </c>
      <c r="D383" s="13">
        <v>2025</v>
      </c>
      <c r="E383" s="13" t="s">
        <v>21</v>
      </c>
      <c r="F383" s="13" t="s">
        <v>22</v>
      </c>
      <c r="G383" s="15">
        <v>357.78</v>
      </c>
      <c r="H383" s="15">
        <v>357.78</v>
      </c>
      <c r="I383" s="13">
        <v>3</v>
      </c>
      <c r="J383" s="13">
        <v>3</v>
      </c>
      <c r="K383" s="13" t="s">
        <v>15</v>
      </c>
      <c r="L383" s="15">
        <v>119.25999999999999</v>
      </c>
      <c r="M383" s="16">
        <v>119.25999999999999</v>
      </c>
    </row>
    <row r="384" spans="1:13" s="5" customFormat="1" x14ac:dyDescent="0.25">
      <c r="A384" s="12" t="s">
        <v>776</v>
      </c>
      <c r="B384" s="13" t="s">
        <v>777</v>
      </c>
      <c r="C384" s="14">
        <v>44920</v>
      </c>
      <c r="D384" s="13">
        <v>2022</v>
      </c>
      <c r="E384" s="13" t="s">
        <v>10</v>
      </c>
      <c r="F384" s="13" t="s">
        <v>25</v>
      </c>
      <c r="G384" s="15">
        <v>21.37</v>
      </c>
      <c r="H384" s="15">
        <v>21.37</v>
      </c>
      <c r="I384" s="13">
        <v>10</v>
      </c>
      <c r="J384" s="13">
        <v>10</v>
      </c>
      <c r="K384" s="13" t="s">
        <v>3348</v>
      </c>
      <c r="L384" s="15">
        <v>2.137</v>
      </c>
      <c r="M384" s="16">
        <v>2.137</v>
      </c>
    </row>
    <row r="385" spans="1:13" s="5" customFormat="1" x14ac:dyDescent="0.25">
      <c r="A385" s="12" t="s">
        <v>778</v>
      </c>
      <c r="B385" s="13" t="s">
        <v>779</v>
      </c>
      <c r="C385" s="14">
        <v>45222</v>
      </c>
      <c r="D385" s="13">
        <v>2023</v>
      </c>
      <c r="E385" s="13" t="s">
        <v>10</v>
      </c>
      <c r="F385" s="13" t="s">
        <v>11</v>
      </c>
      <c r="G385" s="15">
        <v>1553.76</v>
      </c>
      <c r="H385" s="15">
        <v>1553.76</v>
      </c>
      <c r="I385" s="13"/>
      <c r="J385" s="13">
        <v>3</v>
      </c>
      <c r="K385" s="13" t="s">
        <v>35</v>
      </c>
      <c r="L385" s="15">
        <v>517.91999999999996</v>
      </c>
      <c r="M385" s="16">
        <v>582.61855555555553</v>
      </c>
    </row>
    <row r="386" spans="1:13" s="5" customFormat="1" x14ac:dyDescent="0.25">
      <c r="A386" s="12" t="s">
        <v>780</v>
      </c>
      <c r="B386" s="13" t="s">
        <v>781</v>
      </c>
      <c r="C386" s="14">
        <v>45117</v>
      </c>
      <c r="D386" s="13">
        <v>2023</v>
      </c>
      <c r="E386" s="13" t="s">
        <v>21</v>
      </c>
      <c r="F386" s="13" t="s">
        <v>25</v>
      </c>
      <c r="G386" s="15">
        <v>1682.24</v>
      </c>
      <c r="H386" s="15">
        <v>1682.24</v>
      </c>
      <c r="I386" s="13">
        <v>9</v>
      </c>
      <c r="J386" s="13">
        <v>9</v>
      </c>
      <c r="K386" s="13" t="s">
        <v>3346</v>
      </c>
      <c r="L386" s="15">
        <v>186.91555555555556</v>
      </c>
      <c r="M386" s="16">
        <v>186.91555555555556</v>
      </c>
    </row>
    <row r="387" spans="1:13" s="5" customFormat="1" x14ac:dyDescent="0.25">
      <c r="A387" s="12" t="s">
        <v>782</v>
      </c>
      <c r="B387" s="13" t="s">
        <v>783</v>
      </c>
      <c r="C387" s="14">
        <v>45815</v>
      </c>
      <c r="D387" s="13">
        <v>2025</v>
      </c>
      <c r="E387" s="13" t="s">
        <v>10</v>
      </c>
      <c r="F387" s="13" t="s">
        <v>34</v>
      </c>
      <c r="G387" s="15">
        <v>1207.74</v>
      </c>
      <c r="H387" s="15">
        <v>1207.74</v>
      </c>
      <c r="I387" s="13">
        <v>5</v>
      </c>
      <c r="J387" s="13">
        <v>5</v>
      </c>
      <c r="K387" s="13" t="s">
        <v>3346</v>
      </c>
      <c r="L387" s="15">
        <v>241.548</v>
      </c>
      <c r="M387" s="16">
        <v>241.548</v>
      </c>
    </row>
    <row r="388" spans="1:13" s="5" customFormat="1" x14ac:dyDescent="0.25">
      <c r="A388" s="12" t="s">
        <v>784</v>
      </c>
      <c r="B388" s="13" t="s">
        <v>785</v>
      </c>
      <c r="C388" s="14">
        <v>45106</v>
      </c>
      <c r="D388" s="13">
        <v>2023</v>
      </c>
      <c r="E388" s="13" t="s">
        <v>21</v>
      </c>
      <c r="F388" s="13" t="s">
        <v>11</v>
      </c>
      <c r="G388" s="15">
        <v>1647.77</v>
      </c>
      <c r="H388" s="15">
        <v>1647.77</v>
      </c>
      <c r="I388" s="13">
        <v>10</v>
      </c>
      <c r="J388" s="13">
        <v>10</v>
      </c>
      <c r="K388" s="13" t="s">
        <v>3348</v>
      </c>
      <c r="L388" s="15">
        <v>164.77699999999999</v>
      </c>
      <c r="M388" s="16">
        <v>164.77699999999999</v>
      </c>
    </row>
    <row r="389" spans="1:13" s="5" customFormat="1" x14ac:dyDescent="0.25">
      <c r="A389" s="12" t="s">
        <v>786</v>
      </c>
      <c r="B389" s="13" t="s">
        <v>787</v>
      </c>
      <c r="C389" s="14">
        <v>45055</v>
      </c>
      <c r="D389" s="13">
        <v>2023</v>
      </c>
      <c r="E389" s="13" t="s">
        <v>21</v>
      </c>
      <c r="F389" s="13" t="s">
        <v>22</v>
      </c>
      <c r="G389" s="15"/>
      <c r="H389" s="15">
        <v>1059.8273061224488</v>
      </c>
      <c r="I389" s="13">
        <v>8</v>
      </c>
      <c r="J389" s="13">
        <v>8</v>
      </c>
      <c r="K389" s="13" t="s">
        <v>35</v>
      </c>
      <c r="L389" s="15">
        <v>132.4784132653061</v>
      </c>
      <c r="M389" s="16">
        <v>132.4784132653061</v>
      </c>
    </row>
    <row r="390" spans="1:13" s="5" customFormat="1" x14ac:dyDescent="0.25">
      <c r="A390" s="12" t="s">
        <v>788</v>
      </c>
      <c r="B390" s="13" t="s">
        <v>789</v>
      </c>
      <c r="C390" s="14">
        <v>45519</v>
      </c>
      <c r="D390" s="13">
        <v>2024</v>
      </c>
      <c r="E390" s="13" t="s">
        <v>3347</v>
      </c>
      <c r="F390" s="13" t="s">
        <v>34</v>
      </c>
      <c r="G390" s="15">
        <v>10.94</v>
      </c>
      <c r="H390" s="15">
        <v>10.94</v>
      </c>
      <c r="I390" s="13">
        <v>10</v>
      </c>
      <c r="J390" s="13">
        <v>10</v>
      </c>
      <c r="K390" s="13" t="s">
        <v>15</v>
      </c>
      <c r="L390" s="15">
        <v>1.0939999999999999</v>
      </c>
      <c r="M390" s="16">
        <v>1.0939999999999999</v>
      </c>
    </row>
    <row r="391" spans="1:13" s="5" customFormat="1" x14ac:dyDescent="0.25">
      <c r="A391" s="12" t="s">
        <v>790</v>
      </c>
      <c r="B391" s="13" t="s">
        <v>791</v>
      </c>
      <c r="C391" s="14">
        <v>45923</v>
      </c>
      <c r="D391" s="13">
        <v>2025</v>
      </c>
      <c r="E391" s="13" t="s">
        <v>10</v>
      </c>
      <c r="F391" s="13" t="s">
        <v>22</v>
      </c>
      <c r="G391" s="15">
        <v>1449.53</v>
      </c>
      <c r="H391" s="15">
        <v>1449.53</v>
      </c>
      <c r="I391" s="13">
        <v>8</v>
      </c>
      <c r="J391" s="13">
        <v>8</v>
      </c>
      <c r="K391" s="13" t="s">
        <v>3346</v>
      </c>
      <c r="L391" s="15">
        <v>181.19125</v>
      </c>
      <c r="M391" s="16">
        <v>181.19125</v>
      </c>
    </row>
    <row r="392" spans="1:13" s="5" customFormat="1" x14ac:dyDescent="0.25">
      <c r="A392" s="12" t="s">
        <v>792</v>
      </c>
      <c r="B392" s="13" t="s">
        <v>793</v>
      </c>
      <c r="C392" s="14">
        <v>45324</v>
      </c>
      <c r="D392" s="13">
        <v>2024</v>
      </c>
      <c r="E392" s="13" t="s">
        <v>3347</v>
      </c>
      <c r="F392" s="13" t="s">
        <v>11</v>
      </c>
      <c r="G392" s="15">
        <v>191.13</v>
      </c>
      <c r="H392" s="15">
        <v>191.13</v>
      </c>
      <c r="I392" s="13">
        <v>3</v>
      </c>
      <c r="J392" s="13">
        <v>3</v>
      </c>
      <c r="K392" s="13" t="s">
        <v>18</v>
      </c>
      <c r="L392" s="15">
        <v>63.71</v>
      </c>
      <c r="M392" s="16">
        <v>63.71</v>
      </c>
    </row>
    <row r="393" spans="1:13" s="5" customFormat="1" x14ac:dyDescent="0.25">
      <c r="A393" s="12" t="s">
        <v>794</v>
      </c>
      <c r="B393" s="13" t="s">
        <v>795</v>
      </c>
      <c r="C393" s="14">
        <v>44970</v>
      </c>
      <c r="D393" s="13">
        <v>2023</v>
      </c>
      <c r="E393" s="13" t="s">
        <v>3347</v>
      </c>
      <c r="F393" s="13" t="s">
        <v>34</v>
      </c>
      <c r="G393" s="15"/>
      <c r="H393" s="15">
        <v>556.51628306878308</v>
      </c>
      <c r="I393" s="13">
        <v>2</v>
      </c>
      <c r="J393" s="13">
        <v>2</v>
      </c>
      <c r="K393" s="13" t="s">
        <v>15</v>
      </c>
      <c r="L393" s="15">
        <v>278.25814153439154</v>
      </c>
      <c r="M393" s="16">
        <v>278.25814153439154</v>
      </c>
    </row>
    <row r="394" spans="1:13" s="5" customFormat="1" x14ac:dyDescent="0.25">
      <c r="A394" s="12" t="s">
        <v>796</v>
      </c>
      <c r="B394" s="13" t="s">
        <v>797</v>
      </c>
      <c r="C394" s="14">
        <v>45725</v>
      </c>
      <c r="D394" s="13">
        <v>2025</v>
      </c>
      <c r="E394" s="13" t="s">
        <v>21</v>
      </c>
      <c r="F394" s="13" t="s">
        <v>34</v>
      </c>
      <c r="G394" s="15">
        <v>1716.53</v>
      </c>
      <c r="H394" s="15">
        <v>1716.53</v>
      </c>
      <c r="I394" s="13">
        <v>3</v>
      </c>
      <c r="J394" s="13">
        <v>3</v>
      </c>
      <c r="K394" s="13" t="s">
        <v>35</v>
      </c>
      <c r="L394" s="15">
        <v>572.17666666666662</v>
      </c>
      <c r="M394" s="16">
        <v>572.17666666666662</v>
      </c>
    </row>
    <row r="395" spans="1:13" s="5" customFormat="1" x14ac:dyDescent="0.25">
      <c r="A395" s="12" t="s">
        <v>798</v>
      </c>
      <c r="B395" s="13" t="s">
        <v>799</v>
      </c>
      <c r="C395" s="14">
        <v>45706</v>
      </c>
      <c r="D395" s="13">
        <v>2025</v>
      </c>
      <c r="E395" s="13" t="s">
        <v>21</v>
      </c>
      <c r="F395" s="13" t="s">
        <v>25</v>
      </c>
      <c r="G395" s="15">
        <v>1738.7</v>
      </c>
      <c r="H395" s="15">
        <v>1738.7</v>
      </c>
      <c r="I395" s="13">
        <v>3</v>
      </c>
      <c r="J395" s="13">
        <v>3</v>
      </c>
      <c r="K395" s="13" t="s">
        <v>3348</v>
      </c>
      <c r="L395" s="15">
        <v>579.56666666666672</v>
      </c>
      <c r="M395" s="16">
        <v>579.56666666666672</v>
      </c>
    </row>
    <row r="396" spans="1:13" s="5" customFormat="1" x14ac:dyDescent="0.25">
      <c r="A396" s="12" t="s">
        <v>800</v>
      </c>
      <c r="B396" s="13" t="s">
        <v>801</v>
      </c>
      <c r="C396" s="14">
        <v>44997</v>
      </c>
      <c r="D396" s="13">
        <v>2023</v>
      </c>
      <c r="E396" s="13" t="s">
        <v>14</v>
      </c>
      <c r="F396" s="13" t="s">
        <v>11</v>
      </c>
      <c r="G396" s="15">
        <v>1301.3399999999999</v>
      </c>
      <c r="H396" s="15">
        <v>1301.3399999999999</v>
      </c>
      <c r="I396" s="13">
        <v>3</v>
      </c>
      <c r="J396" s="13">
        <v>3</v>
      </c>
      <c r="K396" s="13" t="s">
        <v>18</v>
      </c>
      <c r="L396" s="15">
        <v>433.78</v>
      </c>
      <c r="M396" s="16">
        <v>433.78</v>
      </c>
    </row>
    <row r="397" spans="1:13" s="5" customFormat="1" x14ac:dyDescent="0.25">
      <c r="A397" s="12" t="s">
        <v>802</v>
      </c>
      <c r="B397" s="13" t="s">
        <v>500</v>
      </c>
      <c r="C397" s="14">
        <v>45636</v>
      </c>
      <c r="D397" s="13">
        <v>2024</v>
      </c>
      <c r="E397" s="13" t="s">
        <v>10</v>
      </c>
      <c r="F397" s="13" t="s">
        <v>34</v>
      </c>
      <c r="G397" s="15">
        <v>1542.46</v>
      </c>
      <c r="H397" s="15">
        <v>1542.46</v>
      </c>
      <c r="I397" s="13">
        <v>1</v>
      </c>
      <c r="J397" s="13">
        <v>1</v>
      </c>
      <c r="K397" s="13" t="s">
        <v>3346</v>
      </c>
      <c r="L397" s="15">
        <v>1542.46</v>
      </c>
      <c r="M397" s="16">
        <v>1542.46</v>
      </c>
    </row>
    <row r="398" spans="1:13" s="5" customFormat="1" x14ac:dyDescent="0.25">
      <c r="A398" s="12" t="s">
        <v>803</v>
      </c>
      <c r="B398" s="13" t="s">
        <v>804</v>
      </c>
      <c r="C398" s="14">
        <v>45771</v>
      </c>
      <c r="D398" s="13">
        <v>2025</v>
      </c>
      <c r="E398" s="13" t="s">
        <v>14</v>
      </c>
      <c r="F398" s="13" t="s">
        <v>22</v>
      </c>
      <c r="G398" s="15"/>
      <c r="H398" s="15">
        <v>744.69906250000008</v>
      </c>
      <c r="I398" s="13">
        <v>3</v>
      </c>
      <c r="J398" s="13">
        <v>3</v>
      </c>
      <c r="K398" s="13" t="s">
        <v>15</v>
      </c>
      <c r="L398" s="15">
        <v>248.23302083333337</v>
      </c>
      <c r="M398" s="16">
        <v>248.23302083333337</v>
      </c>
    </row>
    <row r="399" spans="1:13" s="5" customFormat="1" x14ac:dyDescent="0.25">
      <c r="A399" s="12" t="s">
        <v>805</v>
      </c>
      <c r="B399" s="13" t="s">
        <v>806</v>
      </c>
      <c r="C399" s="14">
        <v>45650</v>
      </c>
      <c r="D399" s="13">
        <v>2024</v>
      </c>
      <c r="E399" s="13" t="s">
        <v>14</v>
      </c>
      <c r="F399" s="13" t="s">
        <v>34</v>
      </c>
      <c r="G399" s="15">
        <v>201.42</v>
      </c>
      <c r="H399" s="15">
        <v>201.42</v>
      </c>
      <c r="I399" s="13">
        <v>8</v>
      </c>
      <c r="J399" s="13">
        <v>8</v>
      </c>
      <c r="K399" s="13" t="s">
        <v>35</v>
      </c>
      <c r="L399" s="15">
        <v>25.177499999999998</v>
      </c>
      <c r="M399" s="16">
        <v>25.177499999999998</v>
      </c>
    </row>
    <row r="400" spans="1:13" s="5" customFormat="1" x14ac:dyDescent="0.25">
      <c r="A400" s="12" t="s">
        <v>807</v>
      </c>
      <c r="B400" s="13" t="s">
        <v>808</v>
      </c>
      <c r="C400" s="14">
        <v>45916</v>
      </c>
      <c r="D400" s="13">
        <v>2025</v>
      </c>
      <c r="E400" s="13" t="s">
        <v>10</v>
      </c>
      <c r="F400" s="13" t="s">
        <v>22</v>
      </c>
      <c r="G400" s="15">
        <v>106.73</v>
      </c>
      <c r="H400" s="15">
        <v>106.73</v>
      </c>
      <c r="I400" s="13">
        <v>5</v>
      </c>
      <c r="J400" s="13">
        <v>5</v>
      </c>
      <c r="K400" s="13" t="s">
        <v>35</v>
      </c>
      <c r="L400" s="15">
        <v>21.346</v>
      </c>
      <c r="M400" s="16">
        <v>21.346</v>
      </c>
    </row>
    <row r="401" spans="1:13" s="5" customFormat="1" x14ac:dyDescent="0.25">
      <c r="A401" s="12" t="s">
        <v>809</v>
      </c>
      <c r="B401" s="13" t="s">
        <v>810</v>
      </c>
      <c r="C401" s="14">
        <v>45252</v>
      </c>
      <c r="D401" s="13">
        <v>2023</v>
      </c>
      <c r="E401" s="13" t="s">
        <v>10</v>
      </c>
      <c r="F401" s="13" t="s">
        <v>11</v>
      </c>
      <c r="G401" s="15">
        <v>853.63</v>
      </c>
      <c r="H401" s="15">
        <v>853.63</v>
      </c>
      <c r="I401" s="13">
        <v>6</v>
      </c>
      <c r="J401" s="13">
        <v>6</v>
      </c>
      <c r="K401" s="13" t="s">
        <v>15</v>
      </c>
      <c r="L401" s="15">
        <v>142.27166666666668</v>
      </c>
      <c r="M401" s="16">
        <v>142.27166666666668</v>
      </c>
    </row>
    <row r="402" spans="1:13" s="5" customFormat="1" x14ac:dyDescent="0.25">
      <c r="A402" s="12" t="s">
        <v>811</v>
      </c>
      <c r="B402" s="13" t="s">
        <v>812</v>
      </c>
      <c r="C402" s="14">
        <v>45249</v>
      </c>
      <c r="D402" s="13">
        <v>2023</v>
      </c>
      <c r="E402" s="13" t="s">
        <v>3347</v>
      </c>
      <c r="F402" s="13" t="s">
        <v>34</v>
      </c>
      <c r="G402" s="15">
        <v>80.64</v>
      </c>
      <c r="H402" s="15">
        <v>80.64</v>
      </c>
      <c r="I402" s="13">
        <v>3</v>
      </c>
      <c r="J402" s="13">
        <v>3</v>
      </c>
      <c r="K402" s="13" t="s">
        <v>15</v>
      </c>
      <c r="L402" s="15">
        <v>26.88</v>
      </c>
      <c r="M402" s="16">
        <v>26.88</v>
      </c>
    </row>
    <row r="403" spans="1:13" s="5" customFormat="1" x14ac:dyDescent="0.25">
      <c r="A403" s="12" t="s">
        <v>813</v>
      </c>
      <c r="B403" s="13" t="s">
        <v>814</v>
      </c>
      <c r="C403" s="14">
        <v>44996</v>
      </c>
      <c r="D403" s="13">
        <v>2023</v>
      </c>
      <c r="E403" s="13" t="s">
        <v>10</v>
      </c>
      <c r="F403" s="13" t="s">
        <v>11</v>
      </c>
      <c r="G403" s="15">
        <v>1250.77</v>
      </c>
      <c r="H403" s="15">
        <v>1250.77</v>
      </c>
      <c r="I403" s="13">
        <v>6</v>
      </c>
      <c r="J403" s="13">
        <v>6</v>
      </c>
      <c r="K403" s="13" t="s">
        <v>3346</v>
      </c>
      <c r="L403" s="15">
        <v>208.46166666666667</v>
      </c>
      <c r="M403" s="16">
        <v>208.46166666666667</v>
      </c>
    </row>
    <row r="404" spans="1:13" s="5" customFormat="1" x14ac:dyDescent="0.25">
      <c r="A404" s="12" t="s">
        <v>815</v>
      </c>
      <c r="B404" s="13" t="s">
        <v>816</v>
      </c>
      <c r="C404" s="14">
        <v>44874</v>
      </c>
      <c r="D404" s="13">
        <v>2022</v>
      </c>
      <c r="E404" s="13" t="s">
        <v>3347</v>
      </c>
      <c r="F404" s="13" t="s">
        <v>25</v>
      </c>
      <c r="G404" s="15">
        <v>1299.6600000000001</v>
      </c>
      <c r="H404" s="15">
        <v>1299.6600000000001</v>
      </c>
      <c r="I404" s="13"/>
      <c r="J404" s="13">
        <v>8</v>
      </c>
      <c r="K404" s="13" t="s">
        <v>35</v>
      </c>
      <c r="L404" s="15">
        <v>162.45750000000001</v>
      </c>
      <c r="M404" s="16">
        <v>155.52000000000001</v>
      </c>
    </row>
    <row r="405" spans="1:13" s="5" customFormat="1" x14ac:dyDescent="0.25">
      <c r="A405" s="12" t="s">
        <v>817</v>
      </c>
      <c r="B405" s="13" t="s">
        <v>818</v>
      </c>
      <c r="C405" s="14">
        <v>45726</v>
      </c>
      <c r="D405" s="13">
        <v>2025</v>
      </c>
      <c r="E405" s="13" t="s">
        <v>3347</v>
      </c>
      <c r="F405" s="13" t="s">
        <v>25</v>
      </c>
      <c r="G405" s="15">
        <v>1502.76</v>
      </c>
      <c r="H405" s="15">
        <v>1502.76</v>
      </c>
      <c r="I405" s="13">
        <v>7</v>
      </c>
      <c r="J405" s="13">
        <v>7</v>
      </c>
      <c r="K405" s="13" t="s">
        <v>15</v>
      </c>
      <c r="L405" s="15">
        <v>214.68</v>
      </c>
      <c r="M405" s="16">
        <v>214.68</v>
      </c>
    </row>
    <row r="406" spans="1:13" s="5" customFormat="1" x14ac:dyDescent="0.25">
      <c r="A406" s="12" t="s">
        <v>819</v>
      </c>
      <c r="B406" s="13" t="s">
        <v>820</v>
      </c>
      <c r="C406" s="14">
        <v>45437</v>
      </c>
      <c r="D406" s="13">
        <v>2024</v>
      </c>
      <c r="E406" s="13" t="s">
        <v>10</v>
      </c>
      <c r="F406" s="13" t="s">
        <v>25</v>
      </c>
      <c r="G406" s="15">
        <v>376.03</v>
      </c>
      <c r="H406" s="15">
        <v>376.03</v>
      </c>
      <c r="I406" s="13">
        <v>10</v>
      </c>
      <c r="J406" s="13">
        <v>10</v>
      </c>
      <c r="K406" s="13" t="s">
        <v>18</v>
      </c>
      <c r="L406" s="15">
        <v>37.602999999999994</v>
      </c>
      <c r="M406" s="16">
        <v>37.602999999999994</v>
      </c>
    </row>
    <row r="407" spans="1:13" s="5" customFormat="1" x14ac:dyDescent="0.25">
      <c r="A407" s="12" t="s">
        <v>821</v>
      </c>
      <c r="B407" s="13" t="s">
        <v>822</v>
      </c>
      <c r="C407" s="14">
        <v>45806</v>
      </c>
      <c r="D407" s="13">
        <v>2025</v>
      </c>
      <c r="E407" s="13" t="s">
        <v>14</v>
      </c>
      <c r="F407" s="13" t="s">
        <v>22</v>
      </c>
      <c r="G407" s="15">
        <v>479.61</v>
      </c>
      <c r="H407" s="15">
        <v>479.61</v>
      </c>
      <c r="I407" s="13">
        <v>2</v>
      </c>
      <c r="J407" s="13">
        <v>2</v>
      </c>
      <c r="K407" s="13" t="s">
        <v>35</v>
      </c>
      <c r="L407" s="15">
        <v>239.80500000000001</v>
      </c>
      <c r="M407" s="16">
        <v>239.80500000000001</v>
      </c>
    </row>
    <row r="408" spans="1:13" s="5" customFormat="1" x14ac:dyDescent="0.25">
      <c r="A408" s="12" t="s">
        <v>823</v>
      </c>
      <c r="B408" s="13" t="s">
        <v>824</v>
      </c>
      <c r="C408" s="14">
        <v>45346</v>
      </c>
      <c r="D408" s="13">
        <v>2024</v>
      </c>
      <c r="E408" s="13" t="s">
        <v>14</v>
      </c>
      <c r="F408" s="13" t="s">
        <v>34</v>
      </c>
      <c r="G408" s="15">
        <v>435.82</v>
      </c>
      <c r="H408" s="15">
        <v>435.82</v>
      </c>
      <c r="I408" s="13">
        <v>3</v>
      </c>
      <c r="J408" s="13">
        <v>3</v>
      </c>
      <c r="K408" s="13" t="s">
        <v>15</v>
      </c>
      <c r="L408" s="15">
        <v>145.27333333333334</v>
      </c>
      <c r="M408" s="16">
        <v>145.27333333333334</v>
      </c>
    </row>
    <row r="409" spans="1:13" s="5" customFormat="1" x14ac:dyDescent="0.25">
      <c r="A409" s="12" t="s">
        <v>825</v>
      </c>
      <c r="B409" s="13" t="s">
        <v>826</v>
      </c>
      <c r="C409" s="14">
        <v>45743</v>
      </c>
      <c r="D409" s="13">
        <v>2025</v>
      </c>
      <c r="E409" s="13" t="s">
        <v>14</v>
      </c>
      <c r="F409" s="13" t="s">
        <v>34</v>
      </c>
      <c r="G409" s="15">
        <v>235.64</v>
      </c>
      <c r="H409" s="15">
        <v>235.64</v>
      </c>
      <c r="I409" s="13">
        <v>2</v>
      </c>
      <c r="J409" s="13">
        <v>2</v>
      </c>
      <c r="K409" s="13" t="s">
        <v>35</v>
      </c>
      <c r="L409" s="15">
        <v>117.82</v>
      </c>
      <c r="M409" s="16">
        <v>117.82</v>
      </c>
    </row>
    <row r="410" spans="1:13" s="5" customFormat="1" x14ac:dyDescent="0.25">
      <c r="A410" s="12" t="s">
        <v>827</v>
      </c>
      <c r="B410" s="13" t="s">
        <v>828</v>
      </c>
      <c r="C410" s="14">
        <v>45391</v>
      </c>
      <c r="D410" s="13">
        <v>2024</v>
      </c>
      <c r="E410" s="13" t="s">
        <v>3347</v>
      </c>
      <c r="F410" s="13" t="s">
        <v>22</v>
      </c>
      <c r="G410" s="15">
        <v>1218.58</v>
      </c>
      <c r="H410" s="15">
        <v>1218.58</v>
      </c>
      <c r="I410" s="13"/>
      <c r="J410" s="13">
        <v>4</v>
      </c>
      <c r="K410" s="13" t="s">
        <v>35</v>
      </c>
      <c r="L410" s="15">
        <v>304.64499999999998</v>
      </c>
      <c r="M410" s="16">
        <v>326.14244444444444</v>
      </c>
    </row>
    <row r="411" spans="1:13" s="5" customFormat="1" x14ac:dyDescent="0.25">
      <c r="A411" s="12" t="s">
        <v>829</v>
      </c>
      <c r="B411" s="13" t="s">
        <v>830</v>
      </c>
      <c r="C411" s="14">
        <v>44871</v>
      </c>
      <c r="D411" s="13">
        <v>2022</v>
      </c>
      <c r="E411" s="13" t="s">
        <v>3347</v>
      </c>
      <c r="F411" s="13" t="s">
        <v>34</v>
      </c>
      <c r="G411" s="15"/>
      <c r="H411" s="15">
        <v>476.47877738095241</v>
      </c>
      <c r="I411" s="13">
        <v>2</v>
      </c>
      <c r="J411" s="13">
        <v>2</v>
      </c>
      <c r="K411" s="13" t="s">
        <v>18</v>
      </c>
      <c r="L411" s="15">
        <v>238.2393886904762</v>
      </c>
      <c r="M411" s="16">
        <v>238.2393886904762</v>
      </c>
    </row>
    <row r="412" spans="1:13" s="5" customFormat="1" x14ac:dyDescent="0.25">
      <c r="A412" s="12" t="s">
        <v>831</v>
      </c>
      <c r="B412" s="13" t="s">
        <v>832</v>
      </c>
      <c r="C412" s="14">
        <v>45223</v>
      </c>
      <c r="D412" s="13">
        <v>2023</v>
      </c>
      <c r="E412" s="13" t="s">
        <v>10</v>
      </c>
      <c r="F412" s="13" t="s">
        <v>11</v>
      </c>
      <c r="G412" s="15">
        <v>1765.96</v>
      </c>
      <c r="H412" s="15">
        <v>1765.96</v>
      </c>
      <c r="I412" s="13">
        <v>4</v>
      </c>
      <c r="J412" s="13">
        <v>4</v>
      </c>
      <c r="K412" s="13" t="s">
        <v>15</v>
      </c>
      <c r="L412" s="15">
        <v>441.49</v>
      </c>
      <c r="M412" s="16">
        <v>441.49</v>
      </c>
    </row>
    <row r="413" spans="1:13" s="5" customFormat="1" x14ac:dyDescent="0.25">
      <c r="A413" s="12" t="s">
        <v>833</v>
      </c>
      <c r="B413" s="13" t="s">
        <v>834</v>
      </c>
      <c r="C413" s="14">
        <v>45548</v>
      </c>
      <c r="D413" s="13">
        <v>2024</v>
      </c>
      <c r="E413" s="13" t="s">
        <v>14</v>
      </c>
      <c r="F413" s="13" t="s">
        <v>22</v>
      </c>
      <c r="G413" s="15"/>
      <c r="H413" s="15">
        <v>190.94744444444444</v>
      </c>
      <c r="I413" s="13">
        <v>2</v>
      </c>
      <c r="J413" s="13">
        <v>2</v>
      </c>
      <c r="K413" s="13" t="s">
        <v>18</v>
      </c>
      <c r="L413" s="15">
        <v>95.473722222222221</v>
      </c>
      <c r="M413" s="16">
        <v>95.473722222222221</v>
      </c>
    </row>
    <row r="414" spans="1:13" s="5" customFormat="1" x14ac:dyDescent="0.25">
      <c r="A414" s="12" t="s">
        <v>835</v>
      </c>
      <c r="B414" s="13" t="s">
        <v>836</v>
      </c>
      <c r="C414" s="14">
        <v>45509</v>
      </c>
      <c r="D414" s="13">
        <v>2024</v>
      </c>
      <c r="E414" s="13" t="s">
        <v>3347</v>
      </c>
      <c r="F414" s="13" t="s">
        <v>25</v>
      </c>
      <c r="G414" s="15">
        <v>447.18</v>
      </c>
      <c r="H414" s="15">
        <v>447.18</v>
      </c>
      <c r="I414" s="13">
        <v>10</v>
      </c>
      <c r="J414" s="13">
        <v>10</v>
      </c>
      <c r="K414" s="13" t="s">
        <v>35</v>
      </c>
      <c r="L414" s="15">
        <v>44.718000000000004</v>
      </c>
      <c r="M414" s="16">
        <v>44.718000000000004</v>
      </c>
    </row>
    <row r="415" spans="1:13" s="5" customFormat="1" x14ac:dyDescent="0.25">
      <c r="A415" s="12" t="s">
        <v>837</v>
      </c>
      <c r="B415" s="13" t="s">
        <v>838</v>
      </c>
      <c r="C415" s="14">
        <v>45116</v>
      </c>
      <c r="D415" s="13">
        <v>2023</v>
      </c>
      <c r="E415" s="13" t="s">
        <v>10</v>
      </c>
      <c r="F415" s="13" t="s">
        <v>25</v>
      </c>
      <c r="G415" s="15"/>
      <c r="H415" s="15">
        <v>3548.2821388888883</v>
      </c>
      <c r="I415" s="13">
        <v>10</v>
      </c>
      <c r="J415" s="13">
        <v>10</v>
      </c>
      <c r="K415" s="13" t="s">
        <v>15</v>
      </c>
      <c r="L415" s="15">
        <v>384.49873148148146</v>
      </c>
      <c r="M415" s="16">
        <v>384.49873148148146</v>
      </c>
    </row>
    <row r="416" spans="1:13" s="5" customFormat="1" x14ac:dyDescent="0.25">
      <c r="A416" s="12" t="s">
        <v>839</v>
      </c>
      <c r="B416" s="13" t="s">
        <v>840</v>
      </c>
      <c r="C416" s="14">
        <v>45547</v>
      </c>
      <c r="D416" s="13">
        <v>2024</v>
      </c>
      <c r="E416" s="13" t="s">
        <v>21</v>
      </c>
      <c r="F416" s="13" t="s">
        <v>11</v>
      </c>
      <c r="G416" s="15">
        <v>815.43</v>
      </c>
      <c r="H416" s="15">
        <v>815.43</v>
      </c>
      <c r="I416" s="13">
        <v>8</v>
      </c>
      <c r="J416" s="13">
        <v>8</v>
      </c>
      <c r="K416" s="13" t="s">
        <v>35</v>
      </c>
      <c r="L416" s="15">
        <v>101.92874999999999</v>
      </c>
      <c r="M416" s="16">
        <v>101.92874999999999</v>
      </c>
    </row>
    <row r="417" spans="1:13" s="5" customFormat="1" x14ac:dyDescent="0.25">
      <c r="A417" s="12" t="s">
        <v>841</v>
      </c>
      <c r="B417" s="13" t="s">
        <v>313</v>
      </c>
      <c r="C417" s="14">
        <v>45328</v>
      </c>
      <c r="D417" s="13">
        <v>2024</v>
      </c>
      <c r="E417" s="13" t="s">
        <v>14</v>
      </c>
      <c r="F417" s="13" t="s">
        <v>22</v>
      </c>
      <c r="G417" s="15">
        <v>1662.61</v>
      </c>
      <c r="H417" s="15">
        <v>1662.61</v>
      </c>
      <c r="I417" s="13">
        <v>4</v>
      </c>
      <c r="J417" s="13">
        <v>4</v>
      </c>
      <c r="K417" s="13" t="s">
        <v>35</v>
      </c>
      <c r="L417" s="15">
        <v>415.65249999999997</v>
      </c>
      <c r="M417" s="16">
        <v>415.65249999999997</v>
      </c>
    </row>
    <row r="418" spans="1:13" s="5" customFormat="1" x14ac:dyDescent="0.25">
      <c r="A418" s="12" t="s">
        <v>842</v>
      </c>
      <c r="B418" s="13" t="s">
        <v>843</v>
      </c>
      <c r="C418" s="14">
        <v>45095</v>
      </c>
      <c r="D418" s="13">
        <v>2023</v>
      </c>
      <c r="E418" s="13" t="s">
        <v>14</v>
      </c>
      <c r="F418" s="13" t="s">
        <v>34</v>
      </c>
      <c r="G418" s="15"/>
      <c r="H418" s="15">
        <v>3548.2821388888883</v>
      </c>
      <c r="I418" s="13">
        <v>9</v>
      </c>
      <c r="J418" s="13">
        <v>9</v>
      </c>
      <c r="K418" s="13" t="s">
        <v>3346</v>
      </c>
      <c r="L418" s="15">
        <v>394.67101851851857</v>
      </c>
      <c r="M418" s="16">
        <v>394.67101851851857</v>
      </c>
    </row>
    <row r="419" spans="1:13" s="5" customFormat="1" x14ac:dyDescent="0.25">
      <c r="A419" s="12" t="s">
        <v>844</v>
      </c>
      <c r="B419" s="13" t="s">
        <v>845</v>
      </c>
      <c r="C419" s="14">
        <v>45760</v>
      </c>
      <c r="D419" s="13">
        <v>2025</v>
      </c>
      <c r="E419" s="13" t="s">
        <v>3347</v>
      </c>
      <c r="F419" s="13" t="s">
        <v>22</v>
      </c>
      <c r="G419" s="15">
        <v>1470.11</v>
      </c>
      <c r="H419" s="15">
        <v>1470.11</v>
      </c>
      <c r="I419" s="13">
        <v>1</v>
      </c>
      <c r="J419" s="13">
        <v>1</v>
      </c>
      <c r="K419" s="13" t="s">
        <v>35</v>
      </c>
      <c r="L419" s="15">
        <v>1470.11</v>
      </c>
      <c r="M419" s="16">
        <v>1470.11</v>
      </c>
    </row>
    <row r="420" spans="1:13" s="5" customFormat="1" x14ac:dyDescent="0.25">
      <c r="A420" s="12" t="s">
        <v>846</v>
      </c>
      <c r="B420" s="13" t="s">
        <v>847</v>
      </c>
      <c r="C420" s="14">
        <v>45211</v>
      </c>
      <c r="D420" s="13">
        <v>2023</v>
      </c>
      <c r="E420" s="13" t="s">
        <v>14</v>
      </c>
      <c r="F420" s="13" t="s">
        <v>22</v>
      </c>
      <c r="G420" s="15">
        <v>1035.82</v>
      </c>
      <c r="H420" s="15">
        <v>1035.82</v>
      </c>
      <c r="I420" s="13">
        <v>6</v>
      </c>
      <c r="J420" s="13">
        <v>6</v>
      </c>
      <c r="K420" s="13" t="s">
        <v>15</v>
      </c>
      <c r="L420" s="15">
        <v>172.63666666666666</v>
      </c>
      <c r="M420" s="16">
        <v>172.63666666666666</v>
      </c>
    </row>
    <row r="421" spans="1:13" s="5" customFormat="1" x14ac:dyDescent="0.25">
      <c r="A421" s="12" t="s">
        <v>848</v>
      </c>
      <c r="B421" s="13" t="s">
        <v>849</v>
      </c>
      <c r="C421" s="14">
        <v>45082</v>
      </c>
      <c r="D421" s="13">
        <v>2023</v>
      </c>
      <c r="E421" s="13" t="s">
        <v>21</v>
      </c>
      <c r="F421" s="13" t="s">
        <v>22</v>
      </c>
      <c r="G421" s="15">
        <v>1197.6600000000001</v>
      </c>
      <c r="H421" s="15">
        <v>1197.6600000000001</v>
      </c>
      <c r="I421" s="13">
        <v>8</v>
      </c>
      <c r="J421" s="13">
        <v>8</v>
      </c>
      <c r="K421" s="13" t="s">
        <v>3348</v>
      </c>
      <c r="L421" s="15">
        <v>149.70750000000001</v>
      </c>
      <c r="M421" s="16">
        <v>149.70750000000001</v>
      </c>
    </row>
    <row r="422" spans="1:13" s="5" customFormat="1" x14ac:dyDescent="0.25">
      <c r="A422" s="12" t="s">
        <v>850</v>
      </c>
      <c r="B422" s="13" t="s">
        <v>851</v>
      </c>
      <c r="C422" s="14">
        <v>45278</v>
      </c>
      <c r="D422" s="13">
        <v>2023</v>
      </c>
      <c r="E422" s="13" t="s">
        <v>10</v>
      </c>
      <c r="F422" s="13" t="s">
        <v>25</v>
      </c>
      <c r="G422" s="15"/>
      <c r="H422" s="15">
        <v>131.3463630952381</v>
      </c>
      <c r="I422" s="13">
        <v>1</v>
      </c>
      <c r="J422" s="13">
        <v>1</v>
      </c>
      <c r="K422" s="13" t="s">
        <v>3346</v>
      </c>
      <c r="L422" s="15">
        <v>131.3463630952381</v>
      </c>
      <c r="M422" s="16">
        <v>131.3463630952381</v>
      </c>
    </row>
    <row r="423" spans="1:13" s="5" customFormat="1" x14ac:dyDescent="0.25">
      <c r="A423" s="12" t="s">
        <v>852</v>
      </c>
      <c r="B423" s="13" t="s">
        <v>853</v>
      </c>
      <c r="C423" s="14">
        <v>45936</v>
      </c>
      <c r="D423" s="13">
        <v>2025</v>
      </c>
      <c r="E423" s="13" t="s">
        <v>21</v>
      </c>
      <c r="F423" s="13" t="s">
        <v>34</v>
      </c>
      <c r="G423" s="15">
        <v>224.75</v>
      </c>
      <c r="H423" s="15">
        <v>224.75</v>
      </c>
      <c r="I423" s="13">
        <v>4</v>
      </c>
      <c r="J423" s="13">
        <v>4</v>
      </c>
      <c r="K423" s="13" t="s">
        <v>18</v>
      </c>
      <c r="L423" s="15">
        <v>56.1875</v>
      </c>
      <c r="M423" s="16">
        <v>56.1875</v>
      </c>
    </row>
    <row r="424" spans="1:13" s="5" customFormat="1" x14ac:dyDescent="0.25">
      <c r="A424" s="12" t="s">
        <v>854</v>
      </c>
      <c r="B424" s="13" t="s">
        <v>855</v>
      </c>
      <c r="C424" s="14">
        <v>45413</v>
      </c>
      <c r="D424" s="13">
        <v>2024</v>
      </c>
      <c r="E424" s="13" t="s">
        <v>14</v>
      </c>
      <c r="F424" s="13" t="s">
        <v>22</v>
      </c>
      <c r="G424" s="15">
        <v>572.88</v>
      </c>
      <c r="H424" s="15">
        <v>572.88</v>
      </c>
      <c r="I424" s="13">
        <v>4</v>
      </c>
      <c r="J424" s="13">
        <v>4</v>
      </c>
      <c r="K424" s="13" t="s">
        <v>3346</v>
      </c>
      <c r="L424" s="15">
        <v>143.22</v>
      </c>
      <c r="M424" s="16">
        <v>143.22</v>
      </c>
    </row>
    <row r="425" spans="1:13" s="5" customFormat="1" x14ac:dyDescent="0.25">
      <c r="A425" s="12" t="s">
        <v>856</v>
      </c>
      <c r="B425" s="13" t="s">
        <v>857</v>
      </c>
      <c r="C425" s="14">
        <v>45524</v>
      </c>
      <c r="D425" s="13">
        <v>2024</v>
      </c>
      <c r="E425" s="13" t="s">
        <v>21</v>
      </c>
      <c r="F425" s="13" t="s">
        <v>25</v>
      </c>
      <c r="G425" s="15"/>
      <c r="H425" s="15">
        <v>1281.3535714285715</v>
      </c>
      <c r="I425" s="13">
        <v>7</v>
      </c>
      <c r="J425" s="13">
        <v>7</v>
      </c>
      <c r="K425" s="13" t="s">
        <v>15</v>
      </c>
      <c r="L425" s="15">
        <v>183.05051020408163</v>
      </c>
      <c r="M425" s="16">
        <v>183.05051020408163</v>
      </c>
    </row>
    <row r="426" spans="1:13" s="5" customFormat="1" x14ac:dyDescent="0.25">
      <c r="A426" s="12" t="s">
        <v>858</v>
      </c>
      <c r="B426" s="13" t="s">
        <v>859</v>
      </c>
      <c r="C426" s="14">
        <v>44952</v>
      </c>
      <c r="D426" s="13">
        <v>2023</v>
      </c>
      <c r="E426" s="13" t="s">
        <v>21</v>
      </c>
      <c r="F426" s="13" t="s">
        <v>11</v>
      </c>
      <c r="G426" s="15">
        <v>146.54</v>
      </c>
      <c r="H426" s="15">
        <v>146.54</v>
      </c>
      <c r="I426" s="13">
        <v>3</v>
      </c>
      <c r="J426" s="13">
        <v>3</v>
      </c>
      <c r="K426" s="13" t="s">
        <v>3346</v>
      </c>
      <c r="L426" s="15">
        <v>48.846666666666664</v>
      </c>
      <c r="M426" s="16">
        <v>48.846666666666664</v>
      </c>
    </row>
    <row r="427" spans="1:13" s="5" customFormat="1" x14ac:dyDescent="0.25">
      <c r="A427" s="12" t="s">
        <v>860</v>
      </c>
      <c r="B427" s="13" t="s">
        <v>861</v>
      </c>
      <c r="C427" s="14">
        <v>45863</v>
      </c>
      <c r="D427" s="13">
        <v>2025</v>
      </c>
      <c r="E427" s="13" t="s">
        <v>14</v>
      </c>
      <c r="F427" s="13" t="s">
        <v>34</v>
      </c>
      <c r="G427" s="15">
        <v>1039.72</v>
      </c>
      <c r="H427" s="15">
        <v>1039.72</v>
      </c>
      <c r="I427" s="13">
        <v>10</v>
      </c>
      <c r="J427" s="13">
        <v>10</v>
      </c>
      <c r="K427" s="13" t="s">
        <v>35</v>
      </c>
      <c r="L427" s="15">
        <v>103.97200000000001</v>
      </c>
      <c r="M427" s="16">
        <v>103.97200000000001</v>
      </c>
    </row>
    <row r="428" spans="1:13" s="5" customFormat="1" x14ac:dyDescent="0.25">
      <c r="A428" s="12" t="s">
        <v>862</v>
      </c>
      <c r="B428" s="13" t="s">
        <v>863</v>
      </c>
      <c r="C428" s="14">
        <v>45125</v>
      </c>
      <c r="D428" s="13">
        <v>2023</v>
      </c>
      <c r="E428" s="13" t="s">
        <v>10</v>
      </c>
      <c r="F428" s="13" t="s">
        <v>25</v>
      </c>
      <c r="G428" s="15">
        <v>870.24</v>
      </c>
      <c r="H428" s="15">
        <v>870.24</v>
      </c>
      <c r="I428" s="13">
        <v>5</v>
      </c>
      <c r="J428" s="13">
        <v>5</v>
      </c>
      <c r="K428" s="13" t="s">
        <v>3346</v>
      </c>
      <c r="L428" s="15">
        <v>174.048</v>
      </c>
      <c r="M428" s="16">
        <v>174.048</v>
      </c>
    </row>
    <row r="429" spans="1:13" s="5" customFormat="1" x14ac:dyDescent="0.25">
      <c r="A429" s="12" t="s">
        <v>864</v>
      </c>
      <c r="B429" s="13" t="s">
        <v>865</v>
      </c>
      <c r="C429" s="14">
        <v>45344</v>
      </c>
      <c r="D429" s="13">
        <v>2024</v>
      </c>
      <c r="E429" s="13" t="s">
        <v>14</v>
      </c>
      <c r="F429" s="13" t="s">
        <v>22</v>
      </c>
      <c r="G429" s="15">
        <v>327.62</v>
      </c>
      <c r="H429" s="15">
        <v>327.62</v>
      </c>
      <c r="I429" s="13">
        <v>9</v>
      </c>
      <c r="J429" s="13">
        <v>9</v>
      </c>
      <c r="K429" s="13" t="s">
        <v>3348</v>
      </c>
      <c r="L429" s="15">
        <v>36.402222222222221</v>
      </c>
      <c r="M429" s="16">
        <v>36.402222222222221</v>
      </c>
    </row>
    <row r="430" spans="1:13" s="5" customFormat="1" x14ac:dyDescent="0.25">
      <c r="A430" s="12" t="s">
        <v>866</v>
      </c>
      <c r="B430" s="13" t="s">
        <v>867</v>
      </c>
      <c r="C430" s="14">
        <v>45182</v>
      </c>
      <c r="D430" s="13">
        <v>2023</v>
      </c>
      <c r="E430" s="13" t="s">
        <v>10</v>
      </c>
      <c r="F430" s="13" t="s">
        <v>11</v>
      </c>
      <c r="G430" s="15">
        <v>96.5</v>
      </c>
      <c r="H430" s="15">
        <v>96.5</v>
      </c>
      <c r="I430" s="13">
        <v>4</v>
      </c>
      <c r="J430" s="13">
        <v>4</v>
      </c>
      <c r="K430" s="13" t="s">
        <v>35</v>
      </c>
      <c r="L430" s="15">
        <v>24.125</v>
      </c>
      <c r="M430" s="16">
        <v>24.125</v>
      </c>
    </row>
    <row r="431" spans="1:13" s="5" customFormat="1" x14ac:dyDescent="0.25">
      <c r="A431" s="12" t="s">
        <v>868</v>
      </c>
      <c r="B431" s="13" t="s">
        <v>869</v>
      </c>
      <c r="C431" s="14">
        <v>45835</v>
      </c>
      <c r="D431" s="13">
        <v>2025</v>
      </c>
      <c r="E431" s="13" t="s">
        <v>21</v>
      </c>
      <c r="F431" s="13" t="s">
        <v>11</v>
      </c>
      <c r="G431" s="15"/>
      <c r="H431" s="15">
        <v>2609.5897916666668</v>
      </c>
      <c r="I431" s="13">
        <v>7</v>
      </c>
      <c r="J431" s="13">
        <v>7</v>
      </c>
      <c r="K431" s="13" t="s">
        <v>15</v>
      </c>
      <c r="L431" s="15">
        <v>372.79854166666667</v>
      </c>
      <c r="M431" s="16">
        <v>372.79854166666667</v>
      </c>
    </row>
    <row r="432" spans="1:13" s="5" customFormat="1" x14ac:dyDescent="0.25">
      <c r="A432" s="12" t="s">
        <v>870</v>
      </c>
      <c r="B432" s="13" t="s">
        <v>871</v>
      </c>
      <c r="C432" s="14">
        <v>45034</v>
      </c>
      <c r="D432" s="13">
        <v>2023</v>
      </c>
      <c r="E432" s="13" t="s">
        <v>21</v>
      </c>
      <c r="F432" s="13" t="s">
        <v>22</v>
      </c>
      <c r="G432" s="15">
        <v>1939.14</v>
      </c>
      <c r="H432" s="15">
        <v>1939.14</v>
      </c>
      <c r="I432" s="13">
        <v>7</v>
      </c>
      <c r="J432" s="13">
        <v>7</v>
      </c>
      <c r="K432" s="13" t="s">
        <v>3348</v>
      </c>
      <c r="L432" s="15">
        <v>277.02000000000004</v>
      </c>
      <c r="M432" s="16">
        <v>277.02000000000004</v>
      </c>
    </row>
    <row r="433" spans="1:13" s="5" customFormat="1" x14ac:dyDescent="0.25">
      <c r="A433" s="12" t="s">
        <v>872</v>
      </c>
      <c r="B433" s="13" t="s">
        <v>873</v>
      </c>
      <c r="C433" s="14">
        <v>45358</v>
      </c>
      <c r="D433" s="13">
        <v>2024</v>
      </c>
      <c r="E433" s="13" t="s">
        <v>21</v>
      </c>
      <c r="F433" s="13" t="s">
        <v>22</v>
      </c>
      <c r="G433" s="15"/>
      <c r="H433" s="15">
        <v>2144.7438690476192</v>
      </c>
      <c r="I433" s="13">
        <v>5</v>
      </c>
      <c r="J433" s="13">
        <v>5</v>
      </c>
      <c r="K433" s="13" t="s">
        <v>3348</v>
      </c>
      <c r="L433" s="15">
        <v>428.94877380952386</v>
      </c>
      <c r="M433" s="16">
        <v>428.9487738095238</v>
      </c>
    </row>
    <row r="434" spans="1:13" s="5" customFormat="1" x14ac:dyDescent="0.25">
      <c r="A434" s="12" t="s">
        <v>874</v>
      </c>
      <c r="B434" s="13" t="s">
        <v>875</v>
      </c>
      <c r="C434" s="14">
        <v>45333</v>
      </c>
      <c r="D434" s="13">
        <v>2024</v>
      </c>
      <c r="E434" s="13" t="s">
        <v>21</v>
      </c>
      <c r="F434" s="13" t="s">
        <v>34</v>
      </c>
      <c r="G434" s="15">
        <v>470.52</v>
      </c>
      <c r="H434" s="15">
        <v>470.52</v>
      </c>
      <c r="I434" s="13">
        <v>7</v>
      </c>
      <c r="J434" s="13">
        <v>7</v>
      </c>
      <c r="K434" s="13" t="s">
        <v>3348</v>
      </c>
      <c r="L434" s="15">
        <v>67.217142857142861</v>
      </c>
      <c r="M434" s="16">
        <v>67.217142857142861</v>
      </c>
    </row>
    <row r="435" spans="1:13" s="5" customFormat="1" x14ac:dyDescent="0.25">
      <c r="A435" s="12" t="s">
        <v>876</v>
      </c>
      <c r="B435" s="13" t="s">
        <v>877</v>
      </c>
      <c r="C435" s="14">
        <v>44951</v>
      </c>
      <c r="D435" s="13">
        <v>2023</v>
      </c>
      <c r="E435" s="13" t="s">
        <v>3347</v>
      </c>
      <c r="F435" s="13" t="s">
        <v>25</v>
      </c>
      <c r="G435" s="15">
        <v>231.71</v>
      </c>
      <c r="H435" s="15">
        <v>231.71</v>
      </c>
      <c r="I435" s="13">
        <v>1</v>
      </c>
      <c r="J435" s="13">
        <v>1</v>
      </c>
      <c r="K435" s="13" t="s">
        <v>35</v>
      </c>
      <c r="L435" s="15">
        <v>231.71</v>
      </c>
      <c r="M435" s="16">
        <v>231.71</v>
      </c>
    </row>
    <row r="436" spans="1:13" s="5" customFormat="1" x14ac:dyDescent="0.25">
      <c r="A436" s="12" t="s">
        <v>878</v>
      </c>
      <c r="B436" s="13" t="s">
        <v>879</v>
      </c>
      <c r="C436" s="14">
        <v>44951</v>
      </c>
      <c r="D436" s="13">
        <v>2023</v>
      </c>
      <c r="E436" s="13" t="s">
        <v>14</v>
      </c>
      <c r="F436" s="13" t="s">
        <v>25</v>
      </c>
      <c r="G436" s="15">
        <v>1645.74</v>
      </c>
      <c r="H436" s="15">
        <v>1645.74</v>
      </c>
      <c r="I436" s="13">
        <v>2</v>
      </c>
      <c r="J436" s="13">
        <v>2</v>
      </c>
      <c r="K436" s="13" t="s">
        <v>18</v>
      </c>
      <c r="L436" s="15">
        <v>822.87</v>
      </c>
      <c r="M436" s="16">
        <v>822.87</v>
      </c>
    </row>
    <row r="437" spans="1:13" s="5" customFormat="1" x14ac:dyDescent="0.25">
      <c r="A437" s="12" t="s">
        <v>880</v>
      </c>
      <c r="B437" s="13" t="s">
        <v>881</v>
      </c>
      <c r="C437" s="14">
        <v>45223</v>
      </c>
      <c r="D437" s="13">
        <v>2023</v>
      </c>
      <c r="E437" s="13" t="s">
        <v>21</v>
      </c>
      <c r="F437" s="13" t="s">
        <v>11</v>
      </c>
      <c r="G437" s="15">
        <v>265.95999999999998</v>
      </c>
      <c r="H437" s="15">
        <v>265.95999999999998</v>
      </c>
      <c r="I437" s="13">
        <v>10</v>
      </c>
      <c r="J437" s="13">
        <v>10</v>
      </c>
      <c r="K437" s="13" t="s">
        <v>3348</v>
      </c>
      <c r="L437" s="15">
        <v>26.595999999999997</v>
      </c>
      <c r="M437" s="16">
        <v>26.595999999999997</v>
      </c>
    </row>
    <row r="438" spans="1:13" s="5" customFormat="1" x14ac:dyDescent="0.25">
      <c r="A438" s="12" t="s">
        <v>882</v>
      </c>
      <c r="B438" s="13" t="s">
        <v>883</v>
      </c>
      <c r="C438" s="14">
        <v>45162</v>
      </c>
      <c r="D438" s="13">
        <v>2023</v>
      </c>
      <c r="E438" s="13" t="s">
        <v>3347</v>
      </c>
      <c r="F438" s="13" t="s">
        <v>22</v>
      </c>
      <c r="G438" s="15"/>
      <c r="H438" s="15">
        <v>3151.7707499999997</v>
      </c>
      <c r="I438" s="13">
        <v>9</v>
      </c>
      <c r="J438" s="13">
        <v>9</v>
      </c>
      <c r="K438" s="13" t="s">
        <v>35</v>
      </c>
      <c r="L438" s="15">
        <v>350.19674999999995</v>
      </c>
      <c r="M438" s="16">
        <v>350.19674999999995</v>
      </c>
    </row>
    <row r="439" spans="1:13" s="5" customFormat="1" x14ac:dyDescent="0.25">
      <c r="A439" s="12" t="s">
        <v>884</v>
      </c>
      <c r="B439" s="13" t="s">
        <v>885</v>
      </c>
      <c r="C439" s="14">
        <v>44916</v>
      </c>
      <c r="D439" s="13">
        <v>2022</v>
      </c>
      <c r="E439" s="13" t="s">
        <v>10</v>
      </c>
      <c r="F439" s="13" t="s">
        <v>34</v>
      </c>
      <c r="G439" s="15">
        <v>1657.42</v>
      </c>
      <c r="H439" s="15">
        <v>1657.42</v>
      </c>
      <c r="I439" s="13">
        <v>1</v>
      </c>
      <c r="J439" s="13">
        <v>1</v>
      </c>
      <c r="K439" s="13" t="s">
        <v>35</v>
      </c>
      <c r="L439" s="15">
        <v>1657.42</v>
      </c>
      <c r="M439" s="16">
        <v>1657.42</v>
      </c>
    </row>
    <row r="440" spans="1:13" s="5" customFormat="1" x14ac:dyDescent="0.25">
      <c r="A440" s="12" t="s">
        <v>886</v>
      </c>
      <c r="B440" s="13" t="s">
        <v>887</v>
      </c>
      <c r="C440" s="14">
        <v>45534</v>
      </c>
      <c r="D440" s="13">
        <v>2024</v>
      </c>
      <c r="E440" s="13" t="s">
        <v>21</v>
      </c>
      <c r="F440" s="13" t="s">
        <v>34</v>
      </c>
      <c r="G440" s="15">
        <v>1783.51</v>
      </c>
      <c r="H440" s="15">
        <v>1783.51</v>
      </c>
      <c r="I440" s="13">
        <v>3</v>
      </c>
      <c r="J440" s="13">
        <v>3</v>
      </c>
      <c r="K440" s="13" t="s">
        <v>15</v>
      </c>
      <c r="L440" s="15">
        <v>594.50333333333333</v>
      </c>
      <c r="M440" s="16">
        <v>594.50333333333333</v>
      </c>
    </row>
    <row r="441" spans="1:13" s="5" customFormat="1" x14ac:dyDescent="0.25">
      <c r="A441" s="12" t="s">
        <v>888</v>
      </c>
      <c r="B441" s="13" t="s">
        <v>889</v>
      </c>
      <c r="C441" s="14">
        <v>45088</v>
      </c>
      <c r="D441" s="13">
        <v>2023</v>
      </c>
      <c r="E441" s="13" t="s">
        <v>3347</v>
      </c>
      <c r="F441" s="13" t="s">
        <v>22</v>
      </c>
      <c r="G441" s="15">
        <v>405.75</v>
      </c>
      <c r="H441" s="15">
        <v>405.75</v>
      </c>
      <c r="I441" s="13">
        <v>2</v>
      </c>
      <c r="J441" s="13">
        <v>2</v>
      </c>
      <c r="K441" s="13" t="s">
        <v>15</v>
      </c>
      <c r="L441" s="15">
        <v>202.875</v>
      </c>
      <c r="M441" s="16">
        <v>202.875</v>
      </c>
    </row>
    <row r="442" spans="1:13" s="5" customFormat="1" x14ac:dyDescent="0.25">
      <c r="A442" s="12" t="s">
        <v>890</v>
      </c>
      <c r="B442" s="13" t="s">
        <v>891</v>
      </c>
      <c r="C442" s="14">
        <v>45180</v>
      </c>
      <c r="D442" s="13">
        <v>2023</v>
      </c>
      <c r="E442" s="13" t="s">
        <v>3347</v>
      </c>
      <c r="F442" s="13" t="s">
        <v>25</v>
      </c>
      <c r="G442" s="15">
        <v>603.91999999999996</v>
      </c>
      <c r="H442" s="15">
        <v>603.91999999999996</v>
      </c>
      <c r="I442" s="13">
        <v>3</v>
      </c>
      <c r="J442" s="13">
        <v>3</v>
      </c>
      <c r="K442" s="13" t="s">
        <v>3348</v>
      </c>
      <c r="L442" s="15">
        <v>201.30666666666664</v>
      </c>
      <c r="M442" s="16">
        <v>201.30666666666664</v>
      </c>
    </row>
    <row r="443" spans="1:13" s="5" customFormat="1" x14ac:dyDescent="0.25">
      <c r="A443" s="12" t="s">
        <v>892</v>
      </c>
      <c r="B443" s="13" t="s">
        <v>893</v>
      </c>
      <c r="C443" s="14">
        <v>45787</v>
      </c>
      <c r="D443" s="13">
        <v>2025</v>
      </c>
      <c r="E443" s="13" t="s">
        <v>21</v>
      </c>
      <c r="F443" s="13" t="s">
        <v>34</v>
      </c>
      <c r="G443" s="15">
        <v>1938.75</v>
      </c>
      <c r="H443" s="15">
        <v>1938.75</v>
      </c>
      <c r="I443" s="13">
        <v>9</v>
      </c>
      <c r="J443" s="13">
        <v>9</v>
      </c>
      <c r="K443" s="13" t="s">
        <v>3348</v>
      </c>
      <c r="L443" s="15">
        <v>215.41666666666666</v>
      </c>
      <c r="M443" s="16">
        <v>215.41666666666666</v>
      </c>
    </row>
    <row r="444" spans="1:13" s="5" customFormat="1" x14ac:dyDescent="0.25">
      <c r="A444" s="12" t="s">
        <v>894</v>
      </c>
      <c r="B444" s="13" t="s">
        <v>895</v>
      </c>
      <c r="C444" s="14">
        <v>45613</v>
      </c>
      <c r="D444" s="13">
        <v>2024</v>
      </c>
      <c r="E444" s="13" t="s">
        <v>14</v>
      </c>
      <c r="F444" s="13" t="s">
        <v>22</v>
      </c>
      <c r="G444" s="15">
        <v>361.65</v>
      </c>
      <c r="H444" s="15">
        <v>361.65</v>
      </c>
      <c r="I444" s="13"/>
      <c r="J444" s="13">
        <v>2</v>
      </c>
      <c r="K444" s="13" t="s">
        <v>3348</v>
      </c>
      <c r="L444" s="15">
        <v>180.82499999999999</v>
      </c>
      <c r="M444" s="16">
        <v>189.17411111111113</v>
      </c>
    </row>
    <row r="445" spans="1:13" s="5" customFormat="1" x14ac:dyDescent="0.25">
      <c r="A445" s="12" t="s">
        <v>896</v>
      </c>
      <c r="B445" s="13" t="s">
        <v>897</v>
      </c>
      <c r="C445" s="14">
        <v>45088</v>
      </c>
      <c r="D445" s="13">
        <v>2023</v>
      </c>
      <c r="E445" s="13" t="s">
        <v>3347</v>
      </c>
      <c r="F445" s="13" t="s">
        <v>34</v>
      </c>
      <c r="G445" s="15">
        <v>217.51</v>
      </c>
      <c r="H445" s="15">
        <v>217.51</v>
      </c>
      <c r="I445" s="13">
        <v>1</v>
      </c>
      <c r="J445" s="13">
        <v>1</v>
      </c>
      <c r="K445" s="13" t="s">
        <v>3346</v>
      </c>
      <c r="L445" s="15">
        <v>217.51</v>
      </c>
      <c r="M445" s="16">
        <v>217.51</v>
      </c>
    </row>
    <row r="446" spans="1:13" s="5" customFormat="1" x14ac:dyDescent="0.25">
      <c r="A446" s="12" t="s">
        <v>898</v>
      </c>
      <c r="B446" s="13" t="s">
        <v>899</v>
      </c>
      <c r="C446" s="14">
        <v>45638</v>
      </c>
      <c r="D446" s="13">
        <v>2024</v>
      </c>
      <c r="E446" s="13" t="s">
        <v>10</v>
      </c>
      <c r="F446" s="13" t="s">
        <v>11</v>
      </c>
      <c r="G446" s="15">
        <v>308.29000000000002</v>
      </c>
      <c r="H446" s="15">
        <v>308.29000000000002</v>
      </c>
      <c r="I446" s="13">
        <v>6</v>
      </c>
      <c r="J446" s="13">
        <v>6</v>
      </c>
      <c r="K446" s="13" t="s">
        <v>18</v>
      </c>
      <c r="L446" s="15">
        <v>51.381666666666668</v>
      </c>
      <c r="M446" s="16">
        <v>51.381666666666668</v>
      </c>
    </row>
    <row r="447" spans="1:13" s="5" customFormat="1" x14ac:dyDescent="0.25">
      <c r="A447" s="12" t="s">
        <v>900</v>
      </c>
      <c r="B447" s="13" t="s">
        <v>901</v>
      </c>
      <c r="C447" s="14">
        <v>45388</v>
      </c>
      <c r="D447" s="13">
        <v>2024</v>
      </c>
      <c r="E447" s="13" t="s">
        <v>10</v>
      </c>
      <c r="F447" s="13" t="s">
        <v>34</v>
      </c>
      <c r="G447" s="15">
        <v>1903.28</v>
      </c>
      <c r="H447" s="15">
        <v>1903.28</v>
      </c>
      <c r="I447" s="13">
        <v>4</v>
      </c>
      <c r="J447" s="13">
        <v>4</v>
      </c>
      <c r="K447" s="13" t="s">
        <v>18</v>
      </c>
      <c r="L447" s="15">
        <v>475.82</v>
      </c>
      <c r="M447" s="16">
        <v>475.82</v>
      </c>
    </row>
    <row r="448" spans="1:13" s="5" customFormat="1" x14ac:dyDescent="0.25">
      <c r="A448" s="12" t="s">
        <v>902</v>
      </c>
      <c r="B448" s="13" t="s">
        <v>903</v>
      </c>
      <c r="C448" s="14">
        <v>44922</v>
      </c>
      <c r="D448" s="13">
        <v>2022</v>
      </c>
      <c r="E448" s="13" t="s">
        <v>3347</v>
      </c>
      <c r="F448" s="13" t="s">
        <v>11</v>
      </c>
      <c r="G448" s="15">
        <v>836.02</v>
      </c>
      <c r="H448" s="15">
        <v>836.02</v>
      </c>
      <c r="I448" s="13">
        <v>8</v>
      </c>
      <c r="J448" s="13">
        <v>8</v>
      </c>
      <c r="K448" s="13" t="s">
        <v>3348</v>
      </c>
      <c r="L448" s="15">
        <v>104.5025</v>
      </c>
      <c r="M448" s="16">
        <v>104.5025</v>
      </c>
    </row>
    <row r="449" spans="1:13" s="5" customFormat="1" x14ac:dyDescent="0.25">
      <c r="A449" s="12" t="s">
        <v>904</v>
      </c>
      <c r="B449" s="13" t="s">
        <v>905</v>
      </c>
      <c r="C449" s="14">
        <v>45082</v>
      </c>
      <c r="D449" s="13">
        <v>2023</v>
      </c>
      <c r="E449" s="13" t="s">
        <v>14</v>
      </c>
      <c r="F449" s="13" t="s">
        <v>34</v>
      </c>
      <c r="G449" s="15">
        <v>1283.9100000000001</v>
      </c>
      <c r="H449" s="15">
        <v>1283.9100000000001</v>
      </c>
      <c r="I449" s="13">
        <v>3</v>
      </c>
      <c r="J449" s="13">
        <v>3</v>
      </c>
      <c r="K449" s="13" t="s">
        <v>18</v>
      </c>
      <c r="L449" s="15">
        <v>427.97</v>
      </c>
      <c r="M449" s="16">
        <v>427.97</v>
      </c>
    </row>
    <row r="450" spans="1:13" s="5" customFormat="1" x14ac:dyDescent="0.25">
      <c r="A450" s="12" t="s">
        <v>906</v>
      </c>
      <c r="B450" s="13" t="s">
        <v>907</v>
      </c>
      <c r="C450" s="14">
        <v>45722</v>
      </c>
      <c r="D450" s="13">
        <v>2025</v>
      </c>
      <c r="E450" s="13" t="s">
        <v>14</v>
      </c>
      <c r="F450" s="13" t="s">
        <v>11</v>
      </c>
      <c r="G450" s="15">
        <v>983.04</v>
      </c>
      <c r="H450" s="15">
        <v>983.04</v>
      </c>
      <c r="I450" s="13">
        <v>6</v>
      </c>
      <c r="J450" s="13">
        <v>6</v>
      </c>
      <c r="K450" s="13" t="s">
        <v>35</v>
      </c>
      <c r="L450" s="15">
        <v>163.84</v>
      </c>
      <c r="M450" s="16">
        <v>163.84</v>
      </c>
    </row>
    <row r="451" spans="1:13" s="5" customFormat="1" x14ac:dyDescent="0.25">
      <c r="A451" s="12" t="s">
        <v>908</v>
      </c>
      <c r="B451" s="13" t="s">
        <v>909</v>
      </c>
      <c r="C451" s="14">
        <v>45264</v>
      </c>
      <c r="D451" s="13">
        <v>2023</v>
      </c>
      <c r="E451" s="13" t="s">
        <v>21</v>
      </c>
      <c r="F451" s="13" t="s">
        <v>22</v>
      </c>
      <c r="G451" s="15">
        <v>49.21</v>
      </c>
      <c r="H451" s="15">
        <v>49.21</v>
      </c>
      <c r="I451" s="13">
        <v>1</v>
      </c>
      <c r="J451" s="13">
        <v>1</v>
      </c>
      <c r="K451" s="13" t="s">
        <v>35</v>
      </c>
      <c r="L451" s="15">
        <v>49.21</v>
      </c>
      <c r="M451" s="16">
        <v>49.21</v>
      </c>
    </row>
    <row r="452" spans="1:13" s="5" customFormat="1" x14ac:dyDescent="0.25">
      <c r="A452" s="12" t="s">
        <v>910</v>
      </c>
      <c r="B452" s="13" t="s">
        <v>911</v>
      </c>
      <c r="C452" s="14">
        <v>45844</v>
      </c>
      <c r="D452" s="13">
        <v>2025</v>
      </c>
      <c r="E452" s="13" t="s">
        <v>21</v>
      </c>
      <c r="F452" s="13" t="s">
        <v>11</v>
      </c>
      <c r="G452" s="15">
        <v>1192.8900000000001</v>
      </c>
      <c r="H452" s="15">
        <v>1192.8900000000001</v>
      </c>
      <c r="I452" s="13">
        <v>4</v>
      </c>
      <c r="J452" s="13">
        <v>4</v>
      </c>
      <c r="K452" s="13" t="s">
        <v>15</v>
      </c>
      <c r="L452" s="15">
        <v>298.22250000000003</v>
      </c>
      <c r="M452" s="16">
        <v>298.22250000000003</v>
      </c>
    </row>
    <row r="453" spans="1:13" s="5" customFormat="1" x14ac:dyDescent="0.25">
      <c r="A453" s="12" t="s">
        <v>912</v>
      </c>
      <c r="B453" s="13" t="s">
        <v>913</v>
      </c>
      <c r="C453" s="14">
        <v>45634</v>
      </c>
      <c r="D453" s="13">
        <v>2024</v>
      </c>
      <c r="E453" s="13" t="s">
        <v>14</v>
      </c>
      <c r="F453" s="13" t="s">
        <v>11</v>
      </c>
      <c r="G453" s="15">
        <v>362.36</v>
      </c>
      <c r="H453" s="15">
        <v>362.36</v>
      </c>
      <c r="I453" s="13">
        <v>10</v>
      </c>
      <c r="J453" s="13">
        <v>10</v>
      </c>
      <c r="K453" s="13" t="s">
        <v>15</v>
      </c>
      <c r="L453" s="15">
        <v>36.236000000000004</v>
      </c>
      <c r="M453" s="16">
        <v>36.236000000000004</v>
      </c>
    </row>
    <row r="454" spans="1:13" s="5" customFormat="1" x14ac:dyDescent="0.25">
      <c r="A454" s="12" t="s">
        <v>914</v>
      </c>
      <c r="B454" s="13" t="s">
        <v>915</v>
      </c>
      <c r="C454" s="14">
        <v>44914</v>
      </c>
      <c r="D454" s="13">
        <v>2022</v>
      </c>
      <c r="E454" s="13" t="s">
        <v>3347</v>
      </c>
      <c r="F454" s="13" t="s">
        <v>22</v>
      </c>
      <c r="G454" s="15">
        <v>253.3</v>
      </c>
      <c r="H454" s="15">
        <v>253.3</v>
      </c>
      <c r="I454" s="13">
        <v>10</v>
      </c>
      <c r="J454" s="13">
        <v>10</v>
      </c>
      <c r="K454" s="13" t="s">
        <v>15</v>
      </c>
      <c r="L454" s="15">
        <v>25.330000000000002</v>
      </c>
      <c r="M454" s="16">
        <v>25.330000000000002</v>
      </c>
    </row>
    <row r="455" spans="1:13" s="5" customFormat="1" x14ac:dyDescent="0.25">
      <c r="A455" s="12" t="s">
        <v>916</v>
      </c>
      <c r="B455" s="13" t="s">
        <v>917</v>
      </c>
      <c r="C455" s="14">
        <v>45171</v>
      </c>
      <c r="D455" s="13">
        <v>2023</v>
      </c>
      <c r="E455" s="13" t="s">
        <v>10</v>
      </c>
      <c r="F455" s="13" t="s">
        <v>34</v>
      </c>
      <c r="G455" s="15">
        <v>45.94</v>
      </c>
      <c r="H455" s="15">
        <v>45.94</v>
      </c>
      <c r="I455" s="13">
        <v>1</v>
      </c>
      <c r="J455" s="13">
        <v>1</v>
      </c>
      <c r="K455" s="13" t="s">
        <v>3348</v>
      </c>
      <c r="L455" s="15">
        <v>45.94</v>
      </c>
      <c r="M455" s="16">
        <v>45.94</v>
      </c>
    </row>
    <row r="456" spans="1:13" s="5" customFormat="1" x14ac:dyDescent="0.25">
      <c r="A456" s="12" t="s">
        <v>918</v>
      </c>
      <c r="B456" s="13" t="s">
        <v>919</v>
      </c>
      <c r="C456" s="14">
        <v>44937</v>
      </c>
      <c r="D456" s="13">
        <v>2023</v>
      </c>
      <c r="E456" s="13" t="s">
        <v>3347</v>
      </c>
      <c r="F456" s="13" t="s">
        <v>22</v>
      </c>
      <c r="G456" s="15">
        <v>1362.24</v>
      </c>
      <c r="H456" s="15">
        <v>1362.24</v>
      </c>
      <c r="I456" s="13">
        <v>7</v>
      </c>
      <c r="J456" s="13">
        <v>7</v>
      </c>
      <c r="K456" s="13" t="s">
        <v>3348</v>
      </c>
      <c r="L456" s="15">
        <v>194.6057142857143</v>
      </c>
      <c r="M456" s="16">
        <v>194.6057142857143</v>
      </c>
    </row>
    <row r="457" spans="1:13" s="5" customFormat="1" x14ac:dyDescent="0.25">
      <c r="A457" s="12" t="s">
        <v>920</v>
      </c>
      <c r="B457" s="13" t="s">
        <v>921</v>
      </c>
      <c r="C457" s="14">
        <v>45578</v>
      </c>
      <c r="D457" s="13">
        <v>2024</v>
      </c>
      <c r="E457" s="13" t="s">
        <v>3347</v>
      </c>
      <c r="F457" s="13" t="s">
        <v>34</v>
      </c>
      <c r="G457" s="15">
        <v>1648.8</v>
      </c>
      <c r="H457" s="15">
        <v>1648.8</v>
      </c>
      <c r="I457" s="13">
        <v>5</v>
      </c>
      <c r="J457" s="13">
        <v>5</v>
      </c>
      <c r="K457" s="13" t="s">
        <v>15</v>
      </c>
      <c r="L457" s="15">
        <v>329.76</v>
      </c>
      <c r="M457" s="16">
        <v>329.76</v>
      </c>
    </row>
    <row r="458" spans="1:13" s="5" customFormat="1" x14ac:dyDescent="0.25">
      <c r="A458" s="12" t="s">
        <v>922</v>
      </c>
      <c r="B458" s="13" t="s">
        <v>923</v>
      </c>
      <c r="C458" s="14">
        <v>45553</v>
      </c>
      <c r="D458" s="13">
        <v>2024</v>
      </c>
      <c r="E458" s="13" t="s">
        <v>10</v>
      </c>
      <c r="F458" s="13" t="s">
        <v>34</v>
      </c>
      <c r="G458" s="15">
        <v>1361.37</v>
      </c>
      <c r="H458" s="15">
        <v>1361.37</v>
      </c>
      <c r="I458" s="13">
        <v>6</v>
      </c>
      <c r="J458" s="13">
        <v>6</v>
      </c>
      <c r="K458" s="13" t="s">
        <v>35</v>
      </c>
      <c r="L458" s="15">
        <v>226.89499999999998</v>
      </c>
      <c r="M458" s="16">
        <v>226.89499999999998</v>
      </c>
    </row>
    <row r="459" spans="1:13" s="5" customFormat="1" x14ac:dyDescent="0.25">
      <c r="A459" s="12" t="s">
        <v>924</v>
      </c>
      <c r="B459" s="13" t="s">
        <v>925</v>
      </c>
      <c r="C459" s="14">
        <v>44907</v>
      </c>
      <c r="D459" s="13">
        <v>2022</v>
      </c>
      <c r="E459" s="13" t="s">
        <v>10</v>
      </c>
      <c r="F459" s="13" t="s">
        <v>25</v>
      </c>
      <c r="G459" s="15">
        <v>662.24</v>
      </c>
      <c r="H459" s="15">
        <v>662.24</v>
      </c>
      <c r="I459" s="13">
        <v>9</v>
      </c>
      <c r="J459" s="13">
        <v>9</v>
      </c>
      <c r="K459" s="13" t="s">
        <v>3348</v>
      </c>
      <c r="L459" s="15">
        <v>73.582222222222228</v>
      </c>
      <c r="M459" s="16">
        <v>73.582222222222228</v>
      </c>
    </row>
    <row r="460" spans="1:13" s="5" customFormat="1" x14ac:dyDescent="0.25">
      <c r="A460" s="12" t="s">
        <v>926</v>
      </c>
      <c r="B460" s="13" t="s">
        <v>927</v>
      </c>
      <c r="C460" s="14">
        <v>45084</v>
      </c>
      <c r="D460" s="13">
        <v>2023</v>
      </c>
      <c r="E460" s="13" t="s">
        <v>14</v>
      </c>
      <c r="F460" s="13" t="s">
        <v>22</v>
      </c>
      <c r="G460" s="15">
        <v>924.35</v>
      </c>
      <c r="H460" s="15">
        <v>924.35</v>
      </c>
      <c r="I460" s="13"/>
      <c r="J460" s="13">
        <v>4</v>
      </c>
      <c r="K460" s="13" t="s">
        <v>18</v>
      </c>
      <c r="L460" s="15">
        <v>231.08750000000001</v>
      </c>
      <c r="M460" s="16">
        <v>230.5160595238095</v>
      </c>
    </row>
    <row r="461" spans="1:13" s="5" customFormat="1" x14ac:dyDescent="0.25">
      <c r="A461" s="12" t="s">
        <v>928</v>
      </c>
      <c r="B461" s="13" t="s">
        <v>929</v>
      </c>
      <c r="C461" s="14">
        <v>45002</v>
      </c>
      <c r="D461" s="13">
        <v>2023</v>
      </c>
      <c r="E461" s="13" t="s">
        <v>3347</v>
      </c>
      <c r="F461" s="13" t="s">
        <v>25</v>
      </c>
      <c r="G461" s="15">
        <v>665.71</v>
      </c>
      <c r="H461" s="15">
        <v>665.71</v>
      </c>
      <c r="I461" s="13">
        <v>1</v>
      </c>
      <c r="J461" s="13">
        <v>1</v>
      </c>
      <c r="K461" s="13" t="s">
        <v>15</v>
      </c>
      <c r="L461" s="15">
        <v>665.71</v>
      </c>
      <c r="M461" s="16">
        <v>665.71</v>
      </c>
    </row>
    <row r="462" spans="1:13" s="5" customFormat="1" x14ac:dyDescent="0.25">
      <c r="A462" s="12" t="s">
        <v>930</v>
      </c>
      <c r="B462" s="13" t="s">
        <v>931</v>
      </c>
      <c r="C462" s="14">
        <v>45743</v>
      </c>
      <c r="D462" s="13">
        <v>2025</v>
      </c>
      <c r="E462" s="13" t="s">
        <v>10</v>
      </c>
      <c r="F462" s="13" t="s">
        <v>34</v>
      </c>
      <c r="G462" s="15">
        <v>1480.59</v>
      </c>
      <c r="H462" s="15">
        <v>1480.59</v>
      </c>
      <c r="I462" s="13">
        <v>2</v>
      </c>
      <c r="J462" s="13">
        <v>2</v>
      </c>
      <c r="K462" s="13" t="s">
        <v>3348</v>
      </c>
      <c r="L462" s="15">
        <v>740.29499999999996</v>
      </c>
      <c r="M462" s="16">
        <v>740.29499999999996</v>
      </c>
    </row>
    <row r="463" spans="1:13" s="5" customFormat="1" x14ac:dyDescent="0.25">
      <c r="A463" s="12" t="s">
        <v>932</v>
      </c>
      <c r="B463" s="13" t="s">
        <v>933</v>
      </c>
      <c r="C463" s="14">
        <v>44875</v>
      </c>
      <c r="D463" s="13">
        <v>2022</v>
      </c>
      <c r="E463" s="13" t="s">
        <v>21</v>
      </c>
      <c r="F463" s="13" t="s">
        <v>22</v>
      </c>
      <c r="G463" s="15">
        <v>1349.24</v>
      </c>
      <c r="H463" s="15">
        <v>1349.24</v>
      </c>
      <c r="I463" s="13">
        <v>7</v>
      </c>
      <c r="J463" s="13">
        <v>7</v>
      </c>
      <c r="K463" s="13" t="s">
        <v>15</v>
      </c>
      <c r="L463" s="15">
        <v>192.74857142857144</v>
      </c>
      <c r="M463" s="16">
        <v>192.74857142857144</v>
      </c>
    </row>
    <row r="464" spans="1:13" s="5" customFormat="1" x14ac:dyDescent="0.25">
      <c r="A464" s="12" t="s">
        <v>934</v>
      </c>
      <c r="B464" s="13" t="s">
        <v>935</v>
      </c>
      <c r="C464" s="14">
        <v>45736</v>
      </c>
      <c r="D464" s="13">
        <v>2025</v>
      </c>
      <c r="E464" s="13" t="s">
        <v>21</v>
      </c>
      <c r="F464" s="13" t="s">
        <v>22</v>
      </c>
      <c r="G464" s="15">
        <v>1894.26</v>
      </c>
      <c r="H464" s="15">
        <v>1894.26</v>
      </c>
      <c r="I464" s="13">
        <v>9</v>
      </c>
      <c r="J464" s="13">
        <v>9</v>
      </c>
      <c r="K464" s="13" t="s">
        <v>18</v>
      </c>
      <c r="L464" s="15">
        <v>210.47333333333333</v>
      </c>
      <c r="M464" s="16">
        <v>210.47333333333333</v>
      </c>
    </row>
    <row r="465" spans="1:13" s="5" customFormat="1" x14ac:dyDescent="0.25">
      <c r="A465" s="12" t="s">
        <v>936</v>
      </c>
      <c r="B465" s="13" t="s">
        <v>937</v>
      </c>
      <c r="C465" s="14">
        <v>45195</v>
      </c>
      <c r="D465" s="13">
        <v>2023</v>
      </c>
      <c r="E465" s="13" t="s">
        <v>10</v>
      </c>
      <c r="F465" s="13" t="s">
        <v>25</v>
      </c>
      <c r="G465" s="15">
        <v>1006.58</v>
      </c>
      <c r="H465" s="15">
        <v>1006.58</v>
      </c>
      <c r="I465" s="13">
        <v>9</v>
      </c>
      <c r="J465" s="13">
        <v>9</v>
      </c>
      <c r="K465" s="13" t="s">
        <v>35</v>
      </c>
      <c r="L465" s="15">
        <v>111.84222222222223</v>
      </c>
      <c r="M465" s="16">
        <v>111.84222222222223</v>
      </c>
    </row>
    <row r="466" spans="1:13" s="5" customFormat="1" x14ac:dyDescent="0.25">
      <c r="A466" s="12" t="s">
        <v>938</v>
      </c>
      <c r="B466" s="13" t="s">
        <v>939</v>
      </c>
      <c r="C466" s="14">
        <v>45648</v>
      </c>
      <c r="D466" s="13">
        <v>2024</v>
      </c>
      <c r="E466" s="13" t="s">
        <v>21</v>
      </c>
      <c r="F466" s="13" t="s">
        <v>25</v>
      </c>
      <c r="G466" s="15">
        <v>994.54</v>
      </c>
      <c r="H466" s="15">
        <v>994.54</v>
      </c>
      <c r="I466" s="13">
        <v>6</v>
      </c>
      <c r="J466" s="13">
        <v>6</v>
      </c>
      <c r="K466" s="13" t="s">
        <v>3346</v>
      </c>
      <c r="L466" s="15">
        <v>165.75666666666666</v>
      </c>
      <c r="M466" s="16">
        <v>165.75666666666666</v>
      </c>
    </row>
    <row r="467" spans="1:13" s="5" customFormat="1" x14ac:dyDescent="0.25">
      <c r="A467" s="12" t="s">
        <v>940</v>
      </c>
      <c r="B467" s="13" t="s">
        <v>941</v>
      </c>
      <c r="C467" s="14">
        <v>45011</v>
      </c>
      <c r="D467" s="13">
        <v>2023</v>
      </c>
      <c r="E467" s="13" t="s">
        <v>14</v>
      </c>
      <c r="F467" s="13" t="s">
        <v>25</v>
      </c>
      <c r="G467" s="15">
        <v>1641.43</v>
      </c>
      <c r="H467" s="15">
        <v>1641.43</v>
      </c>
      <c r="I467" s="13">
        <v>5</v>
      </c>
      <c r="J467" s="13">
        <v>5</v>
      </c>
      <c r="K467" s="13" t="s">
        <v>18</v>
      </c>
      <c r="L467" s="15">
        <v>328.286</v>
      </c>
      <c r="M467" s="16">
        <v>328.286</v>
      </c>
    </row>
    <row r="468" spans="1:13" s="5" customFormat="1" x14ac:dyDescent="0.25">
      <c r="A468" s="12" t="s">
        <v>942</v>
      </c>
      <c r="B468" s="13" t="s">
        <v>943</v>
      </c>
      <c r="C468" s="14">
        <v>45946</v>
      </c>
      <c r="D468" s="13">
        <v>2025</v>
      </c>
      <c r="E468" s="13" t="s">
        <v>21</v>
      </c>
      <c r="F468" s="13" t="s">
        <v>22</v>
      </c>
      <c r="G468" s="15">
        <v>321.20999999999998</v>
      </c>
      <c r="H468" s="15">
        <v>321.20999999999998</v>
      </c>
      <c r="I468" s="13">
        <v>8</v>
      </c>
      <c r="J468" s="13">
        <v>8</v>
      </c>
      <c r="K468" s="13" t="s">
        <v>3346</v>
      </c>
      <c r="L468" s="15">
        <v>40.151249999999997</v>
      </c>
      <c r="M468" s="16">
        <v>40.151249999999997</v>
      </c>
    </row>
    <row r="469" spans="1:13" s="5" customFormat="1" x14ac:dyDescent="0.25">
      <c r="A469" s="12" t="s">
        <v>944</v>
      </c>
      <c r="B469" s="13" t="s">
        <v>724</v>
      </c>
      <c r="C469" s="14">
        <v>45760</v>
      </c>
      <c r="D469" s="13">
        <v>2025</v>
      </c>
      <c r="E469" s="13" t="s">
        <v>21</v>
      </c>
      <c r="F469" s="13" t="s">
        <v>11</v>
      </c>
      <c r="G469" s="15"/>
      <c r="H469" s="15">
        <v>1647.65825</v>
      </c>
      <c r="I469" s="13">
        <v>6</v>
      </c>
      <c r="J469" s="13">
        <v>6</v>
      </c>
      <c r="K469" s="13" t="s">
        <v>35</v>
      </c>
      <c r="L469" s="15">
        <v>274.60970833333334</v>
      </c>
      <c r="M469" s="16">
        <v>274.60970833333334</v>
      </c>
    </row>
    <row r="470" spans="1:13" s="5" customFormat="1" x14ac:dyDescent="0.25">
      <c r="A470" s="12" t="s">
        <v>945</v>
      </c>
      <c r="B470" s="13" t="s">
        <v>946</v>
      </c>
      <c r="C470" s="14">
        <v>45510</v>
      </c>
      <c r="D470" s="13">
        <v>2024</v>
      </c>
      <c r="E470" s="13" t="s">
        <v>21</v>
      </c>
      <c r="F470" s="13" t="s">
        <v>34</v>
      </c>
      <c r="G470" s="15">
        <v>439.57</v>
      </c>
      <c r="H470" s="15">
        <v>439.57</v>
      </c>
      <c r="I470" s="13">
        <v>2</v>
      </c>
      <c r="J470" s="13">
        <v>2</v>
      </c>
      <c r="K470" s="13" t="s">
        <v>3346</v>
      </c>
      <c r="L470" s="15">
        <v>219.785</v>
      </c>
      <c r="M470" s="16">
        <v>219.785</v>
      </c>
    </row>
    <row r="471" spans="1:13" s="5" customFormat="1" x14ac:dyDescent="0.25">
      <c r="A471" s="12" t="s">
        <v>947</v>
      </c>
      <c r="B471" s="13" t="s">
        <v>948</v>
      </c>
      <c r="C471" s="14">
        <v>45195</v>
      </c>
      <c r="D471" s="13">
        <v>2023</v>
      </c>
      <c r="E471" s="13" t="s">
        <v>10</v>
      </c>
      <c r="F471" s="13" t="s">
        <v>34</v>
      </c>
      <c r="G471" s="15">
        <v>1167.8800000000001</v>
      </c>
      <c r="H471" s="15">
        <v>1167.8800000000001</v>
      </c>
      <c r="I471" s="13">
        <v>1</v>
      </c>
      <c r="J471" s="13">
        <v>1</v>
      </c>
      <c r="K471" s="13" t="s">
        <v>18</v>
      </c>
      <c r="L471" s="15">
        <v>1167.8800000000001</v>
      </c>
      <c r="M471" s="16">
        <v>1167.8800000000001</v>
      </c>
    </row>
    <row r="472" spans="1:13" s="5" customFormat="1" x14ac:dyDescent="0.25">
      <c r="A472" s="12" t="s">
        <v>949</v>
      </c>
      <c r="B472" s="13" t="s">
        <v>950</v>
      </c>
      <c r="C472" s="14">
        <v>45624</v>
      </c>
      <c r="D472" s="13">
        <v>2024</v>
      </c>
      <c r="E472" s="13" t="s">
        <v>14</v>
      </c>
      <c r="F472" s="13" t="s">
        <v>11</v>
      </c>
      <c r="G472" s="15">
        <v>1569.17</v>
      </c>
      <c r="H472" s="15">
        <v>1569.17</v>
      </c>
      <c r="I472" s="13">
        <v>6</v>
      </c>
      <c r="J472" s="13">
        <v>6</v>
      </c>
      <c r="K472" s="13" t="s">
        <v>3346</v>
      </c>
      <c r="L472" s="15">
        <v>261.52833333333336</v>
      </c>
      <c r="M472" s="16">
        <v>261.52833333333336</v>
      </c>
    </row>
    <row r="473" spans="1:13" s="5" customFormat="1" x14ac:dyDescent="0.25">
      <c r="A473" s="12" t="s">
        <v>951</v>
      </c>
      <c r="B473" s="13" t="s">
        <v>952</v>
      </c>
      <c r="C473" s="14">
        <v>45946</v>
      </c>
      <c r="D473" s="13">
        <v>2025</v>
      </c>
      <c r="E473" s="13" t="s">
        <v>3347</v>
      </c>
      <c r="F473" s="13" t="s">
        <v>34</v>
      </c>
      <c r="G473" s="15">
        <v>43.33</v>
      </c>
      <c r="H473" s="15">
        <v>43.33</v>
      </c>
      <c r="I473" s="13">
        <v>2</v>
      </c>
      <c r="J473" s="13">
        <v>2</v>
      </c>
      <c r="K473" s="13" t="s">
        <v>15</v>
      </c>
      <c r="L473" s="15">
        <v>21.664999999999999</v>
      </c>
      <c r="M473" s="16">
        <v>21.664999999999999</v>
      </c>
    </row>
    <row r="474" spans="1:13" s="5" customFormat="1" x14ac:dyDescent="0.25">
      <c r="A474" s="12" t="s">
        <v>953</v>
      </c>
      <c r="B474" s="13" t="s">
        <v>954</v>
      </c>
      <c r="C474" s="14">
        <v>45386</v>
      </c>
      <c r="D474" s="13">
        <v>2024</v>
      </c>
      <c r="E474" s="13" t="s">
        <v>10</v>
      </c>
      <c r="F474" s="13" t="s">
        <v>34</v>
      </c>
      <c r="G474" s="15">
        <v>1807.32</v>
      </c>
      <c r="H474" s="15">
        <v>1807.32</v>
      </c>
      <c r="I474" s="13">
        <v>2</v>
      </c>
      <c r="J474" s="13">
        <v>2</v>
      </c>
      <c r="K474" s="13" t="s">
        <v>3348</v>
      </c>
      <c r="L474" s="15">
        <v>903.66</v>
      </c>
      <c r="M474" s="16">
        <v>903.66</v>
      </c>
    </row>
    <row r="475" spans="1:13" s="5" customFormat="1" x14ac:dyDescent="0.25">
      <c r="A475" s="12" t="s">
        <v>955</v>
      </c>
      <c r="B475" s="13" t="s">
        <v>956</v>
      </c>
      <c r="C475" s="14">
        <v>45118</v>
      </c>
      <c r="D475" s="13">
        <v>2023</v>
      </c>
      <c r="E475" s="13" t="s">
        <v>14</v>
      </c>
      <c r="F475" s="13" t="s">
        <v>22</v>
      </c>
      <c r="G475" s="15">
        <v>1973.62</v>
      </c>
      <c r="H475" s="15">
        <v>1973.62</v>
      </c>
      <c r="I475" s="13">
        <v>4</v>
      </c>
      <c r="J475" s="13">
        <v>4</v>
      </c>
      <c r="K475" s="13" t="s">
        <v>18</v>
      </c>
      <c r="L475" s="15">
        <v>493.40499999999997</v>
      </c>
      <c r="M475" s="16">
        <v>493.40499999999997</v>
      </c>
    </row>
    <row r="476" spans="1:13" s="5" customFormat="1" x14ac:dyDescent="0.25">
      <c r="A476" s="12" t="s">
        <v>957</v>
      </c>
      <c r="B476" s="13" t="s">
        <v>958</v>
      </c>
      <c r="C476" s="14">
        <v>45438</v>
      </c>
      <c r="D476" s="13">
        <v>2024</v>
      </c>
      <c r="E476" s="13" t="s">
        <v>3347</v>
      </c>
      <c r="F476" s="13" t="s">
        <v>25</v>
      </c>
      <c r="G476" s="15">
        <v>1412.02</v>
      </c>
      <c r="H476" s="15">
        <v>1412.02</v>
      </c>
      <c r="I476" s="13">
        <v>9</v>
      </c>
      <c r="J476" s="13">
        <v>9</v>
      </c>
      <c r="K476" s="13" t="s">
        <v>3348</v>
      </c>
      <c r="L476" s="15">
        <v>156.89111111111112</v>
      </c>
      <c r="M476" s="16">
        <v>156.89111111111112</v>
      </c>
    </row>
    <row r="477" spans="1:13" s="5" customFormat="1" x14ac:dyDescent="0.25">
      <c r="A477" s="12" t="s">
        <v>959</v>
      </c>
      <c r="B477" s="13" t="s">
        <v>305</v>
      </c>
      <c r="C477" s="14">
        <v>45206</v>
      </c>
      <c r="D477" s="13">
        <v>2023</v>
      </c>
      <c r="E477" s="13" t="s">
        <v>3347</v>
      </c>
      <c r="F477" s="13" t="s">
        <v>22</v>
      </c>
      <c r="G477" s="15">
        <v>755.43</v>
      </c>
      <c r="H477" s="15">
        <v>755.43</v>
      </c>
      <c r="I477" s="13">
        <v>1</v>
      </c>
      <c r="J477" s="13">
        <v>1</v>
      </c>
      <c r="K477" s="13" t="s">
        <v>15</v>
      </c>
      <c r="L477" s="15">
        <v>755.43</v>
      </c>
      <c r="M477" s="16">
        <v>755.43</v>
      </c>
    </row>
    <row r="478" spans="1:13" s="5" customFormat="1" x14ac:dyDescent="0.25">
      <c r="A478" s="12" t="s">
        <v>960</v>
      </c>
      <c r="B478" s="13" t="s">
        <v>961</v>
      </c>
      <c r="C478" s="14">
        <v>44890</v>
      </c>
      <c r="D478" s="13">
        <v>2022</v>
      </c>
      <c r="E478" s="13" t="s">
        <v>21</v>
      </c>
      <c r="F478" s="13" t="s">
        <v>11</v>
      </c>
      <c r="G478" s="15">
        <v>1433.78</v>
      </c>
      <c r="H478" s="15">
        <v>1433.78</v>
      </c>
      <c r="I478" s="13">
        <v>6</v>
      </c>
      <c r="J478" s="13">
        <v>6</v>
      </c>
      <c r="K478" s="13" t="s">
        <v>3348</v>
      </c>
      <c r="L478" s="15">
        <v>238.96333333333334</v>
      </c>
      <c r="M478" s="16">
        <v>238.96333333333334</v>
      </c>
    </row>
    <row r="479" spans="1:13" s="5" customFormat="1" x14ac:dyDescent="0.25">
      <c r="A479" s="12" t="s">
        <v>962</v>
      </c>
      <c r="B479" s="13" t="s">
        <v>506</v>
      </c>
      <c r="C479" s="14">
        <v>45949</v>
      </c>
      <c r="D479" s="13">
        <v>2025</v>
      </c>
      <c r="E479" s="13" t="s">
        <v>14</v>
      </c>
      <c r="F479" s="13" t="s">
        <v>25</v>
      </c>
      <c r="G479" s="15"/>
      <c r="H479" s="15">
        <v>1007.5171858333338</v>
      </c>
      <c r="I479" s="13">
        <v>3</v>
      </c>
      <c r="J479" s="13">
        <v>3</v>
      </c>
      <c r="K479" s="13" t="s">
        <v>3346</v>
      </c>
      <c r="L479" s="15">
        <v>335.83906194444461</v>
      </c>
      <c r="M479" s="16">
        <v>335.83906194444461</v>
      </c>
    </row>
    <row r="480" spans="1:13" s="5" customFormat="1" x14ac:dyDescent="0.25">
      <c r="A480" s="12" t="s">
        <v>963</v>
      </c>
      <c r="B480" s="13" t="s">
        <v>964</v>
      </c>
      <c r="C480" s="14">
        <v>45825</v>
      </c>
      <c r="D480" s="13">
        <v>2025</v>
      </c>
      <c r="E480" s="13" t="s">
        <v>21</v>
      </c>
      <c r="F480" s="13" t="s">
        <v>34</v>
      </c>
      <c r="G480" s="15">
        <v>360.04</v>
      </c>
      <c r="H480" s="15">
        <v>360.04</v>
      </c>
      <c r="I480" s="13">
        <v>7</v>
      </c>
      <c r="J480" s="13">
        <v>7</v>
      </c>
      <c r="K480" s="13" t="s">
        <v>3348</v>
      </c>
      <c r="L480" s="15">
        <v>51.434285714285714</v>
      </c>
      <c r="M480" s="16">
        <v>51.434285714285714</v>
      </c>
    </row>
    <row r="481" spans="1:13" s="5" customFormat="1" x14ac:dyDescent="0.25">
      <c r="A481" s="12" t="s">
        <v>965</v>
      </c>
      <c r="B481" s="13" t="s">
        <v>966</v>
      </c>
      <c r="C481" s="14">
        <v>45488</v>
      </c>
      <c r="D481" s="13">
        <v>2024</v>
      </c>
      <c r="E481" s="13" t="s">
        <v>3347</v>
      </c>
      <c r="F481" s="13" t="s">
        <v>22</v>
      </c>
      <c r="G481" s="15"/>
      <c r="H481" s="15">
        <v>652.28488888888887</v>
      </c>
      <c r="I481" s="13">
        <v>2</v>
      </c>
      <c r="J481" s="13">
        <v>2</v>
      </c>
      <c r="K481" s="13" t="s">
        <v>35</v>
      </c>
      <c r="L481" s="15">
        <v>326.14244444444444</v>
      </c>
      <c r="M481" s="16">
        <v>326.14244444444444</v>
      </c>
    </row>
    <row r="482" spans="1:13" s="5" customFormat="1" x14ac:dyDescent="0.25">
      <c r="A482" s="12" t="s">
        <v>967</v>
      </c>
      <c r="B482" s="13" t="s">
        <v>968</v>
      </c>
      <c r="C482" s="14">
        <v>45657</v>
      </c>
      <c r="D482" s="13">
        <v>2024</v>
      </c>
      <c r="E482" s="13" t="s">
        <v>14</v>
      </c>
      <c r="F482" s="13" t="s">
        <v>25</v>
      </c>
      <c r="G482" s="15">
        <v>1151.18</v>
      </c>
      <c r="H482" s="15">
        <v>1151.18</v>
      </c>
      <c r="I482" s="13">
        <v>5</v>
      </c>
      <c r="J482" s="13">
        <v>5</v>
      </c>
      <c r="K482" s="13" t="s">
        <v>3346</v>
      </c>
      <c r="L482" s="15">
        <v>230.23600000000002</v>
      </c>
      <c r="M482" s="16">
        <v>230.23600000000002</v>
      </c>
    </row>
    <row r="483" spans="1:13" s="5" customFormat="1" x14ac:dyDescent="0.25">
      <c r="A483" s="12" t="s">
        <v>969</v>
      </c>
      <c r="B483" s="13" t="s">
        <v>970</v>
      </c>
      <c r="C483" s="14">
        <v>45720</v>
      </c>
      <c r="D483" s="13">
        <v>2025</v>
      </c>
      <c r="E483" s="13" t="s">
        <v>3347</v>
      </c>
      <c r="F483" s="13" t="s">
        <v>34</v>
      </c>
      <c r="G483" s="15">
        <v>887.76</v>
      </c>
      <c r="H483" s="15">
        <v>887.76</v>
      </c>
      <c r="I483" s="13">
        <v>2</v>
      </c>
      <c r="J483" s="13">
        <v>2</v>
      </c>
      <c r="K483" s="13" t="s">
        <v>15</v>
      </c>
      <c r="L483" s="15">
        <v>443.88</v>
      </c>
      <c r="M483" s="16">
        <v>443.88</v>
      </c>
    </row>
    <row r="484" spans="1:13" s="5" customFormat="1" x14ac:dyDescent="0.25">
      <c r="A484" s="12" t="s">
        <v>971</v>
      </c>
      <c r="B484" s="13" t="s">
        <v>972</v>
      </c>
      <c r="C484" s="14">
        <v>45561</v>
      </c>
      <c r="D484" s="13">
        <v>2024</v>
      </c>
      <c r="E484" s="13" t="s">
        <v>10</v>
      </c>
      <c r="F484" s="13" t="s">
        <v>34</v>
      </c>
      <c r="G484" s="15">
        <v>14.77</v>
      </c>
      <c r="H484" s="15">
        <v>14.77</v>
      </c>
      <c r="I484" s="13">
        <v>3</v>
      </c>
      <c r="J484" s="13">
        <v>3</v>
      </c>
      <c r="K484" s="13" t="s">
        <v>35</v>
      </c>
      <c r="L484" s="15">
        <v>4.9233333333333329</v>
      </c>
      <c r="M484" s="16">
        <v>4.9233333333333329</v>
      </c>
    </row>
    <row r="485" spans="1:13" s="5" customFormat="1" x14ac:dyDescent="0.25">
      <c r="A485" s="12" t="s">
        <v>973</v>
      </c>
      <c r="B485" s="13" t="s">
        <v>974</v>
      </c>
      <c r="C485" s="14">
        <v>45361</v>
      </c>
      <c r="D485" s="13">
        <v>2024</v>
      </c>
      <c r="E485" s="13" t="s">
        <v>21</v>
      </c>
      <c r="F485" s="13" t="s">
        <v>25</v>
      </c>
      <c r="G485" s="15">
        <v>1619.75</v>
      </c>
      <c r="H485" s="15">
        <v>1619.75</v>
      </c>
      <c r="I485" s="13">
        <v>8</v>
      </c>
      <c r="J485" s="13">
        <v>8</v>
      </c>
      <c r="K485" s="13" t="s">
        <v>3348</v>
      </c>
      <c r="L485" s="15">
        <v>202.46875</v>
      </c>
      <c r="M485" s="16">
        <v>202.46875</v>
      </c>
    </row>
    <row r="486" spans="1:13" s="5" customFormat="1" x14ac:dyDescent="0.25">
      <c r="A486" s="12" t="s">
        <v>975</v>
      </c>
      <c r="B486" s="13" t="s">
        <v>976</v>
      </c>
      <c r="C486" s="14">
        <v>45582</v>
      </c>
      <c r="D486" s="13">
        <v>2024</v>
      </c>
      <c r="E486" s="13" t="s">
        <v>14</v>
      </c>
      <c r="F486" s="13" t="s">
        <v>34</v>
      </c>
      <c r="G486" s="15">
        <v>1357.16</v>
      </c>
      <c r="H486" s="15">
        <v>1357.16</v>
      </c>
      <c r="I486" s="13">
        <v>6</v>
      </c>
      <c r="J486" s="13">
        <v>6</v>
      </c>
      <c r="K486" s="13" t="s">
        <v>18</v>
      </c>
      <c r="L486" s="15">
        <v>226.19333333333336</v>
      </c>
      <c r="M486" s="16">
        <v>226.19333333333336</v>
      </c>
    </row>
    <row r="487" spans="1:13" s="5" customFormat="1" x14ac:dyDescent="0.25">
      <c r="A487" s="12" t="s">
        <v>977</v>
      </c>
      <c r="B487" s="13" t="s">
        <v>978</v>
      </c>
      <c r="C487" s="14">
        <v>45150</v>
      </c>
      <c r="D487" s="13">
        <v>2023</v>
      </c>
      <c r="E487" s="13" t="s">
        <v>14</v>
      </c>
      <c r="F487" s="13" t="s">
        <v>34</v>
      </c>
      <c r="G487" s="15">
        <v>992.06</v>
      </c>
      <c r="H487" s="15">
        <v>992.06</v>
      </c>
      <c r="I487" s="13">
        <v>2</v>
      </c>
      <c r="J487" s="13">
        <v>2</v>
      </c>
      <c r="K487" s="13" t="s">
        <v>3346</v>
      </c>
      <c r="L487" s="15">
        <v>496.03</v>
      </c>
      <c r="M487" s="16">
        <v>496.03</v>
      </c>
    </row>
    <row r="488" spans="1:13" s="5" customFormat="1" x14ac:dyDescent="0.25">
      <c r="A488" s="12" t="s">
        <v>979</v>
      </c>
      <c r="B488" s="13" t="s">
        <v>980</v>
      </c>
      <c r="C488" s="14">
        <v>45020</v>
      </c>
      <c r="D488" s="13">
        <v>2023</v>
      </c>
      <c r="E488" s="13" t="s">
        <v>14</v>
      </c>
      <c r="F488" s="13" t="s">
        <v>25</v>
      </c>
      <c r="G488" s="15">
        <v>249.44</v>
      </c>
      <c r="H488" s="15">
        <v>249.44</v>
      </c>
      <c r="I488" s="13">
        <v>9</v>
      </c>
      <c r="J488" s="13">
        <v>9</v>
      </c>
      <c r="K488" s="13" t="s">
        <v>15</v>
      </c>
      <c r="L488" s="15">
        <v>27.715555555555554</v>
      </c>
      <c r="M488" s="16">
        <v>27.715555555555554</v>
      </c>
    </row>
    <row r="489" spans="1:13" s="5" customFormat="1" x14ac:dyDescent="0.25">
      <c r="A489" s="12" t="s">
        <v>981</v>
      </c>
      <c r="B489" s="13" t="s">
        <v>982</v>
      </c>
      <c r="C489" s="14">
        <v>45311</v>
      </c>
      <c r="D489" s="13">
        <v>2024</v>
      </c>
      <c r="E489" s="13" t="s">
        <v>14</v>
      </c>
      <c r="F489" s="13" t="s">
        <v>11</v>
      </c>
      <c r="G489" s="15">
        <v>564.28</v>
      </c>
      <c r="H489" s="15">
        <v>564.28</v>
      </c>
      <c r="I489" s="13"/>
      <c r="J489" s="13">
        <v>3</v>
      </c>
      <c r="K489" s="13" t="s">
        <v>3346</v>
      </c>
      <c r="L489" s="15">
        <v>188.09333333333333</v>
      </c>
      <c r="M489" s="16">
        <v>162.66860267857143</v>
      </c>
    </row>
    <row r="490" spans="1:13" s="5" customFormat="1" x14ac:dyDescent="0.25">
      <c r="A490" s="12" t="s">
        <v>983</v>
      </c>
      <c r="B490" s="13" t="s">
        <v>984</v>
      </c>
      <c r="C490" s="14">
        <v>44958</v>
      </c>
      <c r="D490" s="13">
        <v>2023</v>
      </c>
      <c r="E490" s="13" t="s">
        <v>10</v>
      </c>
      <c r="F490" s="13" t="s">
        <v>22</v>
      </c>
      <c r="G490" s="15">
        <v>1543.21</v>
      </c>
      <c r="H490" s="15">
        <v>1543.21</v>
      </c>
      <c r="I490" s="13">
        <v>7</v>
      </c>
      <c r="J490" s="13">
        <v>7</v>
      </c>
      <c r="K490" s="13" t="s">
        <v>18</v>
      </c>
      <c r="L490" s="15">
        <v>220.45857142857145</v>
      </c>
      <c r="M490" s="16">
        <v>220.45857142857145</v>
      </c>
    </row>
    <row r="491" spans="1:13" s="5" customFormat="1" x14ac:dyDescent="0.25">
      <c r="A491" s="12" t="s">
        <v>985</v>
      </c>
      <c r="B491" s="13" t="s">
        <v>986</v>
      </c>
      <c r="C491" s="14">
        <v>45493</v>
      </c>
      <c r="D491" s="13">
        <v>2024</v>
      </c>
      <c r="E491" s="13" t="s">
        <v>14</v>
      </c>
      <c r="F491" s="13" t="s">
        <v>34</v>
      </c>
      <c r="G491" s="15">
        <v>96.56</v>
      </c>
      <c r="H491" s="15">
        <v>96.56</v>
      </c>
      <c r="I491" s="13">
        <v>7</v>
      </c>
      <c r="J491" s="13">
        <v>7</v>
      </c>
      <c r="K491" s="13" t="s">
        <v>3348</v>
      </c>
      <c r="L491" s="15">
        <v>13.794285714285715</v>
      </c>
      <c r="M491" s="16">
        <v>13.794285714285715</v>
      </c>
    </row>
    <row r="492" spans="1:13" s="5" customFormat="1" x14ac:dyDescent="0.25">
      <c r="A492" s="12" t="s">
        <v>987</v>
      </c>
      <c r="B492" s="13" t="s">
        <v>988</v>
      </c>
      <c r="C492" s="14">
        <v>45891</v>
      </c>
      <c r="D492" s="13">
        <v>2025</v>
      </c>
      <c r="E492" s="13" t="s">
        <v>3347</v>
      </c>
      <c r="F492" s="13" t="s">
        <v>22</v>
      </c>
      <c r="G492" s="15">
        <v>1222.98</v>
      </c>
      <c r="H492" s="15">
        <v>1222.98</v>
      </c>
      <c r="I492" s="13">
        <v>10</v>
      </c>
      <c r="J492" s="13">
        <v>10</v>
      </c>
      <c r="K492" s="13" t="s">
        <v>3346</v>
      </c>
      <c r="L492" s="15">
        <v>122.298</v>
      </c>
      <c r="M492" s="16">
        <v>122.298</v>
      </c>
    </row>
    <row r="493" spans="1:13" s="5" customFormat="1" x14ac:dyDescent="0.25">
      <c r="A493" s="12" t="s">
        <v>989</v>
      </c>
      <c r="B493" s="13" t="s">
        <v>990</v>
      </c>
      <c r="C493" s="14">
        <v>45921</v>
      </c>
      <c r="D493" s="13">
        <v>2025</v>
      </c>
      <c r="E493" s="13" t="s">
        <v>3347</v>
      </c>
      <c r="F493" s="13" t="s">
        <v>25</v>
      </c>
      <c r="G493" s="15"/>
      <c r="H493" s="15">
        <v>1821.2793750000001</v>
      </c>
      <c r="I493" s="13">
        <v>3</v>
      </c>
      <c r="J493" s="13">
        <v>3</v>
      </c>
      <c r="K493" s="13" t="s">
        <v>3346</v>
      </c>
      <c r="L493" s="15">
        <v>607.09312499999999</v>
      </c>
      <c r="M493" s="16">
        <v>607.09312499999999</v>
      </c>
    </row>
    <row r="494" spans="1:13" s="5" customFormat="1" x14ac:dyDescent="0.25">
      <c r="A494" s="12" t="s">
        <v>991</v>
      </c>
      <c r="B494" s="13" t="s">
        <v>992</v>
      </c>
      <c r="C494" s="14">
        <v>45443</v>
      </c>
      <c r="D494" s="13">
        <v>2024</v>
      </c>
      <c r="E494" s="13" t="s">
        <v>14</v>
      </c>
      <c r="F494" s="13" t="s">
        <v>34</v>
      </c>
      <c r="G494" s="15">
        <v>1455.73</v>
      </c>
      <c r="H494" s="15">
        <v>1455.73</v>
      </c>
      <c r="I494" s="13"/>
      <c r="J494" s="13">
        <v>10</v>
      </c>
      <c r="K494" s="13" t="s">
        <v>35</v>
      </c>
      <c r="L494" s="15">
        <v>111.97923076923077</v>
      </c>
      <c r="M494" s="16">
        <v>111.54675510204082</v>
      </c>
    </row>
    <row r="495" spans="1:13" s="5" customFormat="1" x14ac:dyDescent="0.25">
      <c r="A495" s="12" t="s">
        <v>993</v>
      </c>
      <c r="B495" s="13" t="s">
        <v>994</v>
      </c>
      <c r="C495" s="14">
        <v>45718</v>
      </c>
      <c r="D495" s="13">
        <v>2025</v>
      </c>
      <c r="E495" s="13" t="s">
        <v>14</v>
      </c>
      <c r="F495" s="13" t="s">
        <v>34</v>
      </c>
      <c r="G495" s="15">
        <v>1634.93</v>
      </c>
      <c r="H495" s="15">
        <v>1634.93</v>
      </c>
      <c r="I495" s="13">
        <v>2</v>
      </c>
      <c r="J495" s="13">
        <v>2</v>
      </c>
      <c r="K495" s="13" t="s">
        <v>35</v>
      </c>
      <c r="L495" s="15">
        <v>817.46500000000003</v>
      </c>
      <c r="M495" s="16">
        <v>817.46500000000003</v>
      </c>
    </row>
    <row r="496" spans="1:13" s="5" customFormat="1" x14ac:dyDescent="0.25">
      <c r="A496" s="12" t="s">
        <v>995</v>
      </c>
      <c r="B496" s="13" t="s">
        <v>996</v>
      </c>
      <c r="C496" s="14">
        <v>45568</v>
      </c>
      <c r="D496" s="13">
        <v>2024</v>
      </c>
      <c r="E496" s="13" t="s">
        <v>3347</v>
      </c>
      <c r="F496" s="13" t="s">
        <v>22</v>
      </c>
      <c r="G496" s="15">
        <v>1045.33</v>
      </c>
      <c r="H496" s="15">
        <v>1045.33</v>
      </c>
      <c r="I496" s="13">
        <v>9</v>
      </c>
      <c r="J496" s="13">
        <v>9</v>
      </c>
      <c r="K496" s="13" t="s">
        <v>18</v>
      </c>
      <c r="L496" s="15">
        <v>116.14777777777778</v>
      </c>
      <c r="M496" s="16">
        <v>116.14777777777778</v>
      </c>
    </row>
    <row r="497" spans="1:13" s="5" customFormat="1" x14ac:dyDescent="0.25">
      <c r="A497" s="12" t="s">
        <v>997</v>
      </c>
      <c r="B497" s="13" t="s">
        <v>103</v>
      </c>
      <c r="C497" s="14">
        <v>44913</v>
      </c>
      <c r="D497" s="13">
        <v>2022</v>
      </c>
      <c r="E497" s="13" t="s">
        <v>14</v>
      </c>
      <c r="F497" s="13" t="s">
        <v>11</v>
      </c>
      <c r="G497" s="15">
        <v>488.09</v>
      </c>
      <c r="H497" s="15">
        <v>488.09</v>
      </c>
      <c r="I497" s="13">
        <v>8</v>
      </c>
      <c r="J497" s="13">
        <v>8</v>
      </c>
      <c r="K497" s="13" t="s">
        <v>3348</v>
      </c>
      <c r="L497" s="15">
        <v>61.011249999999997</v>
      </c>
      <c r="M497" s="16">
        <v>61.011249999999997</v>
      </c>
    </row>
    <row r="498" spans="1:13" s="5" customFormat="1" x14ac:dyDescent="0.25">
      <c r="A498" s="12" t="s">
        <v>998</v>
      </c>
      <c r="B498" s="13" t="s">
        <v>999</v>
      </c>
      <c r="C498" s="14">
        <v>45080</v>
      </c>
      <c r="D498" s="13">
        <v>2023</v>
      </c>
      <c r="E498" s="13" t="s">
        <v>14</v>
      </c>
      <c r="F498" s="13" t="s">
        <v>25</v>
      </c>
      <c r="G498" s="15">
        <v>651.55999999999995</v>
      </c>
      <c r="H498" s="15">
        <v>651.55999999999995</v>
      </c>
      <c r="I498" s="13">
        <v>3</v>
      </c>
      <c r="J498" s="13">
        <v>3</v>
      </c>
      <c r="K498" s="13" t="s">
        <v>3348</v>
      </c>
      <c r="L498" s="15">
        <v>217.18666666666664</v>
      </c>
      <c r="M498" s="16">
        <v>217.18666666666664</v>
      </c>
    </row>
    <row r="499" spans="1:13" s="5" customFormat="1" x14ac:dyDescent="0.25">
      <c r="A499" s="12" t="s">
        <v>1000</v>
      </c>
      <c r="B499" s="13" t="s">
        <v>1001</v>
      </c>
      <c r="C499" s="14">
        <v>45265</v>
      </c>
      <c r="D499" s="13">
        <v>2023</v>
      </c>
      <c r="E499" s="13" t="s">
        <v>10</v>
      </c>
      <c r="F499" s="13" t="s">
        <v>34</v>
      </c>
      <c r="G499" s="15"/>
      <c r="H499" s="15">
        <v>1490.9563915343913</v>
      </c>
      <c r="I499" s="13">
        <v>8</v>
      </c>
      <c r="J499" s="13">
        <v>8</v>
      </c>
      <c r="K499" s="13" t="s">
        <v>35</v>
      </c>
      <c r="L499" s="15">
        <v>186.36954894179891</v>
      </c>
      <c r="M499" s="16">
        <v>186.36954894179891</v>
      </c>
    </row>
    <row r="500" spans="1:13" s="5" customFormat="1" x14ac:dyDescent="0.25">
      <c r="A500" s="12" t="s">
        <v>1002</v>
      </c>
      <c r="B500" s="13" t="s">
        <v>1003</v>
      </c>
      <c r="C500" s="14">
        <v>45375</v>
      </c>
      <c r="D500" s="13">
        <v>2024</v>
      </c>
      <c r="E500" s="13" t="s">
        <v>10</v>
      </c>
      <c r="F500" s="13" t="s">
        <v>11</v>
      </c>
      <c r="G500" s="15"/>
      <c r="H500" s="15">
        <v>2284.8256937830683</v>
      </c>
      <c r="I500" s="13">
        <v>8</v>
      </c>
      <c r="J500" s="13">
        <v>8</v>
      </c>
      <c r="K500" s="13" t="s">
        <v>3348</v>
      </c>
      <c r="L500" s="15">
        <v>285.60321172288354</v>
      </c>
      <c r="M500" s="16">
        <v>285.60321172288354</v>
      </c>
    </row>
    <row r="501" spans="1:13" s="5" customFormat="1" x14ac:dyDescent="0.25">
      <c r="A501" s="12" t="s">
        <v>1004</v>
      </c>
      <c r="B501" s="13" t="s">
        <v>1005</v>
      </c>
      <c r="C501" s="14">
        <v>45529</v>
      </c>
      <c r="D501" s="13">
        <v>2024</v>
      </c>
      <c r="E501" s="13" t="s">
        <v>14</v>
      </c>
      <c r="F501" s="13" t="s">
        <v>34</v>
      </c>
      <c r="G501" s="15">
        <v>349.79</v>
      </c>
      <c r="H501" s="15">
        <v>349.79</v>
      </c>
      <c r="I501" s="13">
        <v>1</v>
      </c>
      <c r="J501" s="13">
        <v>1</v>
      </c>
      <c r="K501" s="13" t="s">
        <v>3348</v>
      </c>
      <c r="L501" s="15">
        <v>349.79</v>
      </c>
      <c r="M501" s="16">
        <v>349.79</v>
      </c>
    </row>
    <row r="502" spans="1:13" s="5" customFormat="1" x14ac:dyDescent="0.25">
      <c r="A502" s="12" t="s">
        <v>1006</v>
      </c>
      <c r="B502" s="13" t="s">
        <v>1007</v>
      </c>
      <c r="C502" s="14">
        <v>45602</v>
      </c>
      <c r="D502" s="13">
        <v>2024</v>
      </c>
      <c r="E502" s="13" t="s">
        <v>3347</v>
      </c>
      <c r="F502" s="13" t="s">
        <v>34</v>
      </c>
      <c r="G502" s="15">
        <v>1017.42</v>
      </c>
      <c r="H502" s="15">
        <v>1017.42</v>
      </c>
      <c r="I502" s="13">
        <v>4</v>
      </c>
      <c r="J502" s="13">
        <v>4</v>
      </c>
      <c r="K502" s="13" t="s">
        <v>35</v>
      </c>
      <c r="L502" s="15">
        <v>254.35499999999999</v>
      </c>
      <c r="M502" s="16">
        <v>254.35499999999999</v>
      </c>
    </row>
    <row r="503" spans="1:13" s="5" customFormat="1" x14ac:dyDescent="0.25">
      <c r="A503" s="12" t="s">
        <v>1008</v>
      </c>
      <c r="B503" s="13" t="s">
        <v>1009</v>
      </c>
      <c r="C503" s="14">
        <v>45691</v>
      </c>
      <c r="D503" s="13">
        <v>2025</v>
      </c>
      <c r="E503" s="13" t="s">
        <v>21</v>
      </c>
      <c r="F503" s="13" t="s">
        <v>22</v>
      </c>
      <c r="G503" s="15">
        <v>801.28</v>
      </c>
      <c r="H503" s="15">
        <v>801.28</v>
      </c>
      <c r="I503" s="13">
        <v>8</v>
      </c>
      <c r="J503" s="13">
        <v>8</v>
      </c>
      <c r="K503" s="13" t="s">
        <v>3348</v>
      </c>
      <c r="L503" s="15">
        <v>100.16</v>
      </c>
      <c r="M503" s="16">
        <v>100.16</v>
      </c>
    </row>
    <row r="504" spans="1:13" s="5" customFormat="1" x14ac:dyDescent="0.25">
      <c r="A504" s="12" t="s">
        <v>1010</v>
      </c>
      <c r="B504" s="13" t="s">
        <v>1011</v>
      </c>
      <c r="C504" s="14">
        <v>45698</v>
      </c>
      <c r="D504" s="13">
        <v>2025</v>
      </c>
      <c r="E504" s="13" t="s">
        <v>3347</v>
      </c>
      <c r="F504" s="13" t="s">
        <v>22</v>
      </c>
      <c r="G504" s="15">
        <v>399.12</v>
      </c>
      <c r="H504" s="15">
        <v>399.12</v>
      </c>
      <c r="I504" s="13"/>
      <c r="J504" s="13">
        <v>3</v>
      </c>
      <c r="K504" s="13" t="s">
        <v>15</v>
      </c>
      <c r="L504" s="15">
        <v>133.04</v>
      </c>
      <c r="M504" s="16">
        <v>135.2011613756614</v>
      </c>
    </row>
    <row r="505" spans="1:13" s="5" customFormat="1" x14ac:dyDescent="0.25">
      <c r="A505" s="12" t="s">
        <v>1012</v>
      </c>
      <c r="B505" s="13" t="s">
        <v>1013</v>
      </c>
      <c r="C505" s="14">
        <v>44943</v>
      </c>
      <c r="D505" s="13">
        <v>2023</v>
      </c>
      <c r="E505" s="13" t="s">
        <v>14</v>
      </c>
      <c r="F505" s="13" t="s">
        <v>22</v>
      </c>
      <c r="G505" s="15">
        <v>175.99</v>
      </c>
      <c r="H505" s="15">
        <v>175.99</v>
      </c>
      <c r="I505" s="13">
        <v>4</v>
      </c>
      <c r="J505" s="13">
        <v>4</v>
      </c>
      <c r="K505" s="13" t="s">
        <v>18</v>
      </c>
      <c r="L505" s="15">
        <v>43.997500000000002</v>
      </c>
      <c r="M505" s="16">
        <v>43.997500000000002</v>
      </c>
    </row>
    <row r="506" spans="1:13" s="5" customFormat="1" x14ac:dyDescent="0.25">
      <c r="A506" s="12" t="s">
        <v>1014</v>
      </c>
      <c r="B506" s="13" t="s">
        <v>1015</v>
      </c>
      <c r="C506" s="14">
        <v>45527</v>
      </c>
      <c r="D506" s="13">
        <v>2024</v>
      </c>
      <c r="E506" s="13" t="s">
        <v>14</v>
      </c>
      <c r="F506" s="13" t="s">
        <v>22</v>
      </c>
      <c r="G506" s="15">
        <v>920.8</v>
      </c>
      <c r="H506" s="15">
        <v>920.8</v>
      </c>
      <c r="I506" s="13">
        <v>10</v>
      </c>
      <c r="J506" s="13">
        <v>10</v>
      </c>
      <c r="K506" s="13" t="s">
        <v>15</v>
      </c>
      <c r="L506" s="15">
        <v>92.08</v>
      </c>
      <c r="M506" s="16">
        <v>92.08</v>
      </c>
    </row>
    <row r="507" spans="1:13" s="5" customFormat="1" x14ac:dyDescent="0.25">
      <c r="A507" s="12" t="s">
        <v>1016</v>
      </c>
      <c r="B507" s="13" t="s">
        <v>1017</v>
      </c>
      <c r="C507" s="14">
        <v>44874</v>
      </c>
      <c r="D507" s="13">
        <v>2022</v>
      </c>
      <c r="E507" s="13" t="s">
        <v>21</v>
      </c>
      <c r="F507" s="13" t="s">
        <v>11</v>
      </c>
      <c r="G507" s="15">
        <v>1954.71</v>
      </c>
      <c r="H507" s="15">
        <v>1954.71</v>
      </c>
      <c r="I507" s="13">
        <v>2</v>
      </c>
      <c r="J507" s="13">
        <v>2</v>
      </c>
      <c r="K507" s="13" t="s">
        <v>35</v>
      </c>
      <c r="L507" s="15">
        <v>977.35500000000002</v>
      </c>
      <c r="M507" s="16">
        <v>977.35500000000002</v>
      </c>
    </row>
    <row r="508" spans="1:13" s="5" customFormat="1" x14ac:dyDescent="0.25">
      <c r="A508" s="12" t="s">
        <v>1018</v>
      </c>
      <c r="B508" s="13" t="s">
        <v>1019</v>
      </c>
      <c r="C508" s="14">
        <v>45907</v>
      </c>
      <c r="D508" s="13">
        <v>2025</v>
      </c>
      <c r="E508" s="13" t="s">
        <v>14</v>
      </c>
      <c r="F508" s="13" t="s">
        <v>25</v>
      </c>
      <c r="G508" s="15">
        <v>264.04000000000002</v>
      </c>
      <c r="H508" s="15">
        <v>264.04000000000002</v>
      </c>
      <c r="I508" s="13">
        <v>2</v>
      </c>
      <c r="J508" s="13">
        <v>2</v>
      </c>
      <c r="K508" s="13" t="s">
        <v>3348</v>
      </c>
      <c r="L508" s="15">
        <v>132.02000000000001</v>
      </c>
      <c r="M508" s="16">
        <v>132.02000000000001</v>
      </c>
    </row>
    <row r="509" spans="1:13" s="5" customFormat="1" x14ac:dyDescent="0.25">
      <c r="A509" s="12" t="s">
        <v>1020</v>
      </c>
      <c r="B509" s="13" t="s">
        <v>1021</v>
      </c>
      <c r="C509" s="14">
        <v>45752</v>
      </c>
      <c r="D509" s="13">
        <v>2025</v>
      </c>
      <c r="E509" s="13" t="s">
        <v>10</v>
      </c>
      <c r="F509" s="13" t="s">
        <v>11</v>
      </c>
      <c r="G509" s="15">
        <v>1776.91</v>
      </c>
      <c r="H509" s="15">
        <v>1776.91</v>
      </c>
      <c r="I509" s="13"/>
      <c r="J509" s="13">
        <v>10</v>
      </c>
      <c r="K509" s="13" t="s">
        <v>3348</v>
      </c>
      <c r="L509" s="15">
        <v>161.53727272727272</v>
      </c>
      <c r="M509" s="16">
        <v>159.98055555555553</v>
      </c>
    </row>
    <row r="510" spans="1:13" s="5" customFormat="1" x14ac:dyDescent="0.25">
      <c r="A510" s="12" t="s">
        <v>1022</v>
      </c>
      <c r="B510" s="13" t="s">
        <v>1023</v>
      </c>
      <c r="C510" s="14">
        <v>45078</v>
      </c>
      <c r="D510" s="13">
        <v>2023</v>
      </c>
      <c r="E510" s="13" t="s">
        <v>21</v>
      </c>
      <c r="F510" s="13" t="s">
        <v>34</v>
      </c>
      <c r="G510" s="15">
        <v>1439.16</v>
      </c>
      <c r="H510" s="15">
        <v>1439.16</v>
      </c>
      <c r="I510" s="13">
        <v>5</v>
      </c>
      <c r="J510" s="13">
        <v>5</v>
      </c>
      <c r="K510" s="13" t="s">
        <v>3346</v>
      </c>
      <c r="L510" s="15">
        <v>287.83199999999999</v>
      </c>
      <c r="M510" s="16">
        <v>287.83199999999999</v>
      </c>
    </row>
    <row r="511" spans="1:13" s="5" customFormat="1" x14ac:dyDescent="0.25">
      <c r="A511" s="12" t="s">
        <v>1024</v>
      </c>
      <c r="B511" s="13" t="s">
        <v>1025</v>
      </c>
      <c r="C511" s="14">
        <v>45527</v>
      </c>
      <c r="D511" s="13">
        <v>2024</v>
      </c>
      <c r="E511" s="13" t="s">
        <v>3347</v>
      </c>
      <c r="F511" s="13" t="s">
        <v>34</v>
      </c>
      <c r="G511" s="15">
        <v>1903.83</v>
      </c>
      <c r="H511" s="15">
        <v>1903.83</v>
      </c>
      <c r="I511" s="13">
        <v>3</v>
      </c>
      <c r="J511" s="13">
        <v>3</v>
      </c>
      <c r="K511" s="13" t="s">
        <v>3348</v>
      </c>
      <c r="L511" s="15">
        <v>634.61</v>
      </c>
      <c r="M511" s="16">
        <v>634.61</v>
      </c>
    </row>
    <row r="512" spans="1:13" s="5" customFormat="1" x14ac:dyDescent="0.25">
      <c r="A512" s="12" t="s">
        <v>1026</v>
      </c>
      <c r="B512" s="13" t="s">
        <v>1027</v>
      </c>
      <c r="C512" s="14">
        <v>45492</v>
      </c>
      <c r="D512" s="13">
        <v>2024</v>
      </c>
      <c r="E512" s="13" t="s">
        <v>14</v>
      </c>
      <c r="F512" s="13" t="s">
        <v>22</v>
      </c>
      <c r="G512" s="15">
        <v>1324.9</v>
      </c>
      <c r="H512" s="15">
        <v>1324.9</v>
      </c>
      <c r="I512" s="13">
        <v>5</v>
      </c>
      <c r="J512" s="13">
        <v>5</v>
      </c>
      <c r="K512" s="13" t="s">
        <v>15</v>
      </c>
      <c r="L512" s="15">
        <v>264.98</v>
      </c>
      <c r="M512" s="16">
        <v>264.98</v>
      </c>
    </row>
    <row r="513" spans="1:13" s="5" customFormat="1" x14ac:dyDescent="0.25">
      <c r="A513" s="12" t="s">
        <v>1028</v>
      </c>
      <c r="B513" s="13" t="s">
        <v>1029</v>
      </c>
      <c r="C513" s="14">
        <v>45650</v>
      </c>
      <c r="D513" s="13">
        <v>2024</v>
      </c>
      <c r="E513" s="13" t="s">
        <v>21</v>
      </c>
      <c r="F513" s="13" t="s">
        <v>22</v>
      </c>
      <c r="G513" s="15">
        <v>1502.76</v>
      </c>
      <c r="H513" s="15">
        <v>1502.76</v>
      </c>
      <c r="I513" s="13">
        <v>5</v>
      </c>
      <c r="J513" s="13">
        <v>5</v>
      </c>
      <c r="K513" s="13" t="s">
        <v>35</v>
      </c>
      <c r="L513" s="15">
        <v>300.55200000000002</v>
      </c>
      <c r="M513" s="16">
        <v>300.55200000000002</v>
      </c>
    </row>
    <row r="514" spans="1:13" s="5" customFormat="1" x14ac:dyDescent="0.25">
      <c r="A514" s="12" t="s">
        <v>1030</v>
      </c>
      <c r="B514" s="13" t="s">
        <v>1031</v>
      </c>
      <c r="C514" s="14">
        <v>45869</v>
      </c>
      <c r="D514" s="13">
        <v>2025</v>
      </c>
      <c r="E514" s="13" t="s">
        <v>21</v>
      </c>
      <c r="F514" s="13" t="s">
        <v>11</v>
      </c>
      <c r="G514" s="15">
        <v>1634.51</v>
      </c>
      <c r="H514" s="15">
        <v>1634.51</v>
      </c>
      <c r="I514" s="13">
        <v>4</v>
      </c>
      <c r="J514" s="13">
        <v>4</v>
      </c>
      <c r="K514" s="13" t="s">
        <v>3348</v>
      </c>
      <c r="L514" s="15">
        <v>408.6275</v>
      </c>
      <c r="M514" s="16">
        <v>408.6275</v>
      </c>
    </row>
    <row r="515" spans="1:13" s="5" customFormat="1" x14ac:dyDescent="0.25">
      <c r="A515" s="12" t="s">
        <v>1032</v>
      </c>
      <c r="B515" s="13" t="s">
        <v>1033</v>
      </c>
      <c r="C515" s="14">
        <v>44868</v>
      </c>
      <c r="D515" s="13">
        <v>2022</v>
      </c>
      <c r="E515" s="13" t="s">
        <v>3347</v>
      </c>
      <c r="F515" s="13" t="s">
        <v>25</v>
      </c>
      <c r="G515" s="15">
        <v>493.68</v>
      </c>
      <c r="H515" s="15">
        <v>493.68</v>
      </c>
      <c r="I515" s="13"/>
      <c r="J515" s="13">
        <v>6</v>
      </c>
      <c r="K515" s="13" t="s">
        <v>18</v>
      </c>
      <c r="L515" s="15">
        <v>82.28</v>
      </c>
      <c r="M515" s="16">
        <v>89.538749999999993</v>
      </c>
    </row>
    <row r="516" spans="1:13" s="5" customFormat="1" x14ac:dyDescent="0.25">
      <c r="A516" s="12" t="s">
        <v>1034</v>
      </c>
      <c r="B516" s="13" t="s">
        <v>1035</v>
      </c>
      <c r="C516" s="14">
        <v>45023</v>
      </c>
      <c r="D516" s="13">
        <v>2023</v>
      </c>
      <c r="E516" s="13" t="s">
        <v>10</v>
      </c>
      <c r="F516" s="13" t="s">
        <v>34</v>
      </c>
      <c r="G516" s="15">
        <v>1744.46</v>
      </c>
      <c r="H516" s="15">
        <v>1744.46</v>
      </c>
      <c r="I516" s="13">
        <v>6</v>
      </c>
      <c r="J516" s="13">
        <v>6</v>
      </c>
      <c r="K516" s="13" t="s">
        <v>18</v>
      </c>
      <c r="L516" s="15">
        <v>290.74333333333334</v>
      </c>
      <c r="M516" s="16">
        <v>290.74333333333334</v>
      </c>
    </row>
    <row r="517" spans="1:13" s="5" customFormat="1" x14ac:dyDescent="0.25">
      <c r="A517" s="12" t="s">
        <v>1036</v>
      </c>
      <c r="B517" s="13" t="s">
        <v>1037</v>
      </c>
      <c r="C517" s="14">
        <v>45810</v>
      </c>
      <c r="D517" s="13">
        <v>2025</v>
      </c>
      <c r="E517" s="13" t="s">
        <v>21</v>
      </c>
      <c r="F517" s="13" t="s">
        <v>22</v>
      </c>
      <c r="G517" s="15">
        <v>395.28</v>
      </c>
      <c r="H517" s="15">
        <v>395.28</v>
      </c>
      <c r="I517" s="13">
        <v>3</v>
      </c>
      <c r="J517" s="13">
        <v>3</v>
      </c>
      <c r="K517" s="13" t="s">
        <v>3346</v>
      </c>
      <c r="L517" s="15">
        <v>131.76</v>
      </c>
      <c r="M517" s="16">
        <v>131.76</v>
      </c>
    </row>
    <row r="518" spans="1:13" s="5" customFormat="1" x14ac:dyDescent="0.25">
      <c r="A518" s="12" t="s">
        <v>1038</v>
      </c>
      <c r="B518" s="13" t="s">
        <v>1039</v>
      </c>
      <c r="C518" s="14">
        <v>44974</v>
      </c>
      <c r="D518" s="13">
        <v>2023</v>
      </c>
      <c r="E518" s="13" t="s">
        <v>14</v>
      </c>
      <c r="F518" s="13" t="s">
        <v>34</v>
      </c>
      <c r="G518" s="15">
        <v>574.44000000000005</v>
      </c>
      <c r="H518" s="15">
        <v>574.44000000000005</v>
      </c>
      <c r="I518" s="13">
        <v>8</v>
      </c>
      <c r="J518" s="13">
        <v>8</v>
      </c>
      <c r="K518" s="13" t="s">
        <v>15</v>
      </c>
      <c r="L518" s="15">
        <v>71.805000000000007</v>
      </c>
      <c r="M518" s="16">
        <v>71.805000000000007</v>
      </c>
    </row>
    <row r="519" spans="1:13" s="5" customFormat="1" x14ac:dyDescent="0.25">
      <c r="A519" s="12" t="s">
        <v>1040</v>
      </c>
      <c r="B519" s="13" t="s">
        <v>1041</v>
      </c>
      <c r="C519" s="14">
        <v>45571</v>
      </c>
      <c r="D519" s="13">
        <v>2024</v>
      </c>
      <c r="E519" s="13" t="s">
        <v>3347</v>
      </c>
      <c r="F519" s="13" t="s">
        <v>22</v>
      </c>
      <c r="G519" s="15">
        <v>62.78</v>
      </c>
      <c r="H519" s="15">
        <v>62.78</v>
      </c>
      <c r="I519" s="13">
        <v>2</v>
      </c>
      <c r="J519" s="13">
        <v>2</v>
      </c>
      <c r="K519" s="13" t="s">
        <v>15</v>
      </c>
      <c r="L519" s="15">
        <v>31.39</v>
      </c>
      <c r="M519" s="16">
        <v>31.39</v>
      </c>
    </row>
    <row r="520" spans="1:13" s="5" customFormat="1" x14ac:dyDescent="0.25">
      <c r="A520" s="12" t="s">
        <v>1042</v>
      </c>
      <c r="B520" s="13" t="s">
        <v>1043</v>
      </c>
      <c r="C520" s="14">
        <v>45402</v>
      </c>
      <c r="D520" s="13">
        <v>2024</v>
      </c>
      <c r="E520" s="13" t="s">
        <v>10</v>
      </c>
      <c r="F520" s="13" t="s">
        <v>34</v>
      </c>
      <c r="G520" s="15">
        <v>331.76</v>
      </c>
      <c r="H520" s="15">
        <v>331.76</v>
      </c>
      <c r="I520" s="13">
        <v>2</v>
      </c>
      <c r="J520" s="13">
        <v>2</v>
      </c>
      <c r="K520" s="13" t="s">
        <v>3346</v>
      </c>
      <c r="L520" s="15">
        <v>165.88</v>
      </c>
      <c r="M520" s="16">
        <v>165.88</v>
      </c>
    </row>
    <row r="521" spans="1:13" s="5" customFormat="1" x14ac:dyDescent="0.25">
      <c r="A521" s="12" t="s">
        <v>1044</v>
      </c>
      <c r="B521" s="13" t="s">
        <v>1045</v>
      </c>
      <c r="C521" s="14">
        <v>45056</v>
      </c>
      <c r="D521" s="13">
        <v>2023</v>
      </c>
      <c r="E521" s="13" t="s">
        <v>14</v>
      </c>
      <c r="F521" s="13" t="s">
        <v>25</v>
      </c>
      <c r="G521" s="15">
        <v>1199.3599999999999</v>
      </c>
      <c r="H521" s="15">
        <v>1199.3599999999999</v>
      </c>
      <c r="I521" s="13">
        <v>3</v>
      </c>
      <c r="J521" s="13">
        <v>3</v>
      </c>
      <c r="K521" s="13" t="s">
        <v>3346</v>
      </c>
      <c r="L521" s="15">
        <v>399.78666666666663</v>
      </c>
      <c r="M521" s="16">
        <v>399.78666666666663</v>
      </c>
    </row>
    <row r="522" spans="1:13" s="5" customFormat="1" x14ac:dyDescent="0.25">
      <c r="A522" s="12" t="s">
        <v>1046</v>
      </c>
      <c r="B522" s="13" t="s">
        <v>1047</v>
      </c>
      <c r="C522" s="14">
        <v>45708</v>
      </c>
      <c r="D522" s="13">
        <v>2025</v>
      </c>
      <c r="E522" s="13" t="s">
        <v>3347</v>
      </c>
      <c r="F522" s="13" t="s">
        <v>22</v>
      </c>
      <c r="G522" s="15">
        <v>629.54</v>
      </c>
      <c r="H522" s="15">
        <v>629.54</v>
      </c>
      <c r="I522" s="13">
        <v>8</v>
      </c>
      <c r="J522" s="13">
        <v>8</v>
      </c>
      <c r="K522" s="13" t="s">
        <v>15</v>
      </c>
      <c r="L522" s="15">
        <v>78.692499999999995</v>
      </c>
      <c r="M522" s="16">
        <v>78.692499999999995</v>
      </c>
    </row>
    <row r="523" spans="1:13" s="5" customFormat="1" x14ac:dyDescent="0.25">
      <c r="A523" s="12" t="s">
        <v>1048</v>
      </c>
      <c r="B523" s="13" t="s">
        <v>1049</v>
      </c>
      <c r="C523" s="14">
        <v>45601</v>
      </c>
      <c r="D523" s="13">
        <v>2024</v>
      </c>
      <c r="E523" s="13" t="s">
        <v>21</v>
      </c>
      <c r="F523" s="13" t="s">
        <v>34</v>
      </c>
      <c r="G523" s="15">
        <v>1131.1400000000001</v>
      </c>
      <c r="H523" s="15">
        <v>1131.1400000000001</v>
      </c>
      <c r="I523" s="13">
        <v>6</v>
      </c>
      <c r="J523" s="13">
        <v>6</v>
      </c>
      <c r="K523" s="13" t="s">
        <v>18</v>
      </c>
      <c r="L523" s="15">
        <v>188.52333333333334</v>
      </c>
      <c r="M523" s="16">
        <v>188.52333333333334</v>
      </c>
    </row>
    <row r="524" spans="1:13" s="5" customFormat="1" x14ac:dyDescent="0.25">
      <c r="A524" s="12" t="s">
        <v>1050</v>
      </c>
      <c r="B524" s="13" t="s">
        <v>1051</v>
      </c>
      <c r="C524" s="14">
        <v>45543</v>
      </c>
      <c r="D524" s="13">
        <v>2024</v>
      </c>
      <c r="E524" s="13" t="s">
        <v>14</v>
      </c>
      <c r="F524" s="13" t="s">
        <v>22</v>
      </c>
      <c r="G524" s="15">
        <v>1896.62</v>
      </c>
      <c r="H524" s="15">
        <v>1896.62</v>
      </c>
      <c r="I524" s="13">
        <v>4</v>
      </c>
      <c r="J524" s="13">
        <v>4</v>
      </c>
      <c r="K524" s="13" t="s">
        <v>35</v>
      </c>
      <c r="L524" s="15">
        <v>474.15499999999997</v>
      </c>
      <c r="M524" s="16">
        <v>474.15499999999997</v>
      </c>
    </row>
    <row r="525" spans="1:13" s="5" customFormat="1" x14ac:dyDescent="0.25">
      <c r="A525" s="12" t="s">
        <v>1052</v>
      </c>
      <c r="B525" s="13" t="s">
        <v>1053</v>
      </c>
      <c r="C525" s="14">
        <v>45858</v>
      </c>
      <c r="D525" s="13">
        <v>2025</v>
      </c>
      <c r="E525" s="13" t="s">
        <v>10</v>
      </c>
      <c r="F525" s="13" t="s">
        <v>34</v>
      </c>
      <c r="G525" s="15">
        <v>672.47</v>
      </c>
      <c r="H525" s="15">
        <v>672.47</v>
      </c>
      <c r="I525" s="13">
        <v>1</v>
      </c>
      <c r="J525" s="13">
        <v>1</v>
      </c>
      <c r="K525" s="13" t="s">
        <v>3348</v>
      </c>
      <c r="L525" s="15">
        <v>672.47</v>
      </c>
      <c r="M525" s="16">
        <v>672.47</v>
      </c>
    </row>
    <row r="526" spans="1:13" s="5" customFormat="1" x14ac:dyDescent="0.25">
      <c r="A526" s="12" t="s">
        <v>1054</v>
      </c>
      <c r="B526" s="13" t="s">
        <v>1055</v>
      </c>
      <c r="C526" s="14">
        <v>45258</v>
      </c>
      <c r="D526" s="13">
        <v>2023</v>
      </c>
      <c r="E526" s="13" t="s">
        <v>21</v>
      </c>
      <c r="F526" s="13" t="s">
        <v>25</v>
      </c>
      <c r="G526" s="15">
        <v>330.47</v>
      </c>
      <c r="H526" s="15">
        <v>330.47</v>
      </c>
      <c r="I526" s="13">
        <v>2</v>
      </c>
      <c r="J526" s="13">
        <v>2</v>
      </c>
      <c r="K526" s="13" t="s">
        <v>18</v>
      </c>
      <c r="L526" s="15">
        <v>165.23500000000001</v>
      </c>
      <c r="M526" s="16">
        <v>165.23500000000001</v>
      </c>
    </row>
    <row r="527" spans="1:13" s="5" customFormat="1" x14ac:dyDescent="0.25">
      <c r="A527" s="12" t="s">
        <v>1056</v>
      </c>
      <c r="B527" s="13" t="s">
        <v>1057</v>
      </c>
      <c r="C527" s="14">
        <v>45555</v>
      </c>
      <c r="D527" s="13">
        <v>2024</v>
      </c>
      <c r="E527" s="13" t="s">
        <v>10</v>
      </c>
      <c r="F527" s="13" t="s">
        <v>34</v>
      </c>
      <c r="G527" s="15">
        <v>1724.76</v>
      </c>
      <c r="H527" s="15">
        <v>1724.76</v>
      </c>
      <c r="I527" s="13">
        <v>9</v>
      </c>
      <c r="J527" s="13">
        <v>9</v>
      </c>
      <c r="K527" s="13" t="s">
        <v>3346</v>
      </c>
      <c r="L527" s="15">
        <v>191.64</v>
      </c>
      <c r="M527" s="16">
        <v>191.64</v>
      </c>
    </row>
    <row r="528" spans="1:13" s="5" customFormat="1" x14ac:dyDescent="0.25">
      <c r="A528" s="12" t="s">
        <v>1058</v>
      </c>
      <c r="B528" s="13" t="s">
        <v>1059</v>
      </c>
      <c r="C528" s="14">
        <v>45262</v>
      </c>
      <c r="D528" s="13">
        <v>2023</v>
      </c>
      <c r="E528" s="13" t="s">
        <v>3347</v>
      </c>
      <c r="F528" s="13" t="s">
        <v>25</v>
      </c>
      <c r="G528" s="15">
        <v>1869.56</v>
      </c>
      <c r="H528" s="15">
        <v>1869.56</v>
      </c>
      <c r="I528" s="13">
        <v>5</v>
      </c>
      <c r="J528" s="13">
        <v>5</v>
      </c>
      <c r="K528" s="13" t="s">
        <v>3346</v>
      </c>
      <c r="L528" s="15">
        <v>373.91199999999998</v>
      </c>
      <c r="M528" s="16">
        <v>373.91199999999998</v>
      </c>
    </row>
    <row r="529" spans="1:13" s="5" customFormat="1" x14ac:dyDescent="0.25">
      <c r="A529" s="12" t="s">
        <v>1060</v>
      </c>
      <c r="B529" s="13" t="s">
        <v>1061</v>
      </c>
      <c r="C529" s="14">
        <v>45172</v>
      </c>
      <c r="D529" s="13">
        <v>2023</v>
      </c>
      <c r="E529" s="13" t="s">
        <v>3347</v>
      </c>
      <c r="F529" s="13" t="s">
        <v>22</v>
      </c>
      <c r="G529" s="15">
        <v>1910.65</v>
      </c>
      <c r="H529" s="15">
        <v>1910.65</v>
      </c>
      <c r="I529" s="13">
        <v>2</v>
      </c>
      <c r="J529" s="13">
        <v>2</v>
      </c>
      <c r="K529" s="13" t="s">
        <v>3346</v>
      </c>
      <c r="L529" s="15">
        <v>955.32500000000005</v>
      </c>
      <c r="M529" s="16">
        <v>955.32500000000005</v>
      </c>
    </row>
    <row r="530" spans="1:13" s="5" customFormat="1" x14ac:dyDescent="0.25">
      <c r="A530" s="12" t="s">
        <v>1062</v>
      </c>
      <c r="B530" s="13" t="s">
        <v>1063</v>
      </c>
      <c r="C530" s="14">
        <v>44951</v>
      </c>
      <c r="D530" s="13">
        <v>2023</v>
      </c>
      <c r="E530" s="13" t="s">
        <v>3347</v>
      </c>
      <c r="F530" s="13" t="s">
        <v>34</v>
      </c>
      <c r="G530" s="15">
        <v>1466.22</v>
      </c>
      <c r="H530" s="15">
        <v>1466.22</v>
      </c>
      <c r="I530" s="13">
        <v>3</v>
      </c>
      <c r="J530" s="13">
        <v>3</v>
      </c>
      <c r="K530" s="13" t="s">
        <v>3346</v>
      </c>
      <c r="L530" s="15">
        <v>488.74</v>
      </c>
      <c r="M530" s="16">
        <v>488.74</v>
      </c>
    </row>
    <row r="531" spans="1:13" s="5" customFormat="1" x14ac:dyDescent="0.25">
      <c r="A531" s="12" t="s">
        <v>1064</v>
      </c>
      <c r="B531" s="13" t="s">
        <v>1065</v>
      </c>
      <c r="C531" s="14">
        <v>45407</v>
      </c>
      <c r="D531" s="13">
        <v>2024</v>
      </c>
      <c r="E531" s="13" t="s">
        <v>21</v>
      </c>
      <c r="F531" s="13" t="s">
        <v>22</v>
      </c>
      <c r="G531" s="15">
        <v>810.97</v>
      </c>
      <c r="H531" s="15">
        <v>810.97</v>
      </c>
      <c r="I531" s="13">
        <v>1</v>
      </c>
      <c r="J531" s="13">
        <v>1</v>
      </c>
      <c r="K531" s="13" t="s">
        <v>3348</v>
      </c>
      <c r="L531" s="15">
        <v>810.97</v>
      </c>
      <c r="M531" s="16">
        <v>810.97</v>
      </c>
    </row>
    <row r="532" spans="1:13" s="5" customFormat="1" x14ac:dyDescent="0.25">
      <c r="A532" s="12" t="s">
        <v>1066</v>
      </c>
      <c r="B532" s="13" t="s">
        <v>1067</v>
      </c>
      <c r="C532" s="14">
        <v>45095</v>
      </c>
      <c r="D532" s="13">
        <v>2023</v>
      </c>
      <c r="E532" s="13" t="s">
        <v>3347</v>
      </c>
      <c r="F532" s="13" t="s">
        <v>34</v>
      </c>
      <c r="G532" s="15">
        <v>1156.4100000000001</v>
      </c>
      <c r="H532" s="15">
        <v>1156.4100000000001</v>
      </c>
      <c r="I532" s="13">
        <v>8</v>
      </c>
      <c r="J532" s="13">
        <v>8</v>
      </c>
      <c r="K532" s="13" t="s">
        <v>35</v>
      </c>
      <c r="L532" s="15">
        <v>144.55125000000001</v>
      </c>
      <c r="M532" s="16">
        <v>144.55125000000001</v>
      </c>
    </row>
    <row r="533" spans="1:13" s="5" customFormat="1" x14ac:dyDescent="0.25">
      <c r="A533" s="12" t="s">
        <v>1068</v>
      </c>
      <c r="B533" s="13" t="s">
        <v>405</v>
      </c>
      <c r="C533" s="14">
        <v>45572</v>
      </c>
      <c r="D533" s="13">
        <v>2024</v>
      </c>
      <c r="E533" s="13" t="s">
        <v>14</v>
      </c>
      <c r="F533" s="13" t="s">
        <v>25</v>
      </c>
      <c r="G533" s="15">
        <v>1702.17</v>
      </c>
      <c r="H533" s="15">
        <v>1702.17</v>
      </c>
      <c r="I533" s="13">
        <v>7</v>
      </c>
      <c r="J533" s="13">
        <v>7</v>
      </c>
      <c r="K533" s="13" t="s">
        <v>15</v>
      </c>
      <c r="L533" s="15">
        <v>243.16714285714286</v>
      </c>
      <c r="M533" s="16">
        <v>243.16714285714286</v>
      </c>
    </row>
    <row r="534" spans="1:13" s="5" customFormat="1" x14ac:dyDescent="0.25">
      <c r="A534" s="12" t="s">
        <v>1069</v>
      </c>
      <c r="B534" s="13" t="s">
        <v>1070</v>
      </c>
      <c r="C534" s="14">
        <v>44945</v>
      </c>
      <c r="D534" s="13">
        <v>2023</v>
      </c>
      <c r="E534" s="13" t="s">
        <v>21</v>
      </c>
      <c r="F534" s="13" t="s">
        <v>34</v>
      </c>
      <c r="G534" s="15">
        <v>1069.8699999999999</v>
      </c>
      <c r="H534" s="15">
        <v>1069.8699999999999</v>
      </c>
      <c r="I534" s="13">
        <v>10</v>
      </c>
      <c r="J534" s="13">
        <v>10</v>
      </c>
      <c r="K534" s="13" t="s">
        <v>35</v>
      </c>
      <c r="L534" s="15">
        <v>106.98699999999999</v>
      </c>
      <c r="M534" s="16">
        <v>106.98699999999999</v>
      </c>
    </row>
    <row r="535" spans="1:13" s="5" customFormat="1" x14ac:dyDescent="0.25">
      <c r="A535" s="12" t="s">
        <v>1071</v>
      </c>
      <c r="B535" s="13" t="s">
        <v>1072</v>
      </c>
      <c r="C535" s="14">
        <v>45865</v>
      </c>
      <c r="D535" s="13">
        <v>2025</v>
      </c>
      <c r="E535" s="13" t="s">
        <v>3347</v>
      </c>
      <c r="F535" s="13" t="s">
        <v>22</v>
      </c>
      <c r="G535" s="15">
        <v>1961.31</v>
      </c>
      <c r="H535" s="15">
        <v>1961.31</v>
      </c>
      <c r="I535" s="13">
        <v>7</v>
      </c>
      <c r="J535" s="13">
        <v>7</v>
      </c>
      <c r="K535" s="13" t="s">
        <v>3346</v>
      </c>
      <c r="L535" s="15">
        <v>280.18714285714287</v>
      </c>
      <c r="M535" s="16">
        <v>280.18714285714287</v>
      </c>
    </row>
    <row r="536" spans="1:13" s="5" customFormat="1" x14ac:dyDescent="0.25">
      <c r="A536" s="12" t="s">
        <v>1073</v>
      </c>
      <c r="B536" s="13" t="s">
        <v>1074</v>
      </c>
      <c r="C536" s="14">
        <v>45445</v>
      </c>
      <c r="D536" s="13">
        <v>2024</v>
      </c>
      <c r="E536" s="13" t="s">
        <v>14</v>
      </c>
      <c r="F536" s="13" t="s">
        <v>11</v>
      </c>
      <c r="G536" s="15">
        <v>204.24</v>
      </c>
      <c r="H536" s="15">
        <v>204.24</v>
      </c>
      <c r="I536" s="13">
        <v>7</v>
      </c>
      <c r="J536" s="13">
        <v>7</v>
      </c>
      <c r="K536" s="13" t="s">
        <v>18</v>
      </c>
      <c r="L536" s="15">
        <v>29.177142857142858</v>
      </c>
      <c r="M536" s="16">
        <v>29.177142857142858</v>
      </c>
    </row>
    <row r="537" spans="1:13" s="5" customFormat="1" x14ac:dyDescent="0.25">
      <c r="A537" s="12" t="s">
        <v>1075</v>
      </c>
      <c r="B537" s="13" t="s">
        <v>1076</v>
      </c>
      <c r="C537" s="14">
        <v>45359</v>
      </c>
      <c r="D537" s="13">
        <v>2024</v>
      </c>
      <c r="E537" s="13" t="s">
        <v>10</v>
      </c>
      <c r="F537" s="13" t="s">
        <v>25</v>
      </c>
      <c r="G537" s="15">
        <v>1749.27</v>
      </c>
      <c r="H537" s="15">
        <v>1749.27</v>
      </c>
      <c r="I537" s="13">
        <v>8</v>
      </c>
      <c r="J537" s="13">
        <v>8</v>
      </c>
      <c r="K537" s="13" t="s">
        <v>15</v>
      </c>
      <c r="L537" s="15">
        <v>218.65875</v>
      </c>
      <c r="M537" s="16">
        <v>218.65875</v>
      </c>
    </row>
    <row r="538" spans="1:13" s="5" customFormat="1" x14ac:dyDescent="0.25">
      <c r="A538" s="12" t="s">
        <v>1077</v>
      </c>
      <c r="B538" s="13" t="s">
        <v>1078</v>
      </c>
      <c r="C538" s="14">
        <v>44926</v>
      </c>
      <c r="D538" s="13">
        <v>2022</v>
      </c>
      <c r="E538" s="13" t="s">
        <v>3347</v>
      </c>
      <c r="F538" s="13" t="s">
        <v>25</v>
      </c>
      <c r="G538" s="15">
        <v>716.31</v>
      </c>
      <c r="H538" s="15">
        <v>716.31</v>
      </c>
      <c r="I538" s="13">
        <v>8</v>
      </c>
      <c r="J538" s="13">
        <v>8</v>
      </c>
      <c r="K538" s="13" t="s">
        <v>18</v>
      </c>
      <c r="L538" s="15">
        <v>89.538749999999993</v>
      </c>
      <c r="M538" s="16">
        <v>89.538749999999993</v>
      </c>
    </row>
    <row r="539" spans="1:13" s="5" customFormat="1" x14ac:dyDescent="0.25">
      <c r="A539" s="12" t="s">
        <v>1079</v>
      </c>
      <c r="B539" s="13" t="s">
        <v>1080</v>
      </c>
      <c r="C539" s="14">
        <v>45286</v>
      </c>
      <c r="D539" s="13">
        <v>2023</v>
      </c>
      <c r="E539" s="13" t="s">
        <v>10</v>
      </c>
      <c r="F539" s="13" t="s">
        <v>34</v>
      </c>
      <c r="G539" s="15">
        <v>927.83</v>
      </c>
      <c r="H539" s="15">
        <v>927.83</v>
      </c>
      <c r="I539" s="13">
        <v>4</v>
      </c>
      <c r="J539" s="13">
        <v>4</v>
      </c>
      <c r="K539" s="13" t="s">
        <v>15</v>
      </c>
      <c r="L539" s="15">
        <v>231.95750000000001</v>
      </c>
      <c r="M539" s="16">
        <v>231.95750000000001</v>
      </c>
    </row>
    <row r="540" spans="1:13" s="5" customFormat="1" x14ac:dyDescent="0.25">
      <c r="A540" s="12" t="s">
        <v>1081</v>
      </c>
      <c r="B540" s="13" t="s">
        <v>1082</v>
      </c>
      <c r="C540" s="14">
        <v>45206</v>
      </c>
      <c r="D540" s="13">
        <v>2023</v>
      </c>
      <c r="E540" s="13" t="s">
        <v>3347</v>
      </c>
      <c r="F540" s="13" t="s">
        <v>34</v>
      </c>
      <c r="G540" s="15">
        <v>1508.91</v>
      </c>
      <c r="H540" s="15">
        <v>1508.91</v>
      </c>
      <c r="I540" s="13">
        <v>10</v>
      </c>
      <c r="J540" s="13">
        <v>10</v>
      </c>
      <c r="K540" s="13" t="s">
        <v>15</v>
      </c>
      <c r="L540" s="15">
        <v>150.89100000000002</v>
      </c>
      <c r="M540" s="16">
        <v>150.89100000000002</v>
      </c>
    </row>
    <row r="541" spans="1:13" s="5" customFormat="1" x14ac:dyDescent="0.25">
      <c r="A541" s="12" t="s">
        <v>1083</v>
      </c>
      <c r="B541" s="13" t="s">
        <v>1084</v>
      </c>
      <c r="C541" s="14">
        <v>45486</v>
      </c>
      <c r="D541" s="13">
        <v>2024</v>
      </c>
      <c r="E541" s="13" t="s">
        <v>14</v>
      </c>
      <c r="F541" s="13" t="s">
        <v>11</v>
      </c>
      <c r="G541" s="15">
        <v>408.61</v>
      </c>
      <c r="H541" s="15">
        <v>408.61</v>
      </c>
      <c r="I541" s="13">
        <v>10</v>
      </c>
      <c r="J541" s="13">
        <v>10</v>
      </c>
      <c r="K541" s="13" t="s">
        <v>35</v>
      </c>
      <c r="L541" s="15">
        <v>40.861000000000004</v>
      </c>
      <c r="M541" s="16">
        <v>40.861000000000004</v>
      </c>
    </row>
    <row r="542" spans="1:13" s="5" customFormat="1" x14ac:dyDescent="0.25">
      <c r="A542" s="12" t="s">
        <v>1085</v>
      </c>
      <c r="B542" s="13" t="s">
        <v>1086</v>
      </c>
      <c r="C542" s="14">
        <v>45003</v>
      </c>
      <c r="D542" s="13">
        <v>2023</v>
      </c>
      <c r="E542" s="13" t="s">
        <v>21</v>
      </c>
      <c r="F542" s="13" t="s">
        <v>34</v>
      </c>
      <c r="G542" s="15">
        <v>1837.13</v>
      </c>
      <c r="H542" s="15">
        <v>1837.13</v>
      </c>
      <c r="I542" s="13">
        <v>1</v>
      </c>
      <c r="J542" s="13">
        <v>1</v>
      </c>
      <c r="K542" s="13" t="s">
        <v>3348</v>
      </c>
      <c r="L542" s="15">
        <v>1837.13</v>
      </c>
      <c r="M542" s="16">
        <v>1837.13</v>
      </c>
    </row>
    <row r="543" spans="1:13" s="5" customFormat="1" x14ac:dyDescent="0.25">
      <c r="A543" s="12" t="s">
        <v>1087</v>
      </c>
      <c r="B543" s="13" t="s">
        <v>1088</v>
      </c>
      <c r="C543" s="14">
        <v>45352</v>
      </c>
      <c r="D543" s="13">
        <v>2024</v>
      </c>
      <c r="E543" s="13" t="s">
        <v>21</v>
      </c>
      <c r="F543" s="13" t="s">
        <v>34</v>
      </c>
      <c r="G543" s="15">
        <v>1350.62</v>
      </c>
      <c r="H543" s="15">
        <v>1350.62</v>
      </c>
      <c r="I543" s="13">
        <v>3</v>
      </c>
      <c r="J543" s="13">
        <v>3</v>
      </c>
      <c r="K543" s="13" t="s">
        <v>15</v>
      </c>
      <c r="L543" s="15">
        <v>450.20666666666665</v>
      </c>
      <c r="M543" s="16">
        <v>450.20666666666665</v>
      </c>
    </row>
    <row r="544" spans="1:13" s="5" customFormat="1" x14ac:dyDescent="0.25">
      <c r="A544" s="12" t="s">
        <v>1089</v>
      </c>
      <c r="B544" s="13" t="s">
        <v>1090</v>
      </c>
      <c r="C544" s="14">
        <v>45229</v>
      </c>
      <c r="D544" s="13">
        <v>2023</v>
      </c>
      <c r="E544" s="13" t="s">
        <v>21</v>
      </c>
      <c r="F544" s="13" t="s">
        <v>22</v>
      </c>
      <c r="G544" s="15"/>
      <c r="H544" s="15">
        <v>132.4784132653061</v>
      </c>
      <c r="I544" s="13">
        <v>1</v>
      </c>
      <c r="J544" s="13">
        <v>1</v>
      </c>
      <c r="K544" s="13" t="s">
        <v>35</v>
      </c>
      <c r="L544" s="15">
        <v>132.4784132653061</v>
      </c>
      <c r="M544" s="16">
        <v>132.4784132653061</v>
      </c>
    </row>
    <row r="545" spans="1:13" s="5" customFormat="1" x14ac:dyDescent="0.25">
      <c r="A545" s="12" t="s">
        <v>1091</v>
      </c>
      <c r="B545" s="13" t="s">
        <v>1092</v>
      </c>
      <c r="C545" s="14">
        <v>45702</v>
      </c>
      <c r="D545" s="13">
        <v>2025</v>
      </c>
      <c r="E545" s="13" t="s">
        <v>10</v>
      </c>
      <c r="F545" s="13" t="s">
        <v>34</v>
      </c>
      <c r="G545" s="15">
        <v>1168.3599999999999</v>
      </c>
      <c r="H545" s="15">
        <v>1168.3599999999999</v>
      </c>
      <c r="I545" s="13">
        <v>9</v>
      </c>
      <c r="J545" s="13">
        <v>9</v>
      </c>
      <c r="K545" s="13" t="s">
        <v>35</v>
      </c>
      <c r="L545" s="15">
        <v>129.81777777777776</v>
      </c>
      <c r="M545" s="16">
        <v>129.81777777777776</v>
      </c>
    </row>
    <row r="546" spans="1:13" s="5" customFormat="1" x14ac:dyDescent="0.25">
      <c r="A546" s="12" t="s">
        <v>1093</v>
      </c>
      <c r="B546" s="13" t="s">
        <v>1094</v>
      </c>
      <c r="C546" s="14">
        <v>45813</v>
      </c>
      <c r="D546" s="13">
        <v>2025</v>
      </c>
      <c r="E546" s="13" t="s">
        <v>21</v>
      </c>
      <c r="F546" s="13" t="s">
        <v>25</v>
      </c>
      <c r="G546" s="15">
        <v>775.06</v>
      </c>
      <c r="H546" s="15">
        <v>775.06</v>
      </c>
      <c r="I546" s="13">
        <v>2</v>
      </c>
      <c r="J546" s="13">
        <v>2</v>
      </c>
      <c r="K546" s="13" t="s">
        <v>15</v>
      </c>
      <c r="L546" s="15">
        <v>387.53</v>
      </c>
      <c r="M546" s="16">
        <v>387.53</v>
      </c>
    </row>
    <row r="547" spans="1:13" s="5" customFormat="1" x14ac:dyDescent="0.25">
      <c r="A547" s="12" t="s">
        <v>1095</v>
      </c>
      <c r="B547" s="13" t="s">
        <v>1096</v>
      </c>
      <c r="C547" s="14">
        <v>45126</v>
      </c>
      <c r="D547" s="13">
        <v>2023</v>
      </c>
      <c r="E547" s="13" t="s">
        <v>21</v>
      </c>
      <c r="F547" s="13" t="s">
        <v>11</v>
      </c>
      <c r="G547" s="15">
        <v>576.52</v>
      </c>
      <c r="H547" s="15">
        <v>576.52</v>
      </c>
      <c r="I547" s="13">
        <v>6</v>
      </c>
      <c r="J547" s="13">
        <v>6</v>
      </c>
      <c r="K547" s="13" t="s">
        <v>3346</v>
      </c>
      <c r="L547" s="15">
        <v>96.086666666666659</v>
      </c>
      <c r="M547" s="16">
        <v>96.086666666666659</v>
      </c>
    </row>
    <row r="548" spans="1:13" s="5" customFormat="1" x14ac:dyDescent="0.25">
      <c r="A548" s="12" t="s">
        <v>1097</v>
      </c>
      <c r="B548" s="13" t="s">
        <v>1098</v>
      </c>
      <c r="C548" s="14">
        <v>45321</v>
      </c>
      <c r="D548" s="13">
        <v>2024</v>
      </c>
      <c r="E548" s="13" t="s">
        <v>3347</v>
      </c>
      <c r="F548" s="13" t="s">
        <v>25</v>
      </c>
      <c r="G548" s="15">
        <v>261.39</v>
      </c>
      <c r="H548" s="15">
        <v>261.39</v>
      </c>
      <c r="I548" s="13">
        <v>5</v>
      </c>
      <c r="J548" s="13">
        <v>5</v>
      </c>
      <c r="K548" s="13" t="s">
        <v>35</v>
      </c>
      <c r="L548" s="15">
        <v>52.277999999999999</v>
      </c>
      <c r="M548" s="16">
        <v>52.277999999999999</v>
      </c>
    </row>
    <row r="549" spans="1:13" s="5" customFormat="1" x14ac:dyDescent="0.25">
      <c r="A549" s="12" t="s">
        <v>1099</v>
      </c>
      <c r="B549" s="13" t="s">
        <v>1100</v>
      </c>
      <c r="C549" s="14">
        <v>45291</v>
      </c>
      <c r="D549" s="13">
        <v>2023</v>
      </c>
      <c r="E549" s="13" t="s">
        <v>21</v>
      </c>
      <c r="F549" s="13" t="s">
        <v>22</v>
      </c>
      <c r="G549" s="15">
        <v>413.15</v>
      </c>
      <c r="H549" s="15">
        <v>413.15</v>
      </c>
      <c r="I549" s="13"/>
      <c r="J549" s="13">
        <v>2</v>
      </c>
      <c r="K549" s="13" t="s">
        <v>15</v>
      </c>
      <c r="L549" s="15">
        <v>206.57499999999999</v>
      </c>
      <c r="M549" s="16">
        <v>272.82067893217896</v>
      </c>
    </row>
    <row r="550" spans="1:13" s="5" customFormat="1" x14ac:dyDescent="0.25">
      <c r="A550" s="12" t="s">
        <v>1101</v>
      </c>
      <c r="B550" s="13" t="s">
        <v>1102</v>
      </c>
      <c r="C550" s="14">
        <v>45488</v>
      </c>
      <c r="D550" s="13">
        <v>2024</v>
      </c>
      <c r="E550" s="13" t="s">
        <v>14</v>
      </c>
      <c r="F550" s="13" t="s">
        <v>11</v>
      </c>
      <c r="G550" s="15">
        <v>567.57000000000005</v>
      </c>
      <c r="H550" s="15">
        <v>567.57000000000005</v>
      </c>
      <c r="I550" s="13">
        <v>9</v>
      </c>
      <c r="J550" s="13">
        <v>9</v>
      </c>
      <c r="K550" s="13" t="s">
        <v>3346</v>
      </c>
      <c r="L550" s="15">
        <v>63.06333333333334</v>
      </c>
      <c r="M550" s="16">
        <v>63.06333333333334</v>
      </c>
    </row>
    <row r="551" spans="1:13" s="5" customFormat="1" x14ac:dyDescent="0.25">
      <c r="A551" s="12" t="s">
        <v>1103</v>
      </c>
      <c r="B551" s="13" t="s">
        <v>1104</v>
      </c>
      <c r="C551" s="14">
        <v>45879</v>
      </c>
      <c r="D551" s="13">
        <v>2025</v>
      </c>
      <c r="E551" s="13" t="s">
        <v>10</v>
      </c>
      <c r="F551" s="13" t="s">
        <v>34</v>
      </c>
      <c r="G551" s="15">
        <v>250.33</v>
      </c>
      <c r="H551" s="15">
        <v>250.33</v>
      </c>
      <c r="I551" s="13">
        <v>6</v>
      </c>
      <c r="J551" s="13">
        <v>6</v>
      </c>
      <c r="K551" s="13" t="s">
        <v>18</v>
      </c>
      <c r="L551" s="15">
        <v>41.721666666666671</v>
      </c>
      <c r="M551" s="16">
        <v>41.721666666666671</v>
      </c>
    </row>
    <row r="552" spans="1:13" s="5" customFormat="1" x14ac:dyDescent="0.25">
      <c r="A552" s="12" t="s">
        <v>1105</v>
      </c>
      <c r="B552" s="13" t="s">
        <v>1106</v>
      </c>
      <c r="C552" s="14">
        <v>45562</v>
      </c>
      <c r="D552" s="13">
        <v>2024</v>
      </c>
      <c r="E552" s="13" t="s">
        <v>14</v>
      </c>
      <c r="F552" s="13" t="s">
        <v>25</v>
      </c>
      <c r="G552" s="15">
        <v>1331.48</v>
      </c>
      <c r="H552" s="15">
        <v>1331.48</v>
      </c>
      <c r="I552" s="13">
        <v>1</v>
      </c>
      <c r="J552" s="13">
        <v>1</v>
      </c>
      <c r="K552" s="13" t="s">
        <v>35</v>
      </c>
      <c r="L552" s="15">
        <v>1331.48</v>
      </c>
      <c r="M552" s="16">
        <v>1331.48</v>
      </c>
    </row>
    <row r="553" spans="1:13" s="5" customFormat="1" x14ac:dyDescent="0.25">
      <c r="A553" s="12" t="s">
        <v>1107</v>
      </c>
      <c r="B553" s="13" t="s">
        <v>1108</v>
      </c>
      <c r="C553" s="14">
        <v>45218</v>
      </c>
      <c r="D553" s="13">
        <v>2023</v>
      </c>
      <c r="E553" s="13" t="s">
        <v>10</v>
      </c>
      <c r="F553" s="13" t="s">
        <v>22</v>
      </c>
      <c r="G553" s="15">
        <v>434.97</v>
      </c>
      <c r="H553" s="15">
        <v>434.97</v>
      </c>
      <c r="I553" s="13">
        <v>4</v>
      </c>
      <c r="J553" s="13">
        <v>4</v>
      </c>
      <c r="K553" s="13" t="s">
        <v>15</v>
      </c>
      <c r="L553" s="15">
        <v>108.74250000000001</v>
      </c>
      <c r="M553" s="16">
        <v>108.74250000000001</v>
      </c>
    </row>
    <row r="554" spans="1:13" s="5" customFormat="1" x14ac:dyDescent="0.25">
      <c r="A554" s="12" t="s">
        <v>1109</v>
      </c>
      <c r="B554" s="13" t="s">
        <v>1110</v>
      </c>
      <c r="C554" s="14">
        <v>45025</v>
      </c>
      <c r="D554" s="13">
        <v>2023</v>
      </c>
      <c r="E554" s="13" t="s">
        <v>3347</v>
      </c>
      <c r="F554" s="13" t="s">
        <v>25</v>
      </c>
      <c r="G554" s="15">
        <v>1542.94</v>
      </c>
      <c r="H554" s="15">
        <v>1542.94</v>
      </c>
      <c r="I554" s="13">
        <v>2</v>
      </c>
      <c r="J554" s="13">
        <v>2</v>
      </c>
      <c r="K554" s="13" t="s">
        <v>18</v>
      </c>
      <c r="L554" s="15">
        <v>771.47</v>
      </c>
      <c r="M554" s="16">
        <v>771.47</v>
      </c>
    </row>
    <row r="555" spans="1:13" s="5" customFormat="1" x14ac:dyDescent="0.25">
      <c r="A555" s="12" t="s">
        <v>1111</v>
      </c>
      <c r="B555" s="13" t="s">
        <v>1112</v>
      </c>
      <c r="C555" s="14">
        <v>45362</v>
      </c>
      <c r="D555" s="13">
        <v>2024</v>
      </c>
      <c r="E555" s="13" t="s">
        <v>10</v>
      </c>
      <c r="F555" s="13" t="s">
        <v>25</v>
      </c>
      <c r="G555" s="15">
        <v>446.95</v>
      </c>
      <c r="H555" s="15">
        <v>446.95</v>
      </c>
      <c r="I555" s="13"/>
      <c r="J555" s="13">
        <v>1</v>
      </c>
      <c r="K555" s="13" t="s">
        <v>3348</v>
      </c>
      <c r="L555" s="15">
        <v>446.95</v>
      </c>
      <c r="M555" s="16">
        <v>329.54250000000002</v>
      </c>
    </row>
    <row r="556" spans="1:13" s="5" customFormat="1" x14ac:dyDescent="0.25">
      <c r="A556" s="12" t="s">
        <v>1113</v>
      </c>
      <c r="B556" s="13" t="s">
        <v>1114</v>
      </c>
      <c r="C556" s="14">
        <v>45947</v>
      </c>
      <c r="D556" s="13">
        <v>2025</v>
      </c>
      <c r="E556" s="13" t="s">
        <v>3347</v>
      </c>
      <c r="F556" s="13" t="s">
        <v>22</v>
      </c>
      <c r="G556" s="15">
        <v>1774.26</v>
      </c>
      <c r="H556" s="15">
        <v>1774.26</v>
      </c>
      <c r="I556" s="13">
        <v>8</v>
      </c>
      <c r="J556" s="13">
        <v>8</v>
      </c>
      <c r="K556" s="13" t="s">
        <v>18</v>
      </c>
      <c r="L556" s="15">
        <v>221.7825</v>
      </c>
      <c r="M556" s="16">
        <v>221.7825</v>
      </c>
    </row>
    <row r="557" spans="1:13" s="5" customFormat="1" x14ac:dyDescent="0.25">
      <c r="A557" s="12" t="s">
        <v>1115</v>
      </c>
      <c r="B557" s="13" t="s">
        <v>1116</v>
      </c>
      <c r="C557" s="14">
        <v>44970</v>
      </c>
      <c r="D557" s="13">
        <v>2023</v>
      </c>
      <c r="E557" s="13" t="s">
        <v>10</v>
      </c>
      <c r="F557" s="13" t="s">
        <v>34</v>
      </c>
      <c r="G557" s="15">
        <v>1735.29</v>
      </c>
      <c r="H557" s="15">
        <v>1735.29</v>
      </c>
      <c r="I557" s="13">
        <v>9</v>
      </c>
      <c r="J557" s="13">
        <v>9</v>
      </c>
      <c r="K557" s="13" t="s">
        <v>35</v>
      </c>
      <c r="L557" s="15">
        <v>192.81</v>
      </c>
      <c r="M557" s="16">
        <v>192.81</v>
      </c>
    </row>
    <row r="558" spans="1:13" s="5" customFormat="1" x14ac:dyDescent="0.25">
      <c r="A558" s="12" t="s">
        <v>1117</v>
      </c>
      <c r="B558" s="13" t="s">
        <v>1118</v>
      </c>
      <c r="C558" s="14">
        <v>45335</v>
      </c>
      <c r="D558" s="13">
        <v>2024</v>
      </c>
      <c r="E558" s="13" t="s">
        <v>3347</v>
      </c>
      <c r="F558" s="13" t="s">
        <v>34</v>
      </c>
      <c r="G558" s="15">
        <v>1064.6500000000001</v>
      </c>
      <c r="H558" s="15">
        <v>1064.6500000000001</v>
      </c>
      <c r="I558" s="13">
        <v>4</v>
      </c>
      <c r="J558" s="13">
        <v>4</v>
      </c>
      <c r="K558" s="13" t="s">
        <v>15</v>
      </c>
      <c r="L558" s="15">
        <v>266.16250000000002</v>
      </c>
      <c r="M558" s="16">
        <v>266.16250000000002</v>
      </c>
    </row>
    <row r="559" spans="1:13" s="5" customFormat="1" x14ac:dyDescent="0.25">
      <c r="A559" s="12" t="s">
        <v>1119</v>
      </c>
      <c r="B559" s="13" t="s">
        <v>1120</v>
      </c>
      <c r="C559" s="14">
        <v>44861</v>
      </c>
      <c r="D559" s="13">
        <v>2022</v>
      </c>
      <c r="E559" s="13" t="s">
        <v>21</v>
      </c>
      <c r="F559" s="13" t="s">
        <v>22</v>
      </c>
      <c r="G559" s="15">
        <v>556.15</v>
      </c>
      <c r="H559" s="15">
        <v>556.15</v>
      </c>
      <c r="I559" s="13">
        <v>6</v>
      </c>
      <c r="J559" s="13">
        <v>6</v>
      </c>
      <c r="K559" s="13" t="s">
        <v>3348</v>
      </c>
      <c r="L559" s="15">
        <v>92.691666666666663</v>
      </c>
      <c r="M559" s="16">
        <v>92.691666666666663</v>
      </c>
    </row>
    <row r="560" spans="1:13" s="5" customFormat="1" x14ac:dyDescent="0.25">
      <c r="A560" s="12" t="s">
        <v>1121</v>
      </c>
      <c r="B560" s="13" t="s">
        <v>1122</v>
      </c>
      <c r="C560" s="14">
        <v>44878</v>
      </c>
      <c r="D560" s="13">
        <v>2022</v>
      </c>
      <c r="E560" s="13" t="s">
        <v>10</v>
      </c>
      <c r="F560" s="13" t="s">
        <v>34</v>
      </c>
      <c r="G560" s="15">
        <v>1852.85</v>
      </c>
      <c r="H560" s="15">
        <v>1852.85</v>
      </c>
      <c r="I560" s="13">
        <v>8</v>
      </c>
      <c r="J560" s="13">
        <v>8</v>
      </c>
      <c r="K560" s="13" t="s">
        <v>18</v>
      </c>
      <c r="L560" s="15">
        <v>231.60624999999999</v>
      </c>
      <c r="M560" s="16">
        <v>231.60624999999999</v>
      </c>
    </row>
    <row r="561" spans="1:13" s="5" customFormat="1" x14ac:dyDescent="0.25">
      <c r="A561" s="12" t="s">
        <v>1123</v>
      </c>
      <c r="B561" s="13" t="s">
        <v>283</v>
      </c>
      <c r="C561" s="14">
        <v>45625</v>
      </c>
      <c r="D561" s="13">
        <v>2024</v>
      </c>
      <c r="E561" s="13" t="s">
        <v>14</v>
      </c>
      <c r="F561" s="13" t="s">
        <v>25</v>
      </c>
      <c r="G561" s="15">
        <v>247.56</v>
      </c>
      <c r="H561" s="15">
        <v>247.56</v>
      </c>
      <c r="I561" s="13">
        <v>9</v>
      </c>
      <c r="J561" s="13">
        <v>9</v>
      </c>
      <c r="K561" s="13" t="s">
        <v>3348</v>
      </c>
      <c r="L561" s="15">
        <v>27.506666666666668</v>
      </c>
      <c r="M561" s="16">
        <v>27.506666666666668</v>
      </c>
    </row>
    <row r="562" spans="1:13" s="5" customFormat="1" x14ac:dyDescent="0.25">
      <c r="A562" s="12" t="s">
        <v>1124</v>
      </c>
      <c r="B562" s="13" t="s">
        <v>1125</v>
      </c>
      <c r="C562" s="14">
        <v>45116</v>
      </c>
      <c r="D562" s="13">
        <v>2023</v>
      </c>
      <c r="E562" s="13" t="s">
        <v>21</v>
      </c>
      <c r="F562" s="13" t="s">
        <v>11</v>
      </c>
      <c r="G562" s="15">
        <v>1388.66</v>
      </c>
      <c r="H562" s="15">
        <v>1388.66</v>
      </c>
      <c r="I562" s="13">
        <v>2</v>
      </c>
      <c r="J562" s="13">
        <v>2</v>
      </c>
      <c r="K562" s="13" t="s">
        <v>15</v>
      </c>
      <c r="L562" s="15">
        <v>694.33</v>
      </c>
      <c r="M562" s="16">
        <v>694.33</v>
      </c>
    </row>
    <row r="563" spans="1:13" s="5" customFormat="1" x14ac:dyDescent="0.25">
      <c r="A563" s="12" t="s">
        <v>1126</v>
      </c>
      <c r="B563" s="13" t="s">
        <v>1127</v>
      </c>
      <c r="C563" s="14">
        <v>45715</v>
      </c>
      <c r="D563" s="13">
        <v>2025</v>
      </c>
      <c r="E563" s="13" t="s">
        <v>21</v>
      </c>
      <c r="F563" s="13" t="s">
        <v>25</v>
      </c>
      <c r="G563" s="15">
        <v>435.35</v>
      </c>
      <c r="H563" s="15">
        <v>435.35</v>
      </c>
      <c r="I563" s="13">
        <v>2</v>
      </c>
      <c r="J563" s="13">
        <v>2</v>
      </c>
      <c r="K563" s="13" t="s">
        <v>18</v>
      </c>
      <c r="L563" s="15">
        <v>217.67500000000001</v>
      </c>
      <c r="M563" s="16">
        <v>217.67500000000001</v>
      </c>
    </row>
    <row r="564" spans="1:13" s="5" customFormat="1" x14ac:dyDescent="0.25">
      <c r="A564" s="12" t="s">
        <v>1128</v>
      </c>
      <c r="B564" s="13" t="s">
        <v>1129</v>
      </c>
      <c r="C564" s="14">
        <v>45182</v>
      </c>
      <c r="D564" s="13">
        <v>2023</v>
      </c>
      <c r="E564" s="13" t="s">
        <v>14</v>
      </c>
      <c r="F564" s="13" t="s">
        <v>25</v>
      </c>
      <c r="G564" s="15">
        <v>889.67</v>
      </c>
      <c r="H564" s="15">
        <v>889.67</v>
      </c>
      <c r="I564" s="13">
        <v>2</v>
      </c>
      <c r="J564" s="13">
        <v>2</v>
      </c>
      <c r="K564" s="13" t="s">
        <v>35</v>
      </c>
      <c r="L564" s="15">
        <v>444.83499999999998</v>
      </c>
      <c r="M564" s="16">
        <v>444.83499999999998</v>
      </c>
    </row>
    <row r="565" spans="1:13" s="5" customFormat="1" x14ac:dyDescent="0.25">
      <c r="A565" s="12" t="s">
        <v>1130</v>
      </c>
      <c r="B565" s="13" t="s">
        <v>1131</v>
      </c>
      <c r="C565" s="14">
        <v>45304</v>
      </c>
      <c r="D565" s="13">
        <v>2024</v>
      </c>
      <c r="E565" s="13" t="s">
        <v>3347</v>
      </c>
      <c r="F565" s="13" t="s">
        <v>22</v>
      </c>
      <c r="G565" s="15"/>
      <c r="H565" s="15">
        <v>864.29691358024706</v>
      </c>
      <c r="I565" s="13">
        <v>4</v>
      </c>
      <c r="J565" s="13">
        <v>4</v>
      </c>
      <c r="K565" s="13" t="s">
        <v>15</v>
      </c>
      <c r="L565" s="15">
        <v>216.07422839506177</v>
      </c>
      <c r="M565" s="16">
        <v>216.07422839506177</v>
      </c>
    </row>
    <row r="566" spans="1:13" s="5" customFormat="1" x14ac:dyDescent="0.25">
      <c r="A566" s="12" t="s">
        <v>1132</v>
      </c>
      <c r="B566" s="13" t="s">
        <v>1133</v>
      </c>
      <c r="C566" s="14">
        <v>44991</v>
      </c>
      <c r="D566" s="13">
        <v>2023</v>
      </c>
      <c r="E566" s="13" t="s">
        <v>14</v>
      </c>
      <c r="F566" s="13" t="s">
        <v>34</v>
      </c>
      <c r="G566" s="15">
        <v>264.35000000000002</v>
      </c>
      <c r="H566" s="15">
        <v>264.35000000000002</v>
      </c>
      <c r="I566" s="13">
        <v>1</v>
      </c>
      <c r="J566" s="13">
        <v>1</v>
      </c>
      <c r="K566" s="13" t="s">
        <v>18</v>
      </c>
      <c r="L566" s="15">
        <v>264.35000000000002</v>
      </c>
      <c r="M566" s="16">
        <v>264.35000000000002</v>
      </c>
    </row>
    <row r="567" spans="1:13" s="5" customFormat="1" x14ac:dyDescent="0.25">
      <c r="A567" s="12" t="s">
        <v>1134</v>
      </c>
      <c r="B567" s="13" t="s">
        <v>1135</v>
      </c>
      <c r="C567" s="14">
        <v>45335</v>
      </c>
      <c r="D567" s="13">
        <v>2024</v>
      </c>
      <c r="E567" s="13" t="s">
        <v>21</v>
      </c>
      <c r="F567" s="13" t="s">
        <v>22</v>
      </c>
      <c r="G567" s="15">
        <v>1777.15</v>
      </c>
      <c r="H567" s="15">
        <v>1777.15</v>
      </c>
      <c r="I567" s="13">
        <v>6</v>
      </c>
      <c r="J567" s="13">
        <v>6</v>
      </c>
      <c r="K567" s="13" t="s">
        <v>15</v>
      </c>
      <c r="L567" s="15">
        <v>296.19166666666666</v>
      </c>
      <c r="M567" s="16">
        <v>296.19166666666666</v>
      </c>
    </row>
    <row r="568" spans="1:13" s="5" customFormat="1" x14ac:dyDescent="0.25">
      <c r="A568" s="12" t="s">
        <v>1136</v>
      </c>
      <c r="B568" s="13" t="s">
        <v>407</v>
      </c>
      <c r="C568" s="14">
        <v>45162</v>
      </c>
      <c r="D568" s="13">
        <v>2023</v>
      </c>
      <c r="E568" s="13" t="s">
        <v>14</v>
      </c>
      <c r="F568" s="13" t="s">
        <v>34</v>
      </c>
      <c r="G568" s="15">
        <v>1854.35</v>
      </c>
      <c r="H568" s="15">
        <v>1854.35</v>
      </c>
      <c r="I568" s="13">
        <v>2</v>
      </c>
      <c r="J568" s="13">
        <v>2</v>
      </c>
      <c r="K568" s="13" t="s">
        <v>18</v>
      </c>
      <c r="L568" s="15">
        <v>927.17499999999995</v>
      </c>
      <c r="M568" s="16">
        <v>927.17499999999995</v>
      </c>
    </row>
    <row r="569" spans="1:13" s="5" customFormat="1" x14ac:dyDescent="0.25">
      <c r="A569" s="12" t="s">
        <v>1137</v>
      </c>
      <c r="B569" s="13" t="s">
        <v>451</v>
      </c>
      <c r="C569" s="14">
        <v>45497</v>
      </c>
      <c r="D569" s="13">
        <v>2024</v>
      </c>
      <c r="E569" s="13" t="s">
        <v>21</v>
      </c>
      <c r="F569" s="13" t="s">
        <v>22</v>
      </c>
      <c r="G569" s="15">
        <v>1882.97</v>
      </c>
      <c r="H569" s="15">
        <v>1882.97</v>
      </c>
      <c r="I569" s="13">
        <v>6</v>
      </c>
      <c r="J569" s="13">
        <v>6</v>
      </c>
      <c r="K569" s="13" t="s">
        <v>35</v>
      </c>
      <c r="L569" s="15">
        <v>313.82833333333332</v>
      </c>
      <c r="M569" s="16">
        <v>313.82833333333332</v>
      </c>
    </row>
    <row r="570" spans="1:13" s="5" customFormat="1" x14ac:dyDescent="0.25">
      <c r="A570" s="12" t="s">
        <v>1138</v>
      </c>
      <c r="B570" s="13" t="s">
        <v>1139</v>
      </c>
      <c r="C570" s="14">
        <v>45310</v>
      </c>
      <c r="D570" s="13">
        <v>2024</v>
      </c>
      <c r="E570" s="13" t="s">
        <v>3347</v>
      </c>
      <c r="F570" s="13" t="s">
        <v>22</v>
      </c>
      <c r="G570" s="15">
        <v>1595.4</v>
      </c>
      <c r="H570" s="15">
        <v>1595.4</v>
      </c>
      <c r="I570" s="13">
        <v>10</v>
      </c>
      <c r="J570" s="13">
        <v>10</v>
      </c>
      <c r="K570" s="13" t="s">
        <v>35</v>
      </c>
      <c r="L570" s="15">
        <v>159.54000000000002</v>
      </c>
      <c r="M570" s="16">
        <v>159.54000000000002</v>
      </c>
    </row>
    <row r="571" spans="1:13" s="5" customFormat="1" x14ac:dyDescent="0.25">
      <c r="A571" s="12" t="s">
        <v>1140</v>
      </c>
      <c r="B571" s="13" t="s">
        <v>1141</v>
      </c>
      <c r="C571" s="14">
        <v>45631</v>
      </c>
      <c r="D571" s="13">
        <v>2024</v>
      </c>
      <c r="E571" s="13" t="s">
        <v>10</v>
      </c>
      <c r="F571" s="13" t="s">
        <v>11</v>
      </c>
      <c r="G571" s="15">
        <v>1893.17</v>
      </c>
      <c r="H571" s="15">
        <v>1893.17</v>
      </c>
      <c r="I571" s="13">
        <v>7</v>
      </c>
      <c r="J571" s="13">
        <v>7</v>
      </c>
      <c r="K571" s="13" t="s">
        <v>18</v>
      </c>
      <c r="L571" s="15">
        <v>270.45285714285717</v>
      </c>
      <c r="M571" s="16">
        <v>270.45285714285717</v>
      </c>
    </row>
    <row r="572" spans="1:13" s="5" customFormat="1" x14ac:dyDescent="0.25">
      <c r="A572" s="12" t="s">
        <v>1142</v>
      </c>
      <c r="B572" s="13" t="s">
        <v>1143</v>
      </c>
      <c r="C572" s="14">
        <v>45340</v>
      </c>
      <c r="D572" s="13">
        <v>2024</v>
      </c>
      <c r="E572" s="13" t="s">
        <v>21</v>
      </c>
      <c r="F572" s="13" t="s">
        <v>11</v>
      </c>
      <c r="G572" s="15">
        <v>529.82000000000005</v>
      </c>
      <c r="H572" s="15">
        <v>529.82000000000005</v>
      </c>
      <c r="I572" s="13">
        <v>7</v>
      </c>
      <c r="J572" s="13">
        <v>7</v>
      </c>
      <c r="K572" s="13" t="s">
        <v>3346</v>
      </c>
      <c r="L572" s="15">
        <v>75.688571428571436</v>
      </c>
      <c r="M572" s="16">
        <v>75.688571428571436</v>
      </c>
    </row>
    <row r="573" spans="1:13" s="5" customFormat="1" x14ac:dyDescent="0.25">
      <c r="A573" s="12" t="s">
        <v>1144</v>
      </c>
      <c r="B573" s="13" t="s">
        <v>75</v>
      </c>
      <c r="C573" s="14">
        <v>45766</v>
      </c>
      <c r="D573" s="13">
        <v>2025</v>
      </c>
      <c r="E573" s="13" t="s">
        <v>3347</v>
      </c>
      <c r="F573" s="13" t="s">
        <v>34</v>
      </c>
      <c r="G573" s="15">
        <v>634.49</v>
      </c>
      <c r="H573" s="15">
        <v>634.49</v>
      </c>
      <c r="I573" s="13">
        <v>8</v>
      </c>
      <c r="J573" s="13">
        <v>8</v>
      </c>
      <c r="K573" s="13" t="s">
        <v>3348</v>
      </c>
      <c r="L573" s="15">
        <v>79.311250000000001</v>
      </c>
      <c r="M573" s="16">
        <v>79.311250000000001</v>
      </c>
    </row>
    <row r="574" spans="1:13" s="5" customFormat="1" x14ac:dyDescent="0.25">
      <c r="A574" s="12" t="s">
        <v>1145</v>
      </c>
      <c r="B574" s="13" t="s">
        <v>1146</v>
      </c>
      <c r="C574" s="14">
        <v>45361</v>
      </c>
      <c r="D574" s="13">
        <v>2024</v>
      </c>
      <c r="E574" s="13" t="s">
        <v>3347</v>
      </c>
      <c r="F574" s="13" t="s">
        <v>34</v>
      </c>
      <c r="G574" s="15">
        <v>1998.45</v>
      </c>
      <c r="H574" s="15">
        <v>1998.45</v>
      </c>
      <c r="I574" s="13">
        <v>6</v>
      </c>
      <c r="J574" s="13">
        <v>6</v>
      </c>
      <c r="K574" s="13" t="s">
        <v>3348</v>
      </c>
      <c r="L574" s="15">
        <v>333.07499999999999</v>
      </c>
      <c r="M574" s="16">
        <v>333.07499999999999</v>
      </c>
    </row>
    <row r="575" spans="1:13" s="5" customFormat="1" x14ac:dyDescent="0.25">
      <c r="A575" s="12" t="s">
        <v>1147</v>
      </c>
      <c r="B575" s="13" t="s">
        <v>1148</v>
      </c>
      <c r="C575" s="14">
        <v>44939</v>
      </c>
      <c r="D575" s="13">
        <v>2023</v>
      </c>
      <c r="E575" s="13" t="s">
        <v>3347</v>
      </c>
      <c r="F575" s="13" t="s">
        <v>34</v>
      </c>
      <c r="G575" s="15"/>
      <c r="H575" s="15">
        <v>1621.7157916666667</v>
      </c>
      <c r="I575" s="13">
        <v>3</v>
      </c>
      <c r="J575" s="13">
        <v>3</v>
      </c>
      <c r="K575" s="13" t="s">
        <v>3348</v>
      </c>
      <c r="L575" s="15">
        <v>540.57193055555558</v>
      </c>
      <c r="M575" s="16">
        <v>540.57193055555558</v>
      </c>
    </row>
    <row r="576" spans="1:13" s="5" customFormat="1" x14ac:dyDescent="0.25">
      <c r="A576" s="12" t="s">
        <v>1149</v>
      </c>
      <c r="B576" s="13" t="s">
        <v>1150</v>
      </c>
      <c r="C576" s="14">
        <v>45145</v>
      </c>
      <c r="D576" s="13">
        <v>2023</v>
      </c>
      <c r="E576" s="13" t="s">
        <v>14</v>
      </c>
      <c r="F576" s="13" t="s">
        <v>34</v>
      </c>
      <c r="G576" s="15">
        <v>1079.8399999999999</v>
      </c>
      <c r="H576" s="15">
        <v>1079.8399999999999</v>
      </c>
      <c r="I576" s="13">
        <v>1</v>
      </c>
      <c r="J576" s="13">
        <v>1</v>
      </c>
      <c r="K576" s="13" t="s">
        <v>3348</v>
      </c>
      <c r="L576" s="15">
        <v>1079.8399999999999</v>
      </c>
      <c r="M576" s="16">
        <v>1079.8399999999999</v>
      </c>
    </row>
    <row r="577" spans="1:13" s="5" customFormat="1" x14ac:dyDescent="0.25">
      <c r="A577" s="12" t="s">
        <v>1151</v>
      </c>
      <c r="B577" s="13" t="s">
        <v>1152</v>
      </c>
      <c r="C577" s="14">
        <v>45748</v>
      </c>
      <c r="D577" s="13">
        <v>2025</v>
      </c>
      <c r="E577" s="13" t="s">
        <v>21</v>
      </c>
      <c r="F577" s="13" t="s">
        <v>22</v>
      </c>
      <c r="G577" s="15">
        <v>237.63</v>
      </c>
      <c r="H577" s="15">
        <v>237.63</v>
      </c>
      <c r="I577" s="13">
        <v>3</v>
      </c>
      <c r="J577" s="13">
        <v>3</v>
      </c>
      <c r="K577" s="13" t="s">
        <v>3346</v>
      </c>
      <c r="L577" s="15">
        <v>79.209999999999994</v>
      </c>
      <c r="M577" s="16">
        <v>79.209999999999994</v>
      </c>
    </row>
    <row r="578" spans="1:13" s="5" customFormat="1" x14ac:dyDescent="0.25">
      <c r="A578" s="12" t="s">
        <v>1153</v>
      </c>
      <c r="B578" s="13" t="s">
        <v>1154</v>
      </c>
      <c r="C578" s="14">
        <v>45943</v>
      </c>
      <c r="D578" s="13">
        <v>2025</v>
      </c>
      <c r="E578" s="13" t="s">
        <v>14</v>
      </c>
      <c r="F578" s="13" t="s">
        <v>11</v>
      </c>
      <c r="G578" s="15">
        <v>1469.82</v>
      </c>
      <c r="H578" s="15">
        <v>1469.82</v>
      </c>
      <c r="I578" s="13">
        <v>4</v>
      </c>
      <c r="J578" s="13">
        <v>4</v>
      </c>
      <c r="K578" s="13" t="s">
        <v>3348</v>
      </c>
      <c r="L578" s="15">
        <v>367.45499999999998</v>
      </c>
      <c r="M578" s="16">
        <v>367.45499999999998</v>
      </c>
    </row>
    <row r="579" spans="1:13" s="5" customFormat="1" x14ac:dyDescent="0.25">
      <c r="A579" s="12" t="s">
        <v>1155</v>
      </c>
      <c r="B579" s="13" t="s">
        <v>1156</v>
      </c>
      <c r="C579" s="14">
        <v>45103</v>
      </c>
      <c r="D579" s="13">
        <v>2023</v>
      </c>
      <c r="E579" s="13" t="s">
        <v>21</v>
      </c>
      <c r="F579" s="13" t="s">
        <v>25</v>
      </c>
      <c r="G579" s="15">
        <v>1853.66</v>
      </c>
      <c r="H579" s="15">
        <v>1853.66</v>
      </c>
      <c r="I579" s="13">
        <v>3</v>
      </c>
      <c r="J579" s="13">
        <v>3</v>
      </c>
      <c r="K579" s="13" t="s">
        <v>3348</v>
      </c>
      <c r="L579" s="15">
        <v>617.88666666666666</v>
      </c>
      <c r="M579" s="16">
        <v>617.88666666666666</v>
      </c>
    </row>
    <row r="580" spans="1:13" s="5" customFormat="1" x14ac:dyDescent="0.25">
      <c r="A580" s="12" t="s">
        <v>1157</v>
      </c>
      <c r="B580" s="13" t="s">
        <v>1158</v>
      </c>
      <c r="C580" s="14">
        <v>44996</v>
      </c>
      <c r="D580" s="13">
        <v>2023</v>
      </c>
      <c r="E580" s="13" t="s">
        <v>14</v>
      </c>
      <c r="F580" s="13" t="s">
        <v>25</v>
      </c>
      <c r="G580" s="15">
        <v>415.87</v>
      </c>
      <c r="H580" s="15">
        <v>415.87</v>
      </c>
      <c r="I580" s="13">
        <v>6</v>
      </c>
      <c r="J580" s="13">
        <v>6</v>
      </c>
      <c r="K580" s="13" t="s">
        <v>35</v>
      </c>
      <c r="L580" s="15">
        <v>69.311666666666667</v>
      </c>
      <c r="M580" s="16">
        <v>69.311666666666667</v>
      </c>
    </row>
    <row r="581" spans="1:13" s="5" customFormat="1" x14ac:dyDescent="0.25">
      <c r="A581" s="12" t="s">
        <v>1159</v>
      </c>
      <c r="B581" s="13" t="s">
        <v>1160</v>
      </c>
      <c r="C581" s="14">
        <v>45453</v>
      </c>
      <c r="D581" s="13">
        <v>2024</v>
      </c>
      <c r="E581" s="13" t="s">
        <v>3347</v>
      </c>
      <c r="F581" s="13" t="s">
        <v>22</v>
      </c>
      <c r="G581" s="15">
        <v>465.9</v>
      </c>
      <c r="H581" s="15">
        <v>465.9</v>
      </c>
      <c r="I581" s="13">
        <v>3</v>
      </c>
      <c r="J581" s="13">
        <v>3</v>
      </c>
      <c r="K581" s="13" t="s">
        <v>3348</v>
      </c>
      <c r="L581" s="15">
        <v>155.29999999999998</v>
      </c>
      <c r="M581" s="16">
        <v>155.29999999999998</v>
      </c>
    </row>
    <row r="582" spans="1:13" s="5" customFormat="1" x14ac:dyDescent="0.25">
      <c r="A582" s="12" t="s">
        <v>1161</v>
      </c>
      <c r="B582" s="13" t="s">
        <v>1162</v>
      </c>
      <c r="C582" s="14">
        <v>45821</v>
      </c>
      <c r="D582" s="13">
        <v>2025</v>
      </c>
      <c r="E582" s="13" t="s">
        <v>14</v>
      </c>
      <c r="F582" s="13" t="s">
        <v>11</v>
      </c>
      <c r="G582" s="15">
        <v>1097.92</v>
      </c>
      <c r="H582" s="15">
        <v>1097.92</v>
      </c>
      <c r="I582" s="13">
        <v>5</v>
      </c>
      <c r="J582" s="13">
        <v>5</v>
      </c>
      <c r="K582" s="13" t="s">
        <v>35</v>
      </c>
      <c r="L582" s="15">
        <v>219.584</v>
      </c>
      <c r="M582" s="16">
        <v>219.584</v>
      </c>
    </row>
    <row r="583" spans="1:13" s="5" customFormat="1" x14ac:dyDescent="0.25">
      <c r="A583" s="12" t="s">
        <v>1163</v>
      </c>
      <c r="B583" s="13" t="s">
        <v>1164</v>
      </c>
      <c r="C583" s="14">
        <v>45503</v>
      </c>
      <c r="D583" s="13">
        <v>2024</v>
      </c>
      <c r="E583" s="13" t="s">
        <v>14</v>
      </c>
      <c r="F583" s="13" t="s">
        <v>34</v>
      </c>
      <c r="G583" s="15"/>
      <c r="H583" s="15">
        <v>2106.7183401360544</v>
      </c>
      <c r="I583" s="13">
        <v>6</v>
      </c>
      <c r="J583" s="13">
        <v>6</v>
      </c>
      <c r="K583" s="13" t="s">
        <v>3348</v>
      </c>
      <c r="L583" s="15">
        <v>351.11972335600905</v>
      </c>
      <c r="M583" s="16">
        <v>351.11972335600905</v>
      </c>
    </row>
    <row r="584" spans="1:13" s="5" customFormat="1" x14ac:dyDescent="0.25">
      <c r="A584" s="12" t="s">
        <v>1165</v>
      </c>
      <c r="B584" s="13" t="s">
        <v>1166</v>
      </c>
      <c r="C584" s="14">
        <v>45715</v>
      </c>
      <c r="D584" s="13">
        <v>2025</v>
      </c>
      <c r="E584" s="13" t="s">
        <v>14</v>
      </c>
      <c r="F584" s="13" t="s">
        <v>22</v>
      </c>
      <c r="G584" s="15">
        <v>372.66</v>
      </c>
      <c r="H584" s="15">
        <v>372.66</v>
      </c>
      <c r="I584" s="13">
        <v>5</v>
      </c>
      <c r="J584" s="13">
        <v>5</v>
      </c>
      <c r="K584" s="13" t="s">
        <v>18</v>
      </c>
      <c r="L584" s="15">
        <v>74.532000000000011</v>
      </c>
      <c r="M584" s="16">
        <v>74.532000000000011</v>
      </c>
    </row>
    <row r="585" spans="1:13" s="5" customFormat="1" x14ac:dyDescent="0.25">
      <c r="A585" s="12" t="s">
        <v>1167</v>
      </c>
      <c r="B585" s="13" t="s">
        <v>1168</v>
      </c>
      <c r="C585" s="14">
        <v>45242</v>
      </c>
      <c r="D585" s="13">
        <v>2023</v>
      </c>
      <c r="E585" s="13" t="s">
        <v>10</v>
      </c>
      <c r="F585" s="13" t="s">
        <v>11</v>
      </c>
      <c r="G585" s="15">
        <v>1367.49</v>
      </c>
      <c r="H585" s="15">
        <v>1367.49</v>
      </c>
      <c r="I585" s="13">
        <v>5</v>
      </c>
      <c r="J585" s="13">
        <v>5</v>
      </c>
      <c r="K585" s="13" t="s">
        <v>18</v>
      </c>
      <c r="L585" s="15">
        <v>273.49799999999999</v>
      </c>
      <c r="M585" s="16">
        <v>273.49799999999999</v>
      </c>
    </row>
    <row r="586" spans="1:13" s="5" customFormat="1" x14ac:dyDescent="0.25">
      <c r="A586" s="12" t="s">
        <v>1169</v>
      </c>
      <c r="B586" s="13" t="s">
        <v>1170</v>
      </c>
      <c r="C586" s="14">
        <v>45287</v>
      </c>
      <c r="D586" s="13">
        <v>2023</v>
      </c>
      <c r="E586" s="13" t="s">
        <v>10</v>
      </c>
      <c r="F586" s="13" t="s">
        <v>11</v>
      </c>
      <c r="G586" s="15">
        <v>718.45</v>
      </c>
      <c r="H586" s="15">
        <v>718.45</v>
      </c>
      <c r="I586" s="13">
        <v>2</v>
      </c>
      <c r="J586" s="13">
        <v>2</v>
      </c>
      <c r="K586" s="13" t="s">
        <v>3346</v>
      </c>
      <c r="L586" s="15">
        <v>359.22500000000002</v>
      </c>
      <c r="M586" s="16">
        <v>359.22500000000002</v>
      </c>
    </row>
    <row r="587" spans="1:13" s="5" customFormat="1" x14ac:dyDescent="0.25">
      <c r="A587" s="12" t="s">
        <v>1171</v>
      </c>
      <c r="B587" s="13" t="s">
        <v>1172</v>
      </c>
      <c r="C587" s="14">
        <v>45823</v>
      </c>
      <c r="D587" s="13">
        <v>2025</v>
      </c>
      <c r="E587" s="13" t="s">
        <v>3347</v>
      </c>
      <c r="F587" s="13" t="s">
        <v>11</v>
      </c>
      <c r="G587" s="15">
        <v>1166.22</v>
      </c>
      <c r="H587" s="15">
        <v>1166.22</v>
      </c>
      <c r="I587" s="13">
        <v>3</v>
      </c>
      <c r="J587" s="13">
        <v>3</v>
      </c>
      <c r="K587" s="13" t="s">
        <v>15</v>
      </c>
      <c r="L587" s="15">
        <v>388.74</v>
      </c>
      <c r="M587" s="16">
        <v>388.74</v>
      </c>
    </row>
    <row r="588" spans="1:13" s="5" customFormat="1" x14ac:dyDescent="0.25">
      <c r="A588" s="12" t="s">
        <v>1173</v>
      </c>
      <c r="B588" s="13" t="s">
        <v>1174</v>
      </c>
      <c r="C588" s="14">
        <v>45310</v>
      </c>
      <c r="D588" s="13">
        <v>2024</v>
      </c>
      <c r="E588" s="13" t="s">
        <v>21</v>
      </c>
      <c r="F588" s="13" t="s">
        <v>22</v>
      </c>
      <c r="G588" s="15"/>
      <c r="H588" s="15">
        <v>1299.7117573696144</v>
      </c>
      <c r="I588" s="13">
        <v>4</v>
      </c>
      <c r="J588" s="13">
        <v>4</v>
      </c>
      <c r="K588" s="13" t="s">
        <v>15</v>
      </c>
      <c r="L588" s="15">
        <v>324.92793934240359</v>
      </c>
      <c r="M588" s="16">
        <v>324.92793934240359</v>
      </c>
    </row>
    <row r="589" spans="1:13" s="5" customFormat="1" x14ac:dyDescent="0.25">
      <c r="A589" s="12" t="s">
        <v>1175</v>
      </c>
      <c r="B589" s="13" t="s">
        <v>1176</v>
      </c>
      <c r="C589" s="14">
        <v>44925</v>
      </c>
      <c r="D589" s="13">
        <v>2022</v>
      </c>
      <c r="E589" s="13" t="s">
        <v>10</v>
      </c>
      <c r="F589" s="13" t="s">
        <v>22</v>
      </c>
      <c r="G589" s="15">
        <v>1892.6</v>
      </c>
      <c r="H589" s="15">
        <v>1892.6</v>
      </c>
      <c r="I589" s="13">
        <v>9</v>
      </c>
      <c r="J589" s="13">
        <v>9</v>
      </c>
      <c r="K589" s="13" t="s">
        <v>18</v>
      </c>
      <c r="L589" s="15">
        <v>210.28888888888889</v>
      </c>
      <c r="M589" s="16">
        <v>210.28888888888889</v>
      </c>
    </row>
    <row r="590" spans="1:13" s="5" customFormat="1" x14ac:dyDescent="0.25">
      <c r="A590" s="12" t="s">
        <v>1177</v>
      </c>
      <c r="B590" s="13" t="s">
        <v>1178</v>
      </c>
      <c r="C590" s="14">
        <v>45478</v>
      </c>
      <c r="D590" s="13">
        <v>2024</v>
      </c>
      <c r="E590" s="13" t="s">
        <v>3347</v>
      </c>
      <c r="F590" s="13" t="s">
        <v>22</v>
      </c>
      <c r="G590" s="15"/>
      <c r="H590" s="15">
        <v>2609.1395555555555</v>
      </c>
      <c r="I590" s="13">
        <v>8</v>
      </c>
      <c r="J590" s="13">
        <v>8</v>
      </c>
      <c r="K590" s="13" t="s">
        <v>35</v>
      </c>
      <c r="L590" s="15">
        <v>326.14244444444444</v>
      </c>
      <c r="M590" s="16">
        <v>326.14244444444444</v>
      </c>
    </row>
    <row r="591" spans="1:13" s="5" customFormat="1" x14ac:dyDescent="0.25">
      <c r="A591" s="12" t="s">
        <v>1179</v>
      </c>
      <c r="B591" s="13" t="s">
        <v>1180</v>
      </c>
      <c r="C591" s="14">
        <v>45487</v>
      </c>
      <c r="D591" s="13">
        <v>2024</v>
      </c>
      <c r="E591" s="13" t="s">
        <v>10</v>
      </c>
      <c r="F591" s="13" t="s">
        <v>34</v>
      </c>
      <c r="G591" s="15">
        <v>1298.1400000000001</v>
      </c>
      <c r="H591" s="15">
        <v>1298.1400000000001</v>
      </c>
      <c r="I591" s="13">
        <v>1</v>
      </c>
      <c r="J591" s="13">
        <v>1</v>
      </c>
      <c r="K591" s="13" t="s">
        <v>35</v>
      </c>
      <c r="L591" s="15">
        <v>1298.1400000000001</v>
      </c>
      <c r="M591" s="16">
        <v>1298.1400000000001</v>
      </c>
    </row>
    <row r="592" spans="1:13" s="5" customFormat="1" x14ac:dyDescent="0.25">
      <c r="A592" s="12" t="s">
        <v>1181</v>
      </c>
      <c r="B592" s="13" t="s">
        <v>1182</v>
      </c>
      <c r="C592" s="14">
        <v>45482</v>
      </c>
      <c r="D592" s="13">
        <v>2024</v>
      </c>
      <c r="E592" s="13" t="s">
        <v>3347</v>
      </c>
      <c r="F592" s="13" t="s">
        <v>34</v>
      </c>
      <c r="G592" s="15">
        <v>47.93</v>
      </c>
      <c r="H592" s="15">
        <v>47.93</v>
      </c>
      <c r="I592" s="13">
        <v>3</v>
      </c>
      <c r="J592" s="13">
        <v>3</v>
      </c>
      <c r="K592" s="13" t="s">
        <v>3346</v>
      </c>
      <c r="L592" s="15">
        <v>15.976666666666667</v>
      </c>
      <c r="M592" s="16">
        <v>15.976666666666667</v>
      </c>
    </row>
    <row r="593" spans="1:13" s="5" customFormat="1" x14ac:dyDescent="0.25">
      <c r="A593" s="12" t="s">
        <v>1183</v>
      </c>
      <c r="B593" s="13" t="s">
        <v>1184</v>
      </c>
      <c r="C593" s="14">
        <v>44881</v>
      </c>
      <c r="D593" s="13">
        <v>2022</v>
      </c>
      <c r="E593" s="13" t="s">
        <v>3347</v>
      </c>
      <c r="F593" s="13" t="s">
        <v>11</v>
      </c>
      <c r="G593" s="15">
        <v>757.96</v>
      </c>
      <c r="H593" s="15">
        <v>757.96</v>
      </c>
      <c r="I593" s="13">
        <v>10</v>
      </c>
      <c r="J593" s="13">
        <v>10</v>
      </c>
      <c r="K593" s="13" t="s">
        <v>35</v>
      </c>
      <c r="L593" s="15">
        <v>75.796000000000006</v>
      </c>
      <c r="M593" s="16">
        <v>75.796000000000006</v>
      </c>
    </row>
    <row r="594" spans="1:13" s="5" customFormat="1" x14ac:dyDescent="0.25">
      <c r="A594" s="12" t="s">
        <v>1185</v>
      </c>
      <c r="B594" s="13" t="s">
        <v>1186</v>
      </c>
      <c r="C594" s="14">
        <v>45866</v>
      </c>
      <c r="D594" s="13">
        <v>2025</v>
      </c>
      <c r="E594" s="13" t="s">
        <v>14</v>
      </c>
      <c r="F594" s="13" t="s">
        <v>34</v>
      </c>
      <c r="G594" s="15">
        <v>409.59</v>
      </c>
      <c r="H594" s="15">
        <v>409.59</v>
      </c>
      <c r="I594" s="13">
        <v>6</v>
      </c>
      <c r="J594" s="13">
        <v>6</v>
      </c>
      <c r="K594" s="13" t="s">
        <v>3346</v>
      </c>
      <c r="L594" s="15">
        <v>68.265000000000001</v>
      </c>
      <c r="M594" s="16">
        <v>68.265000000000001</v>
      </c>
    </row>
    <row r="595" spans="1:13" s="5" customFormat="1" x14ac:dyDescent="0.25">
      <c r="A595" s="12" t="s">
        <v>1187</v>
      </c>
      <c r="B595" s="13" t="s">
        <v>1188</v>
      </c>
      <c r="C595" s="14">
        <v>45882</v>
      </c>
      <c r="D595" s="13">
        <v>2025</v>
      </c>
      <c r="E595" s="13" t="s">
        <v>14</v>
      </c>
      <c r="F595" s="13" t="s">
        <v>34</v>
      </c>
      <c r="G595" s="15">
        <v>939.83</v>
      </c>
      <c r="H595" s="15">
        <v>939.83</v>
      </c>
      <c r="I595" s="13"/>
      <c r="J595" s="13">
        <v>2</v>
      </c>
      <c r="K595" s="13" t="s">
        <v>3348</v>
      </c>
      <c r="L595" s="15">
        <v>469.91500000000002</v>
      </c>
      <c r="M595" s="16">
        <v>457.93064814814807</v>
      </c>
    </row>
    <row r="596" spans="1:13" s="5" customFormat="1" x14ac:dyDescent="0.25">
      <c r="A596" s="12" t="s">
        <v>1189</v>
      </c>
      <c r="B596" s="13" t="s">
        <v>1190</v>
      </c>
      <c r="C596" s="14">
        <v>45580</v>
      </c>
      <c r="D596" s="13">
        <v>2024</v>
      </c>
      <c r="E596" s="13" t="s">
        <v>14</v>
      </c>
      <c r="F596" s="13" t="s">
        <v>34</v>
      </c>
      <c r="G596" s="15">
        <v>1136.8900000000001</v>
      </c>
      <c r="H596" s="15">
        <v>1136.8900000000001</v>
      </c>
      <c r="I596" s="13">
        <v>3</v>
      </c>
      <c r="J596" s="13">
        <v>3</v>
      </c>
      <c r="K596" s="13" t="s">
        <v>15</v>
      </c>
      <c r="L596" s="15">
        <v>378.96333333333337</v>
      </c>
      <c r="M596" s="16">
        <v>378.96333333333337</v>
      </c>
    </row>
    <row r="597" spans="1:13" s="5" customFormat="1" x14ac:dyDescent="0.25">
      <c r="A597" s="12" t="s">
        <v>1191</v>
      </c>
      <c r="B597" s="13" t="s">
        <v>1192</v>
      </c>
      <c r="C597" s="14">
        <v>45084</v>
      </c>
      <c r="D597" s="13">
        <v>2023</v>
      </c>
      <c r="E597" s="13" t="s">
        <v>14</v>
      </c>
      <c r="F597" s="13" t="s">
        <v>11</v>
      </c>
      <c r="G597" s="15">
        <v>462.9</v>
      </c>
      <c r="H597" s="15">
        <v>462.9</v>
      </c>
      <c r="I597" s="13">
        <v>9</v>
      </c>
      <c r="J597" s="13">
        <v>9</v>
      </c>
      <c r="K597" s="13" t="s">
        <v>3348</v>
      </c>
      <c r="L597" s="15">
        <v>51.43333333333333</v>
      </c>
      <c r="M597" s="16">
        <v>51.43333333333333</v>
      </c>
    </row>
    <row r="598" spans="1:13" s="5" customFormat="1" x14ac:dyDescent="0.25">
      <c r="A598" s="12" t="s">
        <v>1193</v>
      </c>
      <c r="B598" s="13" t="s">
        <v>1194</v>
      </c>
      <c r="C598" s="14">
        <v>45676</v>
      </c>
      <c r="D598" s="13">
        <v>2025</v>
      </c>
      <c r="E598" s="13" t="s">
        <v>14</v>
      </c>
      <c r="F598" s="13" t="s">
        <v>11</v>
      </c>
      <c r="G598" s="15">
        <v>1169.77</v>
      </c>
      <c r="H598" s="15">
        <v>1169.77</v>
      </c>
      <c r="I598" s="13">
        <v>2</v>
      </c>
      <c r="J598" s="13">
        <v>2</v>
      </c>
      <c r="K598" s="13" t="s">
        <v>3348</v>
      </c>
      <c r="L598" s="15">
        <v>584.88499999999999</v>
      </c>
      <c r="M598" s="16">
        <v>584.88499999999999</v>
      </c>
    </row>
    <row r="599" spans="1:13" s="5" customFormat="1" x14ac:dyDescent="0.25">
      <c r="A599" s="12" t="s">
        <v>1195</v>
      </c>
      <c r="B599" s="13" t="s">
        <v>1196</v>
      </c>
      <c r="C599" s="14">
        <v>45823</v>
      </c>
      <c r="D599" s="13">
        <v>2025</v>
      </c>
      <c r="E599" s="13" t="s">
        <v>3347</v>
      </c>
      <c r="F599" s="13" t="s">
        <v>22</v>
      </c>
      <c r="G599" s="15">
        <v>633.51</v>
      </c>
      <c r="H599" s="15">
        <v>633.51</v>
      </c>
      <c r="I599" s="13">
        <v>3</v>
      </c>
      <c r="J599" s="13">
        <v>3</v>
      </c>
      <c r="K599" s="13" t="s">
        <v>18</v>
      </c>
      <c r="L599" s="15">
        <v>211.17</v>
      </c>
      <c r="M599" s="16">
        <v>211.17</v>
      </c>
    </row>
    <row r="600" spans="1:13" s="5" customFormat="1" x14ac:dyDescent="0.25">
      <c r="A600" s="12" t="s">
        <v>1197</v>
      </c>
      <c r="B600" s="13" t="s">
        <v>1198</v>
      </c>
      <c r="C600" s="14">
        <v>45532</v>
      </c>
      <c r="D600" s="13">
        <v>2024</v>
      </c>
      <c r="E600" s="13" t="s">
        <v>21</v>
      </c>
      <c r="F600" s="13" t="s">
        <v>22</v>
      </c>
      <c r="G600" s="15">
        <v>1405.92</v>
      </c>
      <c r="H600" s="15">
        <v>1405.92</v>
      </c>
      <c r="I600" s="13">
        <v>3</v>
      </c>
      <c r="J600" s="13">
        <v>3</v>
      </c>
      <c r="K600" s="13" t="s">
        <v>35</v>
      </c>
      <c r="L600" s="15">
        <v>468.64000000000004</v>
      </c>
      <c r="M600" s="16">
        <v>468.64000000000004</v>
      </c>
    </row>
    <row r="601" spans="1:13" s="5" customFormat="1" x14ac:dyDescent="0.25">
      <c r="A601" s="12" t="s">
        <v>1199</v>
      </c>
      <c r="B601" s="13" t="s">
        <v>1200</v>
      </c>
      <c r="C601" s="14">
        <v>45286</v>
      </c>
      <c r="D601" s="13">
        <v>2023</v>
      </c>
      <c r="E601" s="13" t="s">
        <v>10</v>
      </c>
      <c r="F601" s="13" t="s">
        <v>22</v>
      </c>
      <c r="G601" s="15">
        <v>1863.46</v>
      </c>
      <c r="H601" s="15">
        <v>1863.46</v>
      </c>
      <c r="I601" s="13">
        <v>6</v>
      </c>
      <c r="J601" s="13">
        <v>6</v>
      </c>
      <c r="K601" s="13" t="s">
        <v>3346</v>
      </c>
      <c r="L601" s="15">
        <v>310.57666666666665</v>
      </c>
      <c r="M601" s="16">
        <v>310.57666666666665</v>
      </c>
    </row>
    <row r="602" spans="1:13" s="5" customFormat="1" x14ac:dyDescent="0.25">
      <c r="A602" s="12" t="s">
        <v>1201</v>
      </c>
      <c r="B602" s="13" t="s">
        <v>1202</v>
      </c>
      <c r="C602" s="14">
        <v>45141</v>
      </c>
      <c r="D602" s="13">
        <v>2023</v>
      </c>
      <c r="E602" s="13" t="s">
        <v>21</v>
      </c>
      <c r="F602" s="13" t="s">
        <v>34</v>
      </c>
      <c r="G602" s="15">
        <v>1170.6199999999999</v>
      </c>
      <c r="H602" s="15">
        <v>1170.6199999999999</v>
      </c>
      <c r="I602" s="13">
        <v>3</v>
      </c>
      <c r="J602" s="13">
        <v>3</v>
      </c>
      <c r="K602" s="13" t="s">
        <v>35</v>
      </c>
      <c r="L602" s="15">
        <v>390.20666666666665</v>
      </c>
      <c r="M602" s="16">
        <v>390.20666666666665</v>
      </c>
    </row>
    <row r="603" spans="1:13" s="5" customFormat="1" x14ac:dyDescent="0.25">
      <c r="A603" s="12" t="s">
        <v>1203</v>
      </c>
      <c r="B603" s="13" t="s">
        <v>1204</v>
      </c>
      <c r="C603" s="14">
        <v>44867</v>
      </c>
      <c r="D603" s="13">
        <v>2022</v>
      </c>
      <c r="E603" s="13" t="s">
        <v>21</v>
      </c>
      <c r="F603" s="13" t="s">
        <v>34</v>
      </c>
      <c r="G603" s="15">
        <v>1561.27</v>
      </c>
      <c r="H603" s="15">
        <v>1561.27</v>
      </c>
      <c r="I603" s="13"/>
      <c r="J603" s="13">
        <v>1</v>
      </c>
      <c r="K603" s="13" t="s">
        <v>15</v>
      </c>
      <c r="L603" s="15">
        <v>1561.27</v>
      </c>
      <c r="M603" s="16">
        <v>1896.8</v>
      </c>
    </row>
    <row r="604" spans="1:13" s="5" customFormat="1" x14ac:dyDescent="0.25">
      <c r="A604" s="12" t="s">
        <v>1205</v>
      </c>
      <c r="B604" s="13" t="s">
        <v>1206</v>
      </c>
      <c r="C604" s="14">
        <v>45629</v>
      </c>
      <c r="D604" s="13">
        <v>2024</v>
      </c>
      <c r="E604" s="13" t="s">
        <v>14</v>
      </c>
      <c r="F604" s="13" t="s">
        <v>34</v>
      </c>
      <c r="G604" s="15">
        <v>614.41999999999996</v>
      </c>
      <c r="H604" s="15">
        <v>614.41999999999996</v>
      </c>
      <c r="I604" s="13">
        <v>7</v>
      </c>
      <c r="J604" s="13">
        <v>7</v>
      </c>
      <c r="K604" s="13" t="s">
        <v>3348</v>
      </c>
      <c r="L604" s="15">
        <v>87.77428571428571</v>
      </c>
      <c r="M604" s="16">
        <v>87.77428571428571</v>
      </c>
    </row>
    <row r="605" spans="1:13" s="5" customFormat="1" x14ac:dyDescent="0.25">
      <c r="A605" s="12" t="s">
        <v>1207</v>
      </c>
      <c r="B605" s="13" t="s">
        <v>698</v>
      </c>
      <c r="C605" s="14">
        <v>45667</v>
      </c>
      <c r="D605" s="13">
        <v>2025</v>
      </c>
      <c r="E605" s="13" t="s">
        <v>10</v>
      </c>
      <c r="F605" s="13" t="s">
        <v>22</v>
      </c>
      <c r="G605" s="15">
        <v>1855.91</v>
      </c>
      <c r="H605" s="15">
        <v>1855.91</v>
      </c>
      <c r="I605" s="13">
        <v>4</v>
      </c>
      <c r="J605" s="13">
        <v>4</v>
      </c>
      <c r="K605" s="13" t="s">
        <v>18</v>
      </c>
      <c r="L605" s="15">
        <v>463.97750000000002</v>
      </c>
      <c r="M605" s="16">
        <v>463.97750000000002</v>
      </c>
    </row>
    <row r="606" spans="1:13" s="5" customFormat="1" x14ac:dyDescent="0.25">
      <c r="A606" s="12" t="s">
        <v>1208</v>
      </c>
      <c r="B606" s="13" t="s">
        <v>1209</v>
      </c>
      <c r="C606" s="14">
        <v>45764</v>
      </c>
      <c r="D606" s="13">
        <v>2025</v>
      </c>
      <c r="E606" s="13" t="s">
        <v>3347</v>
      </c>
      <c r="F606" s="13" t="s">
        <v>34</v>
      </c>
      <c r="G606" s="15">
        <v>1370.63</v>
      </c>
      <c r="H606" s="15">
        <v>1370.63</v>
      </c>
      <c r="I606" s="13">
        <v>10</v>
      </c>
      <c r="J606" s="13">
        <v>10</v>
      </c>
      <c r="K606" s="13" t="s">
        <v>3346</v>
      </c>
      <c r="L606" s="15">
        <v>137.06300000000002</v>
      </c>
      <c r="M606" s="16">
        <v>137.06300000000002</v>
      </c>
    </row>
    <row r="607" spans="1:13" s="5" customFormat="1" x14ac:dyDescent="0.25">
      <c r="A607" s="12" t="s">
        <v>1210</v>
      </c>
      <c r="B607" s="13" t="s">
        <v>1211</v>
      </c>
      <c r="C607" s="14">
        <v>45304</v>
      </c>
      <c r="D607" s="13">
        <v>2024</v>
      </c>
      <c r="E607" s="13" t="s">
        <v>10</v>
      </c>
      <c r="F607" s="13" t="s">
        <v>25</v>
      </c>
      <c r="G607" s="15">
        <v>1913.29</v>
      </c>
      <c r="H607" s="15">
        <v>1913.29</v>
      </c>
      <c r="I607" s="13">
        <v>4</v>
      </c>
      <c r="J607" s="13">
        <v>4</v>
      </c>
      <c r="K607" s="13" t="s">
        <v>18</v>
      </c>
      <c r="L607" s="15">
        <v>478.32249999999999</v>
      </c>
      <c r="M607" s="16">
        <v>478.32249999999999</v>
      </c>
    </row>
    <row r="608" spans="1:13" s="5" customFormat="1" x14ac:dyDescent="0.25">
      <c r="A608" s="12" t="s">
        <v>1212</v>
      </c>
      <c r="B608" s="13" t="s">
        <v>1213</v>
      </c>
      <c r="C608" s="14">
        <v>45443</v>
      </c>
      <c r="D608" s="13">
        <v>2024</v>
      </c>
      <c r="E608" s="13" t="s">
        <v>10</v>
      </c>
      <c r="F608" s="13" t="s">
        <v>22</v>
      </c>
      <c r="G608" s="15">
        <v>65.69</v>
      </c>
      <c r="H608" s="15">
        <v>65.69</v>
      </c>
      <c r="I608" s="13">
        <v>7</v>
      </c>
      <c r="J608" s="13">
        <v>7</v>
      </c>
      <c r="K608" s="13" t="s">
        <v>35</v>
      </c>
      <c r="L608" s="15">
        <v>9.3842857142857135</v>
      </c>
      <c r="M608" s="16">
        <v>9.3842857142857135</v>
      </c>
    </row>
    <row r="609" spans="1:13" s="5" customFormat="1" x14ac:dyDescent="0.25">
      <c r="A609" s="12" t="s">
        <v>1214</v>
      </c>
      <c r="B609" s="13" t="s">
        <v>1215</v>
      </c>
      <c r="C609" s="14">
        <v>45171</v>
      </c>
      <c r="D609" s="13">
        <v>2023</v>
      </c>
      <c r="E609" s="13" t="s">
        <v>21</v>
      </c>
      <c r="F609" s="13" t="s">
        <v>11</v>
      </c>
      <c r="G609" s="15">
        <v>425.01</v>
      </c>
      <c r="H609" s="15">
        <v>425.01</v>
      </c>
      <c r="I609" s="13">
        <v>9</v>
      </c>
      <c r="J609" s="13">
        <v>9</v>
      </c>
      <c r="K609" s="13" t="s">
        <v>3348</v>
      </c>
      <c r="L609" s="15">
        <v>47.223333333333329</v>
      </c>
      <c r="M609" s="16">
        <v>47.223333333333329</v>
      </c>
    </row>
    <row r="610" spans="1:13" s="5" customFormat="1" x14ac:dyDescent="0.25">
      <c r="A610" s="12" t="s">
        <v>1216</v>
      </c>
      <c r="B610" s="13" t="s">
        <v>1217</v>
      </c>
      <c r="C610" s="14">
        <v>45031</v>
      </c>
      <c r="D610" s="13">
        <v>2023</v>
      </c>
      <c r="E610" s="13" t="s">
        <v>3347</v>
      </c>
      <c r="F610" s="13" t="s">
        <v>34</v>
      </c>
      <c r="G610" s="15">
        <v>267.89999999999998</v>
      </c>
      <c r="H610" s="15">
        <v>267.89999999999998</v>
      </c>
      <c r="I610" s="13">
        <v>9</v>
      </c>
      <c r="J610" s="13">
        <v>9</v>
      </c>
      <c r="K610" s="13" t="s">
        <v>35</v>
      </c>
      <c r="L610" s="15">
        <v>29.766666666666666</v>
      </c>
      <c r="M610" s="16">
        <v>29.766666666666666</v>
      </c>
    </row>
    <row r="611" spans="1:13" s="5" customFormat="1" x14ac:dyDescent="0.25">
      <c r="A611" s="12" t="s">
        <v>1218</v>
      </c>
      <c r="B611" s="13" t="s">
        <v>1219</v>
      </c>
      <c r="C611" s="14">
        <v>45239</v>
      </c>
      <c r="D611" s="13">
        <v>2023</v>
      </c>
      <c r="E611" s="13" t="s">
        <v>21</v>
      </c>
      <c r="F611" s="13" t="s">
        <v>34</v>
      </c>
      <c r="G611" s="15">
        <v>1368.14</v>
      </c>
      <c r="H611" s="15">
        <v>1368.14</v>
      </c>
      <c r="I611" s="13"/>
      <c r="J611" s="13">
        <v>9</v>
      </c>
      <c r="K611" s="13" t="s">
        <v>18</v>
      </c>
      <c r="L611" s="15">
        <v>152.01555555555558</v>
      </c>
      <c r="M611" s="16">
        <v>151.93</v>
      </c>
    </row>
    <row r="612" spans="1:13" s="5" customFormat="1" x14ac:dyDescent="0.25">
      <c r="A612" s="12" t="s">
        <v>1220</v>
      </c>
      <c r="B612" s="13" t="s">
        <v>1221</v>
      </c>
      <c r="C612" s="14">
        <v>45941</v>
      </c>
      <c r="D612" s="13">
        <v>2025</v>
      </c>
      <c r="E612" s="13" t="s">
        <v>3347</v>
      </c>
      <c r="F612" s="13" t="s">
        <v>34</v>
      </c>
      <c r="G612" s="15">
        <v>1316.57</v>
      </c>
      <c r="H612" s="15">
        <v>1316.57</v>
      </c>
      <c r="I612" s="13">
        <v>2</v>
      </c>
      <c r="J612" s="13">
        <v>2</v>
      </c>
      <c r="K612" s="13" t="s">
        <v>18</v>
      </c>
      <c r="L612" s="15">
        <v>658.28499999999997</v>
      </c>
      <c r="M612" s="16">
        <v>658.28499999999997</v>
      </c>
    </row>
    <row r="613" spans="1:13" s="5" customFormat="1" x14ac:dyDescent="0.25">
      <c r="A613" s="12" t="s">
        <v>1222</v>
      </c>
      <c r="B613" s="13" t="s">
        <v>1223</v>
      </c>
      <c r="C613" s="14">
        <v>45461</v>
      </c>
      <c r="D613" s="13">
        <v>2024</v>
      </c>
      <c r="E613" s="13" t="s">
        <v>14</v>
      </c>
      <c r="F613" s="13" t="s">
        <v>34</v>
      </c>
      <c r="G613" s="15">
        <v>1044.3599999999999</v>
      </c>
      <c r="H613" s="15">
        <v>1044.3599999999999</v>
      </c>
      <c r="I613" s="13">
        <v>9</v>
      </c>
      <c r="J613" s="13">
        <v>9</v>
      </c>
      <c r="K613" s="13" t="s">
        <v>15</v>
      </c>
      <c r="L613" s="15">
        <v>116.03999999999999</v>
      </c>
      <c r="M613" s="16">
        <v>116.03999999999999</v>
      </c>
    </row>
    <row r="614" spans="1:13" s="5" customFormat="1" x14ac:dyDescent="0.25">
      <c r="A614" s="12" t="s">
        <v>1224</v>
      </c>
      <c r="B614" s="13" t="s">
        <v>1225</v>
      </c>
      <c r="C614" s="14">
        <v>45039</v>
      </c>
      <c r="D614" s="13">
        <v>2023</v>
      </c>
      <c r="E614" s="13" t="s">
        <v>10</v>
      </c>
      <c r="F614" s="13" t="s">
        <v>34</v>
      </c>
      <c r="G614" s="15">
        <v>574.02</v>
      </c>
      <c r="H614" s="15">
        <v>574.02</v>
      </c>
      <c r="I614" s="13">
        <v>5</v>
      </c>
      <c r="J614" s="13">
        <v>5</v>
      </c>
      <c r="K614" s="13" t="s">
        <v>3348</v>
      </c>
      <c r="L614" s="15">
        <v>114.804</v>
      </c>
      <c r="M614" s="16">
        <v>114.804</v>
      </c>
    </row>
    <row r="615" spans="1:13" s="5" customFormat="1" x14ac:dyDescent="0.25">
      <c r="A615" s="12" t="s">
        <v>1226</v>
      </c>
      <c r="B615" s="13" t="s">
        <v>1227</v>
      </c>
      <c r="C615" s="14">
        <v>45418</v>
      </c>
      <c r="D615" s="13">
        <v>2024</v>
      </c>
      <c r="E615" s="13" t="s">
        <v>3347</v>
      </c>
      <c r="F615" s="13" t="s">
        <v>25</v>
      </c>
      <c r="G615" s="15">
        <v>57.13</v>
      </c>
      <c r="H615" s="15">
        <v>57.13</v>
      </c>
      <c r="I615" s="13">
        <v>9</v>
      </c>
      <c r="J615" s="13">
        <v>9</v>
      </c>
      <c r="K615" s="13" t="s">
        <v>15</v>
      </c>
      <c r="L615" s="15">
        <v>6.347777777777778</v>
      </c>
      <c r="M615" s="16">
        <v>6.347777777777778</v>
      </c>
    </row>
    <row r="616" spans="1:13" s="5" customFormat="1" x14ac:dyDescent="0.25">
      <c r="A616" s="12" t="s">
        <v>1228</v>
      </c>
      <c r="B616" s="13" t="s">
        <v>1229</v>
      </c>
      <c r="C616" s="14">
        <v>45302</v>
      </c>
      <c r="D616" s="13">
        <v>2024</v>
      </c>
      <c r="E616" s="13" t="s">
        <v>3347</v>
      </c>
      <c r="F616" s="13" t="s">
        <v>22</v>
      </c>
      <c r="G616" s="15">
        <v>1853.99</v>
      </c>
      <c r="H616" s="15">
        <v>1853.99</v>
      </c>
      <c r="I616" s="13"/>
      <c r="J616" s="13">
        <v>5</v>
      </c>
      <c r="K616" s="13" t="s">
        <v>3346</v>
      </c>
      <c r="L616" s="15">
        <v>370.798</v>
      </c>
      <c r="M616" s="16">
        <v>340.9203843537415</v>
      </c>
    </row>
    <row r="617" spans="1:13" s="5" customFormat="1" x14ac:dyDescent="0.25">
      <c r="A617" s="12" t="s">
        <v>1230</v>
      </c>
      <c r="B617" s="13" t="s">
        <v>1231</v>
      </c>
      <c r="C617" s="14">
        <v>44962</v>
      </c>
      <c r="D617" s="13">
        <v>2023</v>
      </c>
      <c r="E617" s="13" t="s">
        <v>14</v>
      </c>
      <c r="F617" s="13" t="s">
        <v>34</v>
      </c>
      <c r="G617" s="15">
        <v>356.03</v>
      </c>
      <c r="H617" s="15">
        <v>356.03</v>
      </c>
      <c r="I617" s="13"/>
      <c r="J617" s="13">
        <v>1</v>
      </c>
      <c r="K617" s="13" t="s">
        <v>3348</v>
      </c>
      <c r="L617" s="15">
        <v>356.03</v>
      </c>
      <c r="M617" s="16">
        <v>390.75545833333331</v>
      </c>
    </row>
    <row r="618" spans="1:13" s="5" customFormat="1" x14ac:dyDescent="0.25">
      <c r="A618" s="12" t="s">
        <v>1232</v>
      </c>
      <c r="B618" s="13" t="s">
        <v>1233</v>
      </c>
      <c r="C618" s="14">
        <v>45643</v>
      </c>
      <c r="D618" s="13">
        <v>2024</v>
      </c>
      <c r="E618" s="13" t="s">
        <v>3347</v>
      </c>
      <c r="F618" s="13" t="s">
        <v>22</v>
      </c>
      <c r="G618" s="15"/>
      <c r="H618" s="15">
        <v>340.9203843537415</v>
      </c>
      <c r="I618" s="13">
        <v>1</v>
      </c>
      <c r="J618" s="13">
        <v>1</v>
      </c>
      <c r="K618" s="13" t="s">
        <v>3346</v>
      </c>
      <c r="L618" s="15">
        <v>340.9203843537415</v>
      </c>
      <c r="M618" s="16">
        <v>340.9203843537415</v>
      </c>
    </row>
    <row r="619" spans="1:13" s="5" customFormat="1" x14ac:dyDescent="0.25">
      <c r="A619" s="12" t="s">
        <v>1234</v>
      </c>
      <c r="B619" s="13" t="s">
        <v>1037</v>
      </c>
      <c r="C619" s="14">
        <v>45600</v>
      </c>
      <c r="D619" s="13">
        <v>2024</v>
      </c>
      <c r="E619" s="13" t="s">
        <v>14</v>
      </c>
      <c r="F619" s="13" t="s">
        <v>11</v>
      </c>
      <c r="G619" s="15">
        <v>1315.24</v>
      </c>
      <c r="H619" s="15">
        <v>1315.24</v>
      </c>
      <c r="I619" s="13">
        <v>4</v>
      </c>
      <c r="J619" s="13">
        <v>4</v>
      </c>
      <c r="K619" s="13" t="s">
        <v>3346</v>
      </c>
      <c r="L619" s="15">
        <v>328.81</v>
      </c>
      <c r="M619" s="16">
        <v>328.81</v>
      </c>
    </row>
    <row r="620" spans="1:13" s="5" customFormat="1" x14ac:dyDescent="0.25">
      <c r="A620" s="12" t="s">
        <v>1235</v>
      </c>
      <c r="B620" s="13" t="s">
        <v>1236</v>
      </c>
      <c r="C620" s="14">
        <v>44939</v>
      </c>
      <c r="D620" s="13">
        <v>2023</v>
      </c>
      <c r="E620" s="13" t="s">
        <v>14</v>
      </c>
      <c r="F620" s="13" t="s">
        <v>34</v>
      </c>
      <c r="G620" s="15">
        <v>1048.72</v>
      </c>
      <c r="H620" s="15">
        <v>1048.72</v>
      </c>
      <c r="I620" s="13">
        <v>5</v>
      </c>
      <c r="J620" s="13">
        <v>5</v>
      </c>
      <c r="K620" s="13" t="s">
        <v>3346</v>
      </c>
      <c r="L620" s="15">
        <v>209.744</v>
      </c>
      <c r="M620" s="16">
        <v>209.744</v>
      </c>
    </row>
    <row r="621" spans="1:13" s="5" customFormat="1" x14ac:dyDescent="0.25">
      <c r="A621" s="12" t="s">
        <v>1237</v>
      </c>
      <c r="B621" s="13" t="s">
        <v>1238</v>
      </c>
      <c r="C621" s="14">
        <v>45289</v>
      </c>
      <c r="D621" s="13">
        <v>2023</v>
      </c>
      <c r="E621" s="13" t="s">
        <v>14</v>
      </c>
      <c r="F621" s="13" t="s">
        <v>22</v>
      </c>
      <c r="G621" s="15">
        <v>1224.19</v>
      </c>
      <c r="H621" s="15">
        <v>1224.19</v>
      </c>
      <c r="I621" s="13">
        <v>7</v>
      </c>
      <c r="J621" s="13">
        <v>7</v>
      </c>
      <c r="K621" s="13" t="s">
        <v>15</v>
      </c>
      <c r="L621" s="15">
        <v>174.88428571428571</v>
      </c>
      <c r="M621" s="16">
        <v>174.88428571428571</v>
      </c>
    </row>
    <row r="622" spans="1:13" s="5" customFormat="1" x14ac:dyDescent="0.25">
      <c r="A622" s="12" t="s">
        <v>1239</v>
      </c>
      <c r="B622" s="13" t="s">
        <v>1240</v>
      </c>
      <c r="C622" s="14">
        <v>45358</v>
      </c>
      <c r="D622" s="13">
        <v>2024</v>
      </c>
      <c r="E622" s="13" t="s">
        <v>14</v>
      </c>
      <c r="F622" s="13" t="s">
        <v>34</v>
      </c>
      <c r="G622" s="15">
        <v>408.87</v>
      </c>
      <c r="H622" s="15">
        <v>408.87</v>
      </c>
      <c r="I622" s="13">
        <v>4</v>
      </c>
      <c r="J622" s="13">
        <v>4</v>
      </c>
      <c r="K622" s="13" t="s">
        <v>35</v>
      </c>
      <c r="L622" s="15">
        <v>102.2175</v>
      </c>
      <c r="M622" s="16">
        <v>102.2175</v>
      </c>
    </row>
    <row r="623" spans="1:13" s="5" customFormat="1" x14ac:dyDescent="0.25">
      <c r="A623" s="12" t="s">
        <v>1241</v>
      </c>
      <c r="B623" s="13" t="s">
        <v>1242</v>
      </c>
      <c r="C623" s="14">
        <v>44898</v>
      </c>
      <c r="D623" s="13">
        <v>2022</v>
      </c>
      <c r="E623" s="13" t="s">
        <v>14</v>
      </c>
      <c r="F623" s="13" t="s">
        <v>34</v>
      </c>
      <c r="G623" s="15">
        <v>500.28</v>
      </c>
      <c r="H623" s="15">
        <v>500.28</v>
      </c>
      <c r="I623" s="13">
        <v>4</v>
      </c>
      <c r="J623" s="13">
        <v>4</v>
      </c>
      <c r="K623" s="13" t="s">
        <v>3348</v>
      </c>
      <c r="L623" s="15">
        <v>125.07</v>
      </c>
      <c r="M623" s="16">
        <v>125.07</v>
      </c>
    </row>
    <row r="624" spans="1:13" s="5" customFormat="1" x14ac:dyDescent="0.25">
      <c r="A624" s="12" t="s">
        <v>1243</v>
      </c>
      <c r="B624" s="13" t="s">
        <v>1244</v>
      </c>
      <c r="C624" s="14">
        <v>45376</v>
      </c>
      <c r="D624" s="13">
        <v>2024</v>
      </c>
      <c r="E624" s="13" t="s">
        <v>14</v>
      </c>
      <c r="F624" s="13" t="s">
        <v>25</v>
      </c>
      <c r="G624" s="15"/>
      <c r="H624" s="15">
        <v>646.66000000000008</v>
      </c>
      <c r="I624" s="13">
        <v>4</v>
      </c>
      <c r="J624" s="13">
        <v>4</v>
      </c>
      <c r="K624" s="13" t="s">
        <v>3346</v>
      </c>
      <c r="L624" s="15">
        <v>161.66500000000002</v>
      </c>
      <c r="M624" s="16">
        <v>161.66500000000002</v>
      </c>
    </row>
    <row r="625" spans="1:13" s="5" customFormat="1" x14ac:dyDescent="0.25">
      <c r="A625" s="12" t="s">
        <v>1245</v>
      </c>
      <c r="B625" s="13" t="s">
        <v>1246</v>
      </c>
      <c r="C625" s="14">
        <v>45501</v>
      </c>
      <c r="D625" s="13">
        <v>2024</v>
      </c>
      <c r="E625" s="13" t="s">
        <v>14</v>
      </c>
      <c r="F625" s="13" t="s">
        <v>22</v>
      </c>
      <c r="G625" s="15"/>
      <c r="H625" s="15">
        <v>1324.2187777777779</v>
      </c>
      <c r="I625" s="13">
        <v>7</v>
      </c>
      <c r="J625" s="13">
        <v>7</v>
      </c>
      <c r="K625" s="13" t="s">
        <v>3348</v>
      </c>
      <c r="L625" s="15">
        <v>189.17411111111113</v>
      </c>
      <c r="M625" s="16">
        <v>189.17411111111113</v>
      </c>
    </row>
    <row r="626" spans="1:13" s="5" customFormat="1" x14ac:dyDescent="0.25">
      <c r="A626" s="12" t="s">
        <v>1247</v>
      </c>
      <c r="B626" s="13" t="s">
        <v>1084</v>
      </c>
      <c r="C626" s="14">
        <v>45399</v>
      </c>
      <c r="D626" s="13">
        <v>2024</v>
      </c>
      <c r="E626" s="13" t="s">
        <v>14</v>
      </c>
      <c r="F626" s="13" t="s">
        <v>22</v>
      </c>
      <c r="G626" s="15">
        <v>441.75</v>
      </c>
      <c r="H626" s="15">
        <v>441.75</v>
      </c>
      <c r="I626" s="13"/>
      <c r="J626" s="13">
        <v>3</v>
      </c>
      <c r="K626" s="13" t="s">
        <v>3346</v>
      </c>
      <c r="L626" s="15">
        <v>147.25</v>
      </c>
      <c r="M626" s="16">
        <v>138.48499553571429</v>
      </c>
    </row>
    <row r="627" spans="1:13" s="5" customFormat="1" x14ac:dyDescent="0.25">
      <c r="A627" s="12" t="s">
        <v>1248</v>
      </c>
      <c r="B627" s="13" t="s">
        <v>1249</v>
      </c>
      <c r="C627" s="14">
        <v>45127</v>
      </c>
      <c r="D627" s="13">
        <v>2023</v>
      </c>
      <c r="E627" s="13" t="s">
        <v>3347</v>
      </c>
      <c r="F627" s="13" t="s">
        <v>25</v>
      </c>
      <c r="G627" s="15">
        <v>1794.84</v>
      </c>
      <c r="H627" s="15">
        <v>1794.84</v>
      </c>
      <c r="I627" s="13">
        <v>5</v>
      </c>
      <c r="J627" s="13">
        <v>5</v>
      </c>
      <c r="K627" s="13" t="s">
        <v>3346</v>
      </c>
      <c r="L627" s="15">
        <v>358.96799999999996</v>
      </c>
      <c r="M627" s="16">
        <v>358.96799999999996</v>
      </c>
    </row>
    <row r="628" spans="1:13" s="5" customFormat="1" x14ac:dyDescent="0.25">
      <c r="A628" s="12" t="s">
        <v>1250</v>
      </c>
      <c r="B628" s="13" t="s">
        <v>1251</v>
      </c>
      <c r="C628" s="14">
        <v>45854</v>
      </c>
      <c r="D628" s="13">
        <v>2025</v>
      </c>
      <c r="E628" s="13" t="s">
        <v>21</v>
      </c>
      <c r="F628" s="13" t="s">
        <v>25</v>
      </c>
      <c r="G628" s="15"/>
      <c r="H628" s="15">
        <v>3548.2821388888883</v>
      </c>
      <c r="I628" s="13">
        <v>8</v>
      </c>
      <c r="J628" s="13">
        <v>8</v>
      </c>
      <c r="K628" s="13" t="s">
        <v>18</v>
      </c>
      <c r="L628" s="15">
        <v>602.04750000000001</v>
      </c>
      <c r="M628" s="16">
        <v>602.04750000000001</v>
      </c>
    </row>
    <row r="629" spans="1:13" s="5" customFormat="1" x14ac:dyDescent="0.25">
      <c r="A629" s="12" t="s">
        <v>1252</v>
      </c>
      <c r="B629" s="13" t="s">
        <v>241</v>
      </c>
      <c r="C629" s="14">
        <v>45678</v>
      </c>
      <c r="D629" s="13">
        <v>2025</v>
      </c>
      <c r="E629" s="13" t="s">
        <v>10</v>
      </c>
      <c r="F629" s="13" t="s">
        <v>22</v>
      </c>
      <c r="G629" s="15">
        <v>740.95</v>
      </c>
      <c r="H629" s="15">
        <v>740.95</v>
      </c>
      <c r="I629" s="13">
        <v>1</v>
      </c>
      <c r="J629" s="13">
        <v>1</v>
      </c>
      <c r="K629" s="13" t="s">
        <v>18</v>
      </c>
      <c r="L629" s="15">
        <v>740.95</v>
      </c>
      <c r="M629" s="16">
        <v>740.95</v>
      </c>
    </row>
    <row r="630" spans="1:13" s="5" customFormat="1" x14ac:dyDescent="0.25">
      <c r="A630" s="12" t="s">
        <v>1253</v>
      </c>
      <c r="B630" s="13" t="s">
        <v>1254</v>
      </c>
      <c r="C630" s="14">
        <v>45908</v>
      </c>
      <c r="D630" s="13">
        <v>2025</v>
      </c>
      <c r="E630" s="13" t="s">
        <v>21</v>
      </c>
      <c r="F630" s="13" t="s">
        <v>22</v>
      </c>
      <c r="G630" s="15">
        <v>153.41</v>
      </c>
      <c r="H630" s="15">
        <v>153.41</v>
      </c>
      <c r="I630" s="13">
        <v>7</v>
      </c>
      <c r="J630" s="13">
        <v>7</v>
      </c>
      <c r="K630" s="13" t="s">
        <v>3346</v>
      </c>
      <c r="L630" s="15">
        <v>21.915714285714284</v>
      </c>
      <c r="M630" s="16">
        <v>21.915714285714284</v>
      </c>
    </row>
    <row r="631" spans="1:13" s="5" customFormat="1" x14ac:dyDescent="0.25">
      <c r="A631" s="12" t="s">
        <v>1255</v>
      </c>
      <c r="B631" s="13" t="s">
        <v>1256</v>
      </c>
      <c r="C631" s="14">
        <v>45305</v>
      </c>
      <c r="D631" s="13">
        <v>2024</v>
      </c>
      <c r="E631" s="13" t="s">
        <v>10</v>
      </c>
      <c r="F631" s="13" t="s">
        <v>34</v>
      </c>
      <c r="G631" s="15">
        <v>325.37</v>
      </c>
      <c r="H631" s="15">
        <v>325.37</v>
      </c>
      <c r="I631" s="13">
        <v>3</v>
      </c>
      <c r="J631" s="13">
        <v>3</v>
      </c>
      <c r="K631" s="13" t="s">
        <v>15</v>
      </c>
      <c r="L631" s="15">
        <v>108.45666666666666</v>
      </c>
      <c r="M631" s="16">
        <v>108.45666666666666</v>
      </c>
    </row>
    <row r="632" spans="1:13" s="5" customFormat="1" x14ac:dyDescent="0.25">
      <c r="A632" s="12" t="s">
        <v>1257</v>
      </c>
      <c r="B632" s="13" t="s">
        <v>223</v>
      </c>
      <c r="C632" s="14">
        <v>45211</v>
      </c>
      <c r="D632" s="13">
        <v>2023</v>
      </c>
      <c r="E632" s="13" t="s">
        <v>3347</v>
      </c>
      <c r="F632" s="13" t="s">
        <v>22</v>
      </c>
      <c r="G632" s="15">
        <v>849.49</v>
      </c>
      <c r="H632" s="15">
        <v>849.49</v>
      </c>
      <c r="I632" s="13">
        <v>7</v>
      </c>
      <c r="J632" s="13">
        <v>7</v>
      </c>
      <c r="K632" s="13" t="s">
        <v>18</v>
      </c>
      <c r="L632" s="15">
        <v>121.35571428571428</v>
      </c>
      <c r="M632" s="16">
        <v>121.35571428571428</v>
      </c>
    </row>
    <row r="633" spans="1:13" s="5" customFormat="1" x14ac:dyDescent="0.25">
      <c r="A633" s="12" t="s">
        <v>1258</v>
      </c>
      <c r="B633" s="13" t="s">
        <v>1259</v>
      </c>
      <c r="C633" s="14">
        <v>45364</v>
      </c>
      <c r="D633" s="13">
        <v>2024</v>
      </c>
      <c r="E633" s="13" t="s">
        <v>3347</v>
      </c>
      <c r="F633" s="13" t="s">
        <v>25</v>
      </c>
      <c r="G633" s="15">
        <v>66.02</v>
      </c>
      <c r="H633" s="15">
        <v>66.02</v>
      </c>
      <c r="I633" s="13">
        <v>6</v>
      </c>
      <c r="J633" s="13">
        <v>6</v>
      </c>
      <c r="K633" s="13" t="s">
        <v>18</v>
      </c>
      <c r="L633" s="15">
        <v>11.003333333333332</v>
      </c>
      <c r="M633" s="16">
        <v>11.003333333333332</v>
      </c>
    </row>
    <row r="634" spans="1:13" s="5" customFormat="1" x14ac:dyDescent="0.25">
      <c r="A634" s="12" t="s">
        <v>1260</v>
      </c>
      <c r="B634" s="13" t="s">
        <v>1261</v>
      </c>
      <c r="C634" s="14">
        <v>44972</v>
      </c>
      <c r="D634" s="13">
        <v>2023</v>
      </c>
      <c r="E634" s="13" t="s">
        <v>14</v>
      </c>
      <c r="F634" s="13" t="s">
        <v>11</v>
      </c>
      <c r="G634" s="15">
        <v>25.85</v>
      </c>
      <c r="H634" s="15">
        <v>25.85</v>
      </c>
      <c r="I634" s="13">
        <v>1</v>
      </c>
      <c r="J634" s="13">
        <v>1</v>
      </c>
      <c r="K634" s="13" t="s">
        <v>3348</v>
      </c>
      <c r="L634" s="15">
        <v>25.85</v>
      </c>
      <c r="M634" s="16">
        <v>25.85</v>
      </c>
    </row>
    <row r="635" spans="1:13" s="5" customFormat="1" x14ac:dyDescent="0.25">
      <c r="A635" s="12" t="s">
        <v>1262</v>
      </c>
      <c r="B635" s="13" t="s">
        <v>1263</v>
      </c>
      <c r="C635" s="14">
        <v>45314</v>
      </c>
      <c r="D635" s="13">
        <v>2024</v>
      </c>
      <c r="E635" s="13" t="s">
        <v>3347</v>
      </c>
      <c r="F635" s="13" t="s">
        <v>11</v>
      </c>
      <c r="G635" s="15">
        <v>1218.8</v>
      </c>
      <c r="H635" s="15">
        <v>1218.8</v>
      </c>
      <c r="I635" s="13">
        <v>6</v>
      </c>
      <c r="J635" s="13">
        <v>6</v>
      </c>
      <c r="K635" s="13" t="s">
        <v>35</v>
      </c>
      <c r="L635" s="15">
        <v>203.13333333333333</v>
      </c>
      <c r="M635" s="16">
        <v>203.13333333333333</v>
      </c>
    </row>
    <row r="636" spans="1:13" s="5" customFormat="1" x14ac:dyDescent="0.25">
      <c r="A636" s="12" t="s">
        <v>1264</v>
      </c>
      <c r="B636" s="13" t="s">
        <v>1265</v>
      </c>
      <c r="C636" s="14">
        <v>45143</v>
      </c>
      <c r="D636" s="13">
        <v>2023</v>
      </c>
      <c r="E636" s="13" t="s">
        <v>10</v>
      </c>
      <c r="F636" s="13" t="s">
        <v>11</v>
      </c>
      <c r="G636" s="15">
        <v>294.57</v>
      </c>
      <c r="H636" s="15">
        <v>294.57</v>
      </c>
      <c r="I636" s="13">
        <v>4</v>
      </c>
      <c r="J636" s="13">
        <v>4</v>
      </c>
      <c r="K636" s="13" t="s">
        <v>3348</v>
      </c>
      <c r="L636" s="15">
        <v>73.642499999999998</v>
      </c>
      <c r="M636" s="16">
        <v>73.642499999999998</v>
      </c>
    </row>
    <row r="637" spans="1:13" s="5" customFormat="1" x14ac:dyDescent="0.25">
      <c r="A637" s="12" t="s">
        <v>1266</v>
      </c>
      <c r="B637" s="13" t="s">
        <v>1267</v>
      </c>
      <c r="C637" s="14">
        <v>45934</v>
      </c>
      <c r="D637" s="13">
        <v>2025</v>
      </c>
      <c r="E637" s="13" t="s">
        <v>14</v>
      </c>
      <c r="F637" s="13" t="s">
        <v>22</v>
      </c>
      <c r="G637" s="15">
        <v>719.66</v>
      </c>
      <c r="H637" s="15">
        <v>719.66</v>
      </c>
      <c r="I637" s="13">
        <v>4</v>
      </c>
      <c r="J637" s="13">
        <v>4</v>
      </c>
      <c r="K637" s="13" t="s">
        <v>3346</v>
      </c>
      <c r="L637" s="15">
        <v>179.91499999999999</v>
      </c>
      <c r="M637" s="16">
        <v>179.91499999999999</v>
      </c>
    </row>
    <row r="638" spans="1:13" s="5" customFormat="1" x14ac:dyDescent="0.25">
      <c r="A638" s="12" t="s">
        <v>1268</v>
      </c>
      <c r="B638" s="13" t="s">
        <v>1269</v>
      </c>
      <c r="C638" s="14">
        <v>45456</v>
      </c>
      <c r="D638" s="13">
        <v>2024</v>
      </c>
      <c r="E638" s="13" t="s">
        <v>3347</v>
      </c>
      <c r="F638" s="13" t="s">
        <v>22</v>
      </c>
      <c r="G638" s="15">
        <v>1541.64</v>
      </c>
      <c r="H638" s="15">
        <v>1541.64</v>
      </c>
      <c r="I638" s="13">
        <v>3</v>
      </c>
      <c r="J638" s="13">
        <v>3</v>
      </c>
      <c r="K638" s="13" t="s">
        <v>3346</v>
      </c>
      <c r="L638" s="15">
        <v>513.88</v>
      </c>
      <c r="M638" s="16">
        <v>513.88</v>
      </c>
    </row>
    <row r="639" spans="1:13" s="5" customFormat="1" x14ac:dyDescent="0.25">
      <c r="A639" s="12" t="s">
        <v>1270</v>
      </c>
      <c r="B639" s="13" t="s">
        <v>1271</v>
      </c>
      <c r="C639" s="14">
        <v>45227</v>
      </c>
      <c r="D639" s="13">
        <v>2023</v>
      </c>
      <c r="E639" s="13" t="s">
        <v>21</v>
      </c>
      <c r="F639" s="13" t="s">
        <v>34</v>
      </c>
      <c r="G639" s="15">
        <v>1799.03</v>
      </c>
      <c r="H639" s="15">
        <v>1799.03</v>
      </c>
      <c r="I639" s="13">
        <v>5</v>
      </c>
      <c r="J639" s="13">
        <v>5</v>
      </c>
      <c r="K639" s="13" t="s">
        <v>15</v>
      </c>
      <c r="L639" s="15">
        <v>359.80599999999998</v>
      </c>
      <c r="M639" s="16">
        <v>359.80599999999998</v>
      </c>
    </row>
    <row r="640" spans="1:13" s="5" customFormat="1" x14ac:dyDescent="0.25">
      <c r="A640" s="12" t="s">
        <v>1272</v>
      </c>
      <c r="B640" s="13" t="s">
        <v>1273</v>
      </c>
      <c r="C640" s="14">
        <v>45100</v>
      </c>
      <c r="D640" s="13">
        <v>2023</v>
      </c>
      <c r="E640" s="13" t="s">
        <v>14</v>
      </c>
      <c r="F640" s="13" t="s">
        <v>34</v>
      </c>
      <c r="G640" s="15">
        <v>806.24</v>
      </c>
      <c r="H640" s="15">
        <v>806.24</v>
      </c>
      <c r="I640" s="13">
        <v>4</v>
      </c>
      <c r="J640" s="13">
        <v>4</v>
      </c>
      <c r="K640" s="13" t="s">
        <v>3346</v>
      </c>
      <c r="L640" s="15">
        <v>201.56</v>
      </c>
      <c r="M640" s="16">
        <v>201.56</v>
      </c>
    </row>
    <row r="641" spans="1:13" s="5" customFormat="1" x14ac:dyDescent="0.25">
      <c r="A641" s="12" t="s">
        <v>1274</v>
      </c>
      <c r="B641" s="13" t="s">
        <v>133</v>
      </c>
      <c r="C641" s="14">
        <v>45260</v>
      </c>
      <c r="D641" s="13">
        <v>2023</v>
      </c>
      <c r="E641" s="13" t="s">
        <v>21</v>
      </c>
      <c r="F641" s="13" t="s">
        <v>22</v>
      </c>
      <c r="G641" s="15">
        <v>308.39999999999998</v>
      </c>
      <c r="H641" s="15">
        <v>308.39999999999998</v>
      </c>
      <c r="I641" s="13">
        <v>7</v>
      </c>
      <c r="J641" s="13">
        <v>7</v>
      </c>
      <c r="K641" s="13" t="s">
        <v>15</v>
      </c>
      <c r="L641" s="15">
        <v>44.057142857142857</v>
      </c>
      <c r="M641" s="16">
        <v>44.057142857142857</v>
      </c>
    </row>
    <row r="642" spans="1:13" s="5" customFormat="1" x14ac:dyDescent="0.25">
      <c r="A642" s="12" t="s">
        <v>1275</v>
      </c>
      <c r="B642" s="13" t="s">
        <v>1276</v>
      </c>
      <c r="C642" s="14">
        <v>45671</v>
      </c>
      <c r="D642" s="13">
        <v>2025</v>
      </c>
      <c r="E642" s="13" t="s">
        <v>3347</v>
      </c>
      <c r="F642" s="13" t="s">
        <v>22</v>
      </c>
      <c r="G642" s="15">
        <v>344.94</v>
      </c>
      <c r="H642" s="15">
        <v>344.94</v>
      </c>
      <c r="I642" s="13"/>
      <c r="J642" s="13">
        <v>1</v>
      </c>
      <c r="K642" s="13" t="s">
        <v>18</v>
      </c>
      <c r="L642" s="15">
        <v>344.94</v>
      </c>
      <c r="M642" s="16">
        <v>386.83979166666671</v>
      </c>
    </row>
    <row r="643" spans="1:13" s="5" customFormat="1" x14ac:dyDescent="0.25">
      <c r="A643" s="12" t="s">
        <v>1277</v>
      </c>
      <c r="B643" s="13" t="s">
        <v>1278</v>
      </c>
      <c r="C643" s="14">
        <v>45052</v>
      </c>
      <c r="D643" s="13">
        <v>2023</v>
      </c>
      <c r="E643" s="13" t="s">
        <v>14</v>
      </c>
      <c r="F643" s="13" t="s">
        <v>11</v>
      </c>
      <c r="G643" s="15">
        <v>1750.18</v>
      </c>
      <c r="H643" s="15">
        <v>1750.18</v>
      </c>
      <c r="I643" s="13">
        <v>9</v>
      </c>
      <c r="J643" s="13">
        <v>9</v>
      </c>
      <c r="K643" s="13" t="s">
        <v>35</v>
      </c>
      <c r="L643" s="15">
        <v>194.46444444444444</v>
      </c>
      <c r="M643" s="16">
        <v>194.46444444444444</v>
      </c>
    </row>
    <row r="644" spans="1:13" s="5" customFormat="1" x14ac:dyDescent="0.25">
      <c r="A644" s="12" t="s">
        <v>1279</v>
      </c>
      <c r="B644" s="13" t="s">
        <v>1280</v>
      </c>
      <c r="C644" s="14">
        <v>45330</v>
      </c>
      <c r="D644" s="13">
        <v>2024</v>
      </c>
      <c r="E644" s="13" t="s">
        <v>3347</v>
      </c>
      <c r="F644" s="13" t="s">
        <v>22</v>
      </c>
      <c r="G644" s="15">
        <v>1242.44</v>
      </c>
      <c r="H644" s="15">
        <v>1242.44</v>
      </c>
      <c r="I644" s="13">
        <v>9</v>
      </c>
      <c r="J644" s="13">
        <v>9</v>
      </c>
      <c r="K644" s="13" t="s">
        <v>15</v>
      </c>
      <c r="L644" s="15">
        <v>138.04888888888888</v>
      </c>
      <c r="M644" s="16">
        <v>138.04888888888888</v>
      </c>
    </row>
    <row r="645" spans="1:13" s="5" customFormat="1" x14ac:dyDescent="0.25">
      <c r="A645" s="12" t="s">
        <v>1281</v>
      </c>
      <c r="B645" s="13" t="s">
        <v>1282</v>
      </c>
      <c r="C645" s="14">
        <v>45900</v>
      </c>
      <c r="D645" s="13">
        <v>2025</v>
      </c>
      <c r="E645" s="13" t="s">
        <v>3347</v>
      </c>
      <c r="F645" s="13" t="s">
        <v>34</v>
      </c>
      <c r="G645" s="15">
        <v>1575.82</v>
      </c>
      <c r="H645" s="15">
        <v>1575.82</v>
      </c>
      <c r="I645" s="13">
        <v>7</v>
      </c>
      <c r="J645" s="13">
        <v>7</v>
      </c>
      <c r="K645" s="13" t="s">
        <v>35</v>
      </c>
      <c r="L645" s="15">
        <v>225.11714285714285</v>
      </c>
      <c r="M645" s="16">
        <v>225.11714285714285</v>
      </c>
    </row>
    <row r="646" spans="1:13" s="5" customFormat="1" x14ac:dyDescent="0.25">
      <c r="A646" s="12" t="s">
        <v>1283</v>
      </c>
      <c r="B646" s="13" t="s">
        <v>1284</v>
      </c>
      <c r="C646" s="14">
        <v>45466</v>
      </c>
      <c r="D646" s="13">
        <v>2024</v>
      </c>
      <c r="E646" s="13" t="s">
        <v>3347</v>
      </c>
      <c r="F646" s="13" t="s">
        <v>34</v>
      </c>
      <c r="G646" s="15">
        <v>1532.48</v>
      </c>
      <c r="H646" s="15">
        <v>1532.48</v>
      </c>
      <c r="I646" s="13">
        <v>4</v>
      </c>
      <c r="J646" s="13">
        <v>4</v>
      </c>
      <c r="K646" s="13" t="s">
        <v>3348</v>
      </c>
      <c r="L646" s="15">
        <v>383.12</v>
      </c>
      <c r="M646" s="16">
        <v>383.12</v>
      </c>
    </row>
    <row r="647" spans="1:13" s="5" customFormat="1" x14ac:dyDescent="0.25">
      <c r="A647" s="12" t="s">
        <v>1285</v>
      </c>
      <c r="B647" s="13" t="s">
        <v>1286</v>
      </c>
      <c r="C647" s="14">
        <v>45784</v>
      </c>
      <c r="D647" s="13">
        <v>2025</v>
      </c>
      <c r="E647" s="13" t="s">
        <v>21</v>
      </c>
      <c r="F647" s="13" t="s">
        <v>22</v>
      </c>
      <c r="G647" s="15"/>
      <c r="H647" s="15">
        <v>539.91888095238107</v>
      </c>
      <c r="I647" s="13">
        <v>2</v>
      </c>
      <c r="J647" s="13">
        <v>2</v>
      </c>
      <c r="K647" s="13" t="s">
        <v>3346</v>
      </c>
      <c r="L647" s="15">
        <v>269.95944047619054</v>
      </c>
      <c r="M647" s="16">
        <v>269.95944047619054</v>
      </c>
    </row>
    <row r="648" spans="1:13" s="5" customFormat="1" x14ac:dyDescent="0.25">
      <c r="A648" s="12" t="s">
        <v>1287</v>
      </c>
      <c r="B648" s="13" t="s">
        <v>1288</v>
      </c>
      <c r="C648" s="14">
        <v>45552</v>
      </c>
      <c r="D648" s="13">
        <v>2024</v>
      </c>
      <c r="E648" s="13" t="s">
        <v>21</v>
      </c>
      <c r="F648" s="13" t="s">
        <v>22</v>
      </c>
      <c r="G648" s="15">
        <v>1940.24</v>
      </c>
      <c r="H648" s="15">
        <v>1940.24</v>
      </c>
      <c r="I648" s="13">
        <v>2</v>
      </c>
      <c r="J648" s="13">
        <v>2</v>
      </c>
      <c r="K648" s="13" t="s">
        <v>18</v>
      </c>
      <c r="L648" s="15">
        <v>970.12</v>
      </c>
      <c r="M648" s="16">
        <v>970.12</v>
      </c>
    </row>
    <row r="649" spans="1:13" s="5" customFormat="1" x14ac:dyDescent="0.25">
      <c r="A649" s="12" t="s">
        <v>1289</v>
      </c>
      <c r="B649" s="13" t="s">
        <v>1290</v>
      </c>
      <c r="C649" s="14">
        <v>45479</v>
      </c>
      <c r="D649" s="13">
        <v>2024</v>
      </c>
      <c r="E649" s="13" t="s">
        <v>10</v>
      </c>
      <c r="F649" s="13" t="s">
        <v>34</v>
      </c>
      <c r="G649" s="15">
        <v>763.93</v>
      </c>
      <c r="H649" s="15">
        <v>763.93</v>
      </c>
      <c r="I649" s="13">
        <v>8</v>
      </c>
      <c r="J649" s="13">
        <v>8</v>
      </c>
      <c r="K649" s="13" t="s">
        <v>18</v>
      </c>
      <c r="L649" s="15">
        <v>95.491249999999994</v>
      </c>
      <c r="M649" s="16">
        <v>95.491249999999994</v>
      </c>
    </row>
    <row r="650" spans="1:13" s="5" customFormat="1" x14ac:dyDescent="0.25">
      <c r="A650" s="12" t="s">
        <v>1291</v>
      </c>
      <c r="B650" s="13" t="s">
        <v>1292</v>
      </c>
      <c r="C650" s="14">
        <v>45013</v>
      </c>
      <c r="D650" s="13">
        <v>2023</v>
      </c>
      <c r="E650" s="13" t="s">
        <v>21</v>
      </c>
      <c r="F650" s="13" t="s">
        <v>11</v>
      </c>
      <c r="G650" s="15">
        <v>909.04</v>
      </c>
      <c r="H650" s="15">
        <v>909.04</v>
      </c>
      <c r="I650" s="13"/>
      <c r="J650" s="13">
        <v>1</v>
      </c>
      <c r="K650" s="13" t="s">
        <v>15</v>
      </c>
      <c r="L650" s="15">
        <v>909.04</v>
      </c>
      <c r="M650" s="16">
        <v>694.33</v>
      </c>
    </row>
    <row r="651" spans="1:13" s="5" customFormat="1" x14ac:dyDescent="0.25">
      <c r="A651" s="12" t="s">
        <v>1293</v>
      </c>
      <c r="B651" s="13" t="s">
        <v>1294</v>
      </c>
      <c r="C651" s="14">
        <v>45267</v>
      </c>
      <c r="D651" s="13">
        <v>2023</v>
      </c>
      <c r="E651" s="13" t="s">
        <v>10</v>
      </c>
      <c r="F651" s="13" t="s">
        <v>25</v>
      </c>
      <c r="G651" s="15">
        <v>75.23</v>
      </c>
      <c r="H651" s="15">
        <v>75.23</v>
      </c>
      <c r="I651" s="13">
        <v>8</v>
      </c>
      <c r="J651" s="13">
        <v>8</v>
      </c>
      <c r="K651" s="13" t="s">
        <v>3346</v>
      </c>
      <c r="L651" s="15">
        <v>9.4037500000000005</v>
      </c>
      <c r="M651" s="16">
        <v>9.4037500000000005</v>
      </c>
    </row>
    <row r="652" spans="1:13" s="5" customFormat="1" x14ac:dyDescent="0.25">
      <c r="A652" s="12" t="s">
        <v>1295</v>
      </c>
      <c r="B652" s="13" t="s">
        <v>1296</v>
      </c>
      <c r="C652" s="14">
        <v>45866</v>
      </c>
      <c r="D652" s="13">
        <v>2025</v>
      </c>
      <c r="E652" s="13" t="s">
        <v>21</v>
      </c>
      <c r="F652" s="13" t="s">
        <v>22</v>
      </c>
      <c r="G652" s="15">
        <v>1811.6</v>
      </c>
      <c r="H652" s="15">
        <v>1811.6</v>
      </c>
      <c r="I652" s="13">
        <v>3</v>
      </c>
      <c r="J652" s="13">
        <v>3</v>
      </c>
      <c r="K652" s="13" t="s">
        <v>3346</v>
      </c>
      <c r="L652" s="15">
        <v>603.86666666666667</v>
      </c>
      <c r="M652" s="16">
        <v>603.86666666666667</v>
      </c>
    </row>
    <row r="653" spans="1:13" s="5" customFormat="1" x14ac:dyDescent="0.25">
      <c r="A653" s="12" t="s">
        <v>1297</v>
      </c>
      <c r="B653" s="13" t="s">
        <v>1298</v>
      </c>
      <c r="C653" s="14">
        <v>45517</v>
      </c>
      <c r="D653" s="13">
        <v>2024</v>
      </c>
      <c r="E653" s="13" t="s">
        <v>10</v>
      </c>
      <c r="F653" s="13" t="s">
        <v>34</v>
      </c>
      <c r="G653" s="15">
        <v>49.21</v>
      </c>
      <c r="H653" s="15">
        <v>49.21</v>
      </c>
      <c r="I653" s="13">
        <v>2</v>
      </c>
      <c r="J653" s="13">
        <v>2</v>
      </c>
      <c r="K653" s="13" t="s">
        <v>3346</v>
      </c>
      <c r="L653" s="15">
        <v>24.605</v>
      </c>
      <c r="M653" s="16">
        <v>24.605</v>
      </c>
    </row>
    <row r="654" spans="1:13" s="5" customFormat="1" x14ac:dyDescent="0.25">
      <c r="A654" s="12" t="s">
        <v>1299</v>
      </c>
      <c r="B654" s="13" t="s">
        <v>1300</v>
      </c>
      <c r="C654" s="14">
        <v>45788</v>
      </c>
      <c r="D654" s="13">
        <v>2025</v>
      </c>
      <c r="E654" s="13" t="s">
        <v>14</v>
      </c>
      <c r="F654" s="13" t="s">
        <v>22</v>
      </c>
      <c r="G654" s="15">
        <v>1104.3900000000001</v>
      </c>
      <c r="H654" s="15">
        <v>1104.3900000000001</v>
      </c>
      <c r="I654" s="13">
        <v>7</v>
      </c>
      <c r="J654" s="13">
        <v>7</v>
      </c>
      <c r="K654" s="13" t="s">
        <v>18</v>
      </c>
      <c r="L654" s="15">
        <v>157.77000000000001</v>
      </c>
      <c r="M654" s="16">
        <v>157.77000000000001</v>
      </c>
    </row>
    <row r="655" spans="1:13" s="5" customFormat="1" x14ac:dyDescent="0.25">
      <c r="A655" s="12" t="s">
        <v>1301</v>
      </c>
      <c r="B655" s="13" t="s">
        <v>1302</v>
      </c>
      <c r="C655" s="14">
        <v>45588</v>
      </c>
      <c r="D655" s="13">
        <v>2024</v>
      </c>
      <c r="E655" s="13" t="s">
        <v>10</v>
      </c>
      <c r="F655" s="13" t="s">
        <v>34</v>
      </c>
      <c r="G655" s="15">
        <v>873.49</v>
      </c>
      <c r="H655" s="15">
        <v>873.49</v>
      </c>
      <c r="I655" s="13">
        <v>5</v>
      </c>
      <c r="J655" s="13">
        <v>5</v>
      </c>
      <c r="K655" s="13" t="s">
        <v>15</v>
      </c>
      <c r="L655" s="15">
        <v>174.69800000000001</v>
      </c>
      <c r="M655" s="16">
        <v>174.69800000000001</v>
      </c>
    </row>
    <row r="656" spans="1:13" s="5" customFormat="1" x14ac:dyDescent="0.25">
      <c r="A656" s="12" t="s">
        <v>1303</v>
      </c>
      <c r="B656" s="13" t="s">
        <v>1304</v>
      </c>
      <c r="C656" s="14">
        <v>44951</v>
      </c>
      <c r="D656" s="13">
        <v>2023</v>
      </c>
      <c r="E656" s="13" t="s">
        <v>10</v>
      </c>
      <c r="F656" s="13" t="s">
        <v>34</v>
      </c>
      <c r="G656" s="15">
        <v>563.48</v>
      </c>
      <c r="H656" s="15">
        <v>563.48</v>
      </c>
      <c r="I656" s="13">
        <v>10</v>
      </c>
      <c r="J656" s="13">
        <v>10</v>
      </c>
      <c r="K656" s="13" t="s">
        <v>15</v>
      </c>
      <c r="L656" s="15">
        <v>56.347999999999999</v>
      </c>
      <c r="M656" s="16">
        <v>56.347999999999999</v>
      </c>
    </row>
    <row r="657" spans="1:13" s="5" customFormat="1" x14ac:dyDescent="0.25">
      <c r="A657" s="12" t="s">
        <v>1305</v>
      </c>
      <c r="B657" s="13" t="s">
        <v>1306</v>
      </c>
      <c r="C657" s="14">
        <v>45503</v>
      </c>
      <c r="D657" s="13">
        <v>2024</v>
      </c>
      <c r="E657" s="13" t="s">
        <v>21</v>
      </c>
      <c r="F657" s="13" t="s">
        <v>34</v>
      </c>
      <c r="G657" s="15">
        <v>330.8</v>
      </c>
      <c r="H657" s="15">
        <v>330.8</v>
      </c>
      <c r="I657" s="13">
        <v>7</v>
      </c>
      <c r="J657" s="13">
        <v>7</v>
      </c>
      <c r="K657" s="13" t="s">
        <v>3346</v>
      </c>
      <c r="L657" s="15">
        <v>47.25714285714286</v>
      </c>
      <c r="M657" s="16">
        <v>47.25714285714286</v>
      </c>
    </row>
    <row r="658" spans="1:13" s="5" customFormat="1" x14ac:dyDescent="0.25">
      <c r="A658" s="12" t="s">
        <v>1307</v>
      </c>
      <c r="B658" s="13" t="s">
        <v>1308</v>
      </c>
      <c r="C658" s="14">
        <v>45731</v>
      </c>
      <c r="D658" s="13">
        <v>2025</v>
      </c>
      <c r="E658" s="13" t="s">
        <v>14</v>
      </c>
      <c r="F658" s="13" t="s">
        <v>34</v>
      </c>
      <c r="G658" s="15">
        <v>517.36</v>
      </c>
      <c r="H658" s="15">
        <v>517.36</v>
      </c>
      <c r="I658" s="13">
        <v>1</v>
      </c>
      <c r="J658" s="13">
        <v>1</v>
      </c>
      <c r="K658" s="13" t="s">
        <v>35</v>
      </c>
      <c r="L658" s="15">
        <v>517.36</v>
      </c>
      <c r="M658" s="16">
        <v>517.36</v>
      </c>
    </row>
    <row r="659" spans="1:13" s="5" customFormat="1" x14ac:dyDescent="0.25">
      <c r="A659" s="12" t="s">
        <v>1309</v>
      </c>
      <c r="B659" s="13" t="s">
        <v>1310</v>
      </c>
      <c r="C659" s="14">
        <v>45527</v>
      </c>
      <c r="D659" s="13">
        <v>2024</v>
      </c>
      <c r="E659" s="13" t="s">
        <v>3347</v>
      </c>
      <c r="F659" s="13" t="s">
        <v>34</v>
      </c>
      <c r="G659" s="15">
        <v>700.13</v>
      </c>
      <c r="H659" s="15">
        <v>700.13</v>
      </c>
      <c r="I659" s="13">
        <v>5</v>
      </c>
      <c r="J659" s="13">
        <v>5</v>
      </c>
      <c r="K659" s="13" t="s">
        <v>3348</v>
      </c>
      <c r="L659" s="15">
        <v>140.02600000000001</v>
      </c>
      <c r="M659" s="16">
        <v>140.02600000000001</v>
      </c>
    </row>
    <row r="660" spans="1:13" s="5" customFormat="1" x14ac:dyDescent="0.25">
      <c r="A660" s="12" t="s">
        <v>1311</v>
      </c>
      <c r="B660" s="13" t="s">
        <v>1312</v>
      </c>
      <c r="C660" s="14">
        <v>45409</v>
      </c>
      <c r="D660" s="13">
        <v>2024</v>
      </c>
      <c r="E660" s="13" t="s">
        <v>21</v>
      </c>
      <c r="F660" s="13" t="s">
        <v>34</v>
      </c>
      <c r="G660" s="15">
        <v>1923.43</v>
      </c>
      <c r="H660" s="15">
        <v>1923.43</v>
      </c>
      <c r="I660" s="13">
        <v>5</v>
      </c>
      <c r="J660" s="13">
        <v>5</v>
      </c>
      <c r="K660" s="13" t="s">
        <v>15</v>
      </c>
      <c r="L660" s="15">
        <v>384.68600000000004</v>
      </c>
      <c r="M660" s="16">
        <v>384.68600000000004</v>
      </c>
    </row>
    <row r="661" spans="1:13" s="5" customFormat="1" x14ac:dyDescent="0.25">
      <c r="A661" s="12" t="s">
        <v>1313</v>
      </c>
      <c r="B661" s="13" t="s">
        <v>1314</v>
      </c>
      <c r="C661" s="14">
        <v>45140</v>
      </c>
      <c r="D661" s="13">
        <v>2023</v>
      </c>
      <c r="E661" s="13" t="s">
        <v>10</v>
      </c>
      <c r="F661" s="13" t="s">
        <v>11</v>
      </c>
      <c r="G661" s="15">
        <v>1787.71</v>
      </c>
      <c r="H661" s="15">
        <v>1787.71</v>
      </c>
      <c r="I661" s="13">
        <v>4</v>
      </c>
      <c r="J661" s="13">
        <v>4</v>
      </c>
      <c r="K661" s="13" t="s">
        <v>3348</v>
      </c>
      <c r="L661" s="15">
        <v>446.92750000000001</v>
      </c>
      <c r="M661" s="16">
        <v>446.92750000000001</v>
      </c>
    </row>
    <row r="662" spans="1:13" s="5" customFormat="1" x14ac:dyDescent="0.25">
      <c r="A662" s="12" t="s">
        <v>1315</v>
      </c>
      <c r="B662" s="13" t="s">
        <v>461</v>
      </c>
      <c r="C662" s="14">
        <v>45121</v>
      </c>
      <c r="D662" s="13">
        <v>2023</v>
      </c>
      <c r="E662" s="13" t="s">
        <v>14</v>
      </c>
      <c r="F662" s="13" t="s">
        <v>11</v>
      </c>
      <c r="G662" s="15">
        <v>1809.88</v>
      </c>
      <c r="H662" s="15">
        <v>1809.88</v>
      </c>
      <c r="I662" s="13">
        <v>9</v>
      </c>
      <c r="J662" s="13">
        <v>9</v>
      </c>
      <c r="K662" s="13" t="s">
        <v>35</v>
      </c>
      <c r="L662" s="15">
        <v>201.09777777777779</v>
      </c>
      <c r="M662" s="16">
        <v>201.09777777777779</v>
      </c>
    </row>
    <row r="663" spans="1:13" s="5" customFormat="1" x14ac:dyDescent="0.25">
      <c r="A663" s="12" t="s">
        <v>1316</v>
      </c>
      <c r="B663" s="13" t="s">
        <v>1317</v>
      </c>
      <c r="C663" s="14">
        <v>45457</v>
      </c>
      <c r="D663" s="13">
        <v>2024</v>
      </c>
      <c r="E663" s="13" t="s">
        <v>3347</v>
      </c>
      <c r="F663" s="13" t="s">
        <v>25</v>
      </c>
      <c r="G663" s="15">
        <v>675.99</v>
      </c>
      <c r="H663" s="15">
        <v>675.99</v>
      </c>
      <c r="I663" s="13">
        <v>8</v>
      </c>
      <c r="J663" s="13">
        <v>8</v>
      </c>
      <c r="K663" s="13" t="s">
        <v>3346</v>
      </c>
      <c r="L663" s="15">
        <v>84.498750000000001</v>
      </c>
      <c r="M663" s="16">
        <v>84.498750000000001</v>
      </c>
    </row>
    <row r="664" spans="1:13" s="5" customFormat="1" x14ac:dyDescent="0.25">
      <c r="A664" s="12" t="s">
        <v>1318</v>
      </c>
      <c r="B664" s="13" t="s">
        <v>1319</v>
      </c>
      <c r="C664" s="14">
        <v>45669</v>
      </c>
      <c r="D664" s="13">
        <v>2025</v>
      </c>
      <c r="E664" s="13" t="s">
        <v>10</v>
      </c>
      <c r="F664" s="13" t="s">
        <v>34</v>
      </c>
      <c r="G664" s="15">
        <v>1211.46</v>
      </c>
      <c r="H664" s="15">
        <v>1211.46</v>
      </c>
      <c r="I664" s="13">
        <v>8</v>
      </c>
      <c r="J664" s="13">
        <v>8</v>
      </c>
      <c r="K664" s="13" t="s">
        <v>18</v>
      </c>
      <c r="L664" s="15">
        <v>151.4325</v>
      </c>
      <c r="M664" s="16">
        <v>151.4325</v>
      </c>
    </row>
    <row r="665" spans="1:13" s="5" customFormat="1" x14ac:dyDescent="0.25">
      <c r="A665" s="12" t="s">
        <v>1320</v>
      </c>
      <c r="B665" s="13" t="s">
        <v>61</v>
      </c>
      <c r="C665" s="14">
        <v>45615</v>
      </c>
      <c r="D665" s="13">
        <v>2024</v>
      </c>
      <c r="E665" s="13" t="s">
        <v>21</v>
      </c>
      <c r="F665" s="13" t="s">
        <v>22</v>
      </c>
      <c r="G665" s="15">
        <v>1651.39</v>
      </c>
      <c r="H665" s="15">
        <v>1651.39</v>
      </c>
      <c r="I665" s="13">
        <v>10</v>
      </c>
      <c r="J665" s="13">
        <v>10</v>
      </c>
      <c r="K665" s="13" t="s">
        <v>3348</v>
      </c>
      <c r="L665" s="15">
        <v>165.13900000000001</v>
      </c>
      <c r="M665" s="16">
        <v>165.13900000000001</v>
      </c>
    </row>
    <row r="666" spans="1:13" s="5" customFormat="1" x14ac:dyDescent="0.25">
      <c r="A666" s="12" t="s">
        <v>1321</v>
      </c>
      <c r="B666" s="13" t="s">
        <v>1322</v>
      </c>
      <c r="C666" s="14">
        <v>45403</v>
      </c>
      <c r="D666" s="13">
        <v>2024</v>
      </c>
      <c r="E666" s="13" t="s">
        <v>10</v>
      </c>
      <c r="F666" s="13" t="s">
        <v>25</v>
      </c>
      <c r="G666" s="15"/>
      <c r="H666" s="15">
        <v>2063.7019999999998</v>
      </c>
      <c r="I666" s="13">
        <v>8</v>
      </c>
      <c r="J666" s="13">
        <v>8</v>
      </c>
      <c r="K666" s="13" t="s">
        <v>18</v>
      </c>
      <c r="L666" s="15">
        <v>257.96274999999997</v>
      </c>
      <c r="M666" s="16">
        <v>257.96274999999997</v>
      </c>
    </row>
    <row r="667" spans="1:13" s="5" customFormat="1" x14ac:dyDescent="0.25">
      <c r="A667" s="12" t="s">
        <v>1323</v>
      </c>
      <c r="B667" s="13" t="s">
        <v>1324</v>
      </c>
      <c r="C667" s="14">
        <v>45022</v>
      </c>
      <c r="D667" s="13">
        <v>2023</v>
      </c>
      <c r="E667" s="13" t="s">
        <v>21</v>
      </c>
      <c r="F667" s="13" t="s">
        <v>22</v>
      </c>
      <c r="G667" s="15">
        <v>1086.82</v>
      </c>
      <c r="H667" s="15">
        <v>1086.82</v>
      </c>
      <c r="I667" s="13">
        <v>8</v>
      </c>
      <c r="J667" s="13">
        <v>8</v>
      </c>
      <c r="K667" s="13" t="s">
        <v>18</v>
      </c>
      <c r="L667" s="15">
        <v>135.85249999999999</v>
      </c>
      <c r="M667" s="16">
        <v>135.85249999999999</v>
      </c>
    </row>
    <row r="668" spans="1:13" s="5" customFormat="1" x14ac:dyDescent="0.25">
      <c r="A668" s="12" t="s">
        <v>1325</v>
      </c>
      <c r="B668" s="13" t="s">
        <v>1326</v>
      </c>
      <c r="C668" s="14">
        <v>45322</v>
      </c>
      <c r="D668" s="13">
        <v>2024</v>
      </c>
      <c r="E668" s="13" t="s">
        <v>14</v>
      </c>
      <c r="F668" s="13" t="s">
        <v>34</v>
      </c>
      <c r="G668" s="15">
        <v>160.51</v>
      </c>
      <c r="H668" s="15">
        <v>160.51</v>
      </c>
      <c r="I668" s="13"/>
      <c r="J668" s="13">
        <v>1</v>
      </c>
      <c r="K668" s="13" t="s">
        <v>15</v>
      </c>
      <c r="L668" s="15">
        <v>160.51</v>
      </c>
      <c r="M668" s="16">
        <v>252.27955555555556</v>
      </c>
    </row>
    <row r="669" spans="1:13" s="5" customFormat="1" x14ac:dyDescent="0.25">
      <c r="A669" s="12" t="s">
        <v>1327</v>
      </c>
      <c r="B669" s="13" t="s">
        <v>1328</v>
      </c>
      <c r="C669" s="14">
        <v>45310</v>
      </c>
      <c r="D669" s="13">
        <v>2024</v>
      </c>
      <c r="E669" s="13" t="s">
        <v>14</v>
      </c>
      <c r="F669" s="13" t="s">
        <v>25</v>
      </c>
      <c r="G669" s="15">
        <v>1937.6</v>
      </c>
      <c r="H669" s="15">
        <v>1937.6</v>
      </c>
      <c r="I669" s="13"/>
      <c r="J669" s="13">
        <v>7</v>
      </c>
      <c r="K669" s="13" t="s">
        <v>15</v>
      </c>
      <c r="L669" s="15">
        <v>276.8</v>
      </c>
      <c r="M669" s="16">
        <v>290.32208571428572</v>
      </c>
    </row>
    <row r="670" spans="1:13" s="5" customFormat="1" x14ac:dyDescent="0.25">
      <c r="A670" s="12" t="s">
        <v>1329</v>
      </c>
      <c r="B670" s="13" t="s">
        <v>1330</v>
      </c>
      <c r="C670" s="14">
        <v>45136</v>
      </c>
      <c r="D670" s="13">
        <v>2023</v>
      </c>
      <c r="E670" s="13" t="s">
        <v>3347</v>
      </c>
      <c r="F670" s="13" t="s">
        <v>34</v>
      </c>
      <c r="G670" s="15">
        <v>488.87</v>
      </c>
      <c r="H670" s="15">
        <v>488.87</v>
      </c>
      <c r="I670" s="13">
        <v>3</v>
      </c>
      <c r="J670" s="13">
        <v>3</v>
      </c>
      <c r="K670" s="13" t="s">
        <v>3348</v>
      </c>
      <c r="L670" s="15">
        <v>162.95666666666668</v>
      </c>
      <c r="M670" s="16">
        <v>162.95666666666668</v>
      </c>
    </row>
    <row r="671" spans="1:13" s="5" customFormat="1" x14ac:dyDescent="0.25">
      <c r="A671" s="12" t="s">
        <v>1331</v>
      </c>
      <c r="B671" s="13" t="s">
        <v>1332</v>
      </c>
      <c r="C671" s="14">
        <v>45702</v>
      </c>
      <c r="D671" s="13">
        <v>2025</v>
      </c>
      <c r="E671" s="13" t="s">
        <v>10</v>
      </c>
      <c r="F671" s="13" t="s">
        <v>22</v>
      </c>
      <c r="G671" s="15"/>
      <c r="H671" s="15">
        <v>3548.2821388888883</v>
      </c>
      <c r="I671" s="13">
        <v>9</v>
      </c>
      <c r="J671" s="13">
        <v>9</v>
      </c>
      <c r="K671" s="13" t="s">
        <v>3348</v>
      </c>
      <c r="L671" s="15">
        <v>725.75985185185198</v>
      </c>
      <c r="M671" s="16">
        <v>725.75985185185198</v>
      </c>
    </row>
    <row r="672" spans="1:13" s="5" customFormat="1" x14ac:dyDescent="0.25">
      <c r="A672" s="12" t="s">
        <v>1333</v>
      </c>
      <c r="B672" s="13" t="s">
        <v>1334</v>
      </c>
      <c r="C672" s="14">
        <v>45261</v>
      </c>
      <c r="D672" s="13">
        <v>2023</v>
      </c>
      <c r="E672" s="13" t="s">
        <v>10</v>
      </c>
      <c r="F672" s="13" t="s">
        <v>22</v>
      </c>
      <c r="G672" s="15">
        <v>881.91</v>
      </c>
      <c r="H672" s="15">
        <v>881.91</v>
      </c>
      <c r="I672" s="13">
        <v>1</v>
      </c>
      <c r="J672" s="13">
        <v>1</v>
      </c>
      <c r="K672" s="13" t="s">
        <v>3348</v>
      </c>
      <c r="L672" s="15">
        <v>881.91</v>
      </c>
      <c r="M672" s="16">
        <v>881.91</v>
      </c>
    </row>
    <row r="673" spans="1:13" s="5" customFormat="1" x14ac:dyDescent="0.25">
      <c r="A673" s="12" t="s">
        <v>1335</v>
      </c>
      <c r="B673" s="13" t="s">
        <v>1336</v>
      </c>
      <c r="C673" s="14">
        <v>44939</v>
      </c>
      <c r="D673" s="13">
        <v>2023</v>
      </c>
      <c r="E673" s="13" t="s">
        <v>14</v>
      </c>
      <c r="F673" s="13" t="s">
        <v>22</v>
      </c>
      <c r="G673" s="15">
        <v>579.5</v>
      </c>
      <c r="H673" s="15">
        <v>579.5</v>
      </c>
      <c r="I673" s="13">
        <v>3</v>
      </c>
      <c r="J673" s="13">
        <v>3</v>
      </c>
      <c r="K673" s="13" t="s">
        <v>3348</v>
      </c>
      <c r="L673" s="15">
        <v>193.16666666666666</v>
      </c>
      <c r="M673" s="16">
        <v>193.16666666666666</v>
      </c>
    </row>
    <row r="674" spans="1:13" s="5" customFormat="1" x14ac:dyDescent="0.25">
      <c r="A674" s="12" t="s">
        <v>1337</v>
      </c>
      <c r="B674" s="13" t="s">
        <v>1338</v>
      </c>
      <c r="C674" s="14">
        <v>45611</v>
      </c>
      <c r="D674" s="13">
        <v>2024</v>
      </c>
      <c r="E674" s="13" t="s">
        <v>21</v>
      </c>
      <c r="F674" s="13" t="s">
        <v>11</v>
      </c>
      <c r="G674" s="15">
        <v>1136.3800000000001</v>
      </c>
      <c r="H674" s="15">
        <v>1136.3800000000001</v>
      </c>
      <c r="I674" s="13">
        <v>4</v>
      </c>
      <c r="J674" s="13">
        <v>4</v>
      </c>
      <c r="K674" s="13" t="s">
        <v>18</v>
      </c>
      <c r="L674" s="15">
        <v>284.09500000000003</v>
      </c>
      <c r="M674" s="16">
        <v>284.09500000000003</v>
      </c>
    </row>
    <row r="675" spans="1:13" s="5" customFormat="1" x14ac:dyDescent="0.25">
      <c r="A675" s="12" t="s">
        <v>1339</v>
      </c>
      <c r="B675" s="13" t="s">
        <v>1340</v>
      </c>
      <c r="C675" s="14">
        <v>45313</v>
      </c>
      <c r="D675" s="13">
        <v>2024</v>
      </c>
      <c r="E675" s="13" t="s">
        <v>3347</v>
      </c>
      <c r="F675" s="13" t="s">
        <v>22</v>
      </c>
      <c r="G675" s="15"/>
      <c r="H675" s="15">
        <v>1080.3711419753088</v>
      </c>
      <c r="I675" s="13">
        <v>5</v>
      </c>
      <c r="J675" s="13">
        <v>5</v>
      </c>
      <c r="K675" s="13" t="s">
        <v>15</v>
      </c>
      <c r="L675" s="15">
        <v>216.07422839506177</v>
      </c>
      <c r="M675" s="16">
        <v>216.07422839506177</v>
      </c>
    </row>
    <row r="676" spans="1:13" s="5" customFormat="1" x14ac:dyDescent="0.25">
      <c r="A676" s="12" t="s">
        <v>1341</v>
      </c>
      <c r="B676" s="13" t="s">
        <v>1342</v>
      </c>
      <c r="C676" s="14">
        <v>45151</v>
      </c>
      <c r="D676" s="13">
        <v>2023</v>
      </c>
      <c r="E676" s="13" t="s">
        <v>10</v>
      </c>
      <c r="F676" s="13" t="s">
        <v>11</v>
      </c>
      <c r="G676" s="15">
        <v>805.24</v>
      </c>
      <c r="H676" s="15">
        <v>805.24</v>
      </c>
      <c r="I676" s="13">
        <v>1</v>
      </c>
      <c r="J676" s="13">
        <v>1</v>
      </c>
      <c r="K676" s="13" t="s">
        <v>35</v>
      </c>
      <c r="L676" s="15">
        <v>805.24</v>
      </c>
      <c r="M676" s="16">
        <v>805.24</v>
      </c>
    </row>
    <row r="677" spans="1:13" s="5" customFormat="1" x14ac:dyDescent="0.25">
      <c r="A677" s="12" t="s">
        <v>1343</v>
      </c>
      <c r="B677" s="13" t="s">
        <v>1344</v>
      </c>
      <c r="C677" s="14">
        <v>45921</v>
      </c>
      <c r="D677" s="13">
        <v>2025</v>
      </c>
      <c r="E677" s="13" t="s">
        <v>14</v>
      </c>
      <c r="F677" s="13" t="s">
        <v>25</v>
      </c>
      <c r="G677" s="15">
        <v>600.17999999999995</v>
      </c>
      <c r="H677" s="15">
        <v>600.17999999999995</v>
      </c>
      <c r="I677" s="13">
        <v>7</v>
      </c>
      <c r="J677" s="13">
        <v>7</v>
      </c>
      <c r="K677" s="13" t="s">
        <v>35</v>
      </c>
      <c r="L677" s="15">
        <v>85.74</v>
      </c>
      <c r="M677" s="16">
        <v>85.74</v>
      </c>
    </row>
    <row r="678" spans="1:13" s="5" customFormat="1" x14ac:dyDescent="0.25">
      <c r="A678" s="12" t="s">
        <v>1345</v>
      </c>
      <c r="B678" s="13" t="s">
        <v>1346</v>
      </c>
      <c r="C678" s="14">
        <v>44948</v>
      </c>
      <c r="D678" s="13">
        <v>2023</v>
      </c>
      <c r="E678" s="13" t="s">
        <v>3347</v>
      </c>
      <c r="F678" s="13" t="s">
        <v>22</v>
      </c>
      <c r="G678" s="15">
        <v>371.28</v>
      </c>
      <c r="H678" s="15">
        <v>371.28</v>
      </c>
      <c r="I678" s="13">
        <v>7</v>
      </c>
      <c r="J678" s="13">
        <v>7</v>
      </c>
      <c r="K678" s="13" t="s">
        <v>35</v>
      </c>
      <c r="L678" s="15">
        <v>53.04</v>
      </c>
      <c r="M678" s="16">
        <v>53.04</v>
      </c>
    </row>
    <row r="679" spans="1:13" s="5" customFormat="1" x14ac:dyDescent="0.25">
      <c r="A679" s="12" t="s">
        <v>1347</v>
      </c>
      <c r="B679" s="13" t="s">
        <v>1348</v>
      </c>
      <c r="C679" s="14">
        <v>45381</v>
      </c>
      <c r="D679" s="13">
        <v>2024</v>
      </c>
      <c r="E679" s="13" t="s">
        <v>21</v>
      </c>
      <c r="F679" s="13" t="s">
        <v>22</v>
      </c>
      <c r="G679" s="15">
        <v>96.45</v>
      </c>
      <c r="H679" s="15">
        <v>96.45</v>
      </c>
      <c r="I679" s="13">
        <v>3</v>
      </c>
      <c r="J679" s="13">
        <v>3</v>
      </c>
      <c r="K679" s="13" t="s">
        <v>3348</v>
      </c>
      <c r="L679" s="15">
        <v>32.15</v>
      </c>
      <c r="M679" s="16">
        <v>32.15</v>
      </c>
    </row>
    <row r="680" spans="1:13" s="5" customFormat="1" x14ac:dyDescent="0.25">
      <c r="A680" s="12" t="s">
        <v>1349</v>
      </c>
      <c r="B680" s="13" t="s">
        <v>1350</v>
      </c>
      <c r="C680" s="14">
        <v>45922</v>
      </c>
      <c r="D680" s="13">
        <v>2025</v>
      </c>
      <c r="E680" s="13" t="s">
        <v>21</v>
      </c>
      <c r="F680" s="13" t="s">
        <v>25</v>
      </c>
      <c r="G680" s="15">
        <v>658.97</v>
      </c>
      <c r="H680" s="15">
        <v>658.97</v>
      </c>
      <c r="I680" s="13">
        <v>4</v>
      </c>
      <c r="J680" s="13">
        <v>4</v>
      </c>
      <c r="K680" s="13" t="s">
        <v>3348</v>
      </c>
      <c r="L680" s="15">
        <v>164.74250000000001</v>
      </c>
      <c r="M680" s="16">
        <v>164.74250000000001</v>
      </c>
    </row>
    <row r="681" spans="1:13" s="5" customFormat="1" x14ac:dyDescent="0.25">
      <c r="A681" s="12" t="s">
        <v>1351</v>
      </c>
      <c r="B681" s="13" t="s">
        <v>1352</v>
      </c>
      <c r="C681" s="14">
        <v>45413</v>
      </c>
      <c r="D681" s="13">
        <v>2024</v>
      </c>
      <c r="E681" s="13" t="s">
        <v>3347</v>
      </c>
      <c r="F681" s="13" t="s">
        <v>25</v>
      </c>
      <c r="G681" s="15">
        <v>1415.67</v>
      </c>
      <c r="H681" s="15">
        <v>1415.67</v>
      </c>
      <c r="I681" s="13">
        <v>4</v>
      </c>
      <c r="J681" s="13">
        <v>4</v>
      </c>
      <c r="K681" s="13" t="s">
        <v>3346</v>
      </c>
      <c r="L681" s="15">
        <v>353.91750000000002</v>
      </c>
      <c r="M681" s="16">
        <v>353.91750000000002</v>
      </c>
    </row>
    <row r="682" spans="1:13" s="5" customFormat="1" x14ac:dyDescent="0.25">
      <c r="A682" s="12" t="s">
        <v>1353</v>
      </c>
      <c r="B682" s="13" t="s">
        <v>1354</v>
      </c>
      <c r="C682" s="14">
        <v>45414</v>
      </c>
      <c r="D682" s="13">
        <v>2024</v>
      </c>
      <c r="E682" s="13" t="s">
        <v>21</v>
      </c>
      <c r="F682" s="13" t="s">
        <v>11</v>
      </c>
      <c r="G682" s="15"/>
      <c r="H682" s="15">
        <v>393.3775</v>
      </c>
      <c r="I682" s="13">
        <v>7</v>
      </c>
      <c r="J682" s="13">
        <v>7</v>
      </c>
      <c r="K682" s="13" t="s">
        <v>3346</v>
      </c>
      <c r="L682" s="15">
        <v>56.196785714285717</v>
      </c>
      <c r="M682" s="16">
        <v>56.196785714285717</v>
      </c>
    </row>
    <row r="683" spans="1:13" s="5" customFormat="1" x14ac:dyDescent="0.25">
      <c r="A683" s="12" t="s">
        <v>1355</v>
      </c>
      <c r="B683" s="13" t="s">
        <v>1356</v>
      </c>
      <c r="C683" s="14">
        <v>45327</v>
      </c>
      <c r="D683" s="13">
        <v>2024</v>
      </c>
      <c r="E683" s="13" t="s">
        <v>3347</v>
      </c>
      <c r="F683" s="13" t="s">
        <v>22</v>
      </c>
      <c r="G683" s="15">
        <v>14.81</v>
      </c>
      <c r="H683" s="15">
        <v>14.81</v>
      </c>
      <c r="I683" s="13">
        <v>3</v>
      </c>
      <c r="J683" s="13">
        <v>3</v>
      </c>
      <c r="K683" s="13" t="s">
        <v>3346</v>
      </c>
      <c r="L683" s="15">
        <v>4.9366666666666665</v>
      </c>
      <c r="M683" s="16">
        <v>4.9366666666666665</v>
      </c>
    </row>
    <row r="684" spans="1:13" s="5" customFormat="1" x14ac:dyDescent="0.25">
      <c r="A684" s="12" t="s">
        <v>1357</v>
      </c>
      <c r="B684" s="13" t="s">
        <v>1358</v>
      </c>
      <c r="C684" s="14">
        <v>45342</v>
      </c>
      <c r="D684" s="13">
        <v>2024</v>
      </c>
      <c r="E684" s="13" t="s">
        <v>21</v>
      </c>
      <c r="F684" s="13" t="s">
        <v>34</v>
      </c>
      <c r="G684" s="15">
        <v>552.04999999999995</v>
      </c>
      <c r="H684" s="15">
        <v>552.04999999999995</v>
      </c>
      <c r="I684" s="13">
        <v>4</v>
      </c>
      <c r="J684" s="13">
        <v>4</v>
      </c>
      <c r="K684" s="13" t="s">
        <v>18</v>
      </c>
      <c r="L684" s="15">
        <v>138.01249999999999</v>
      </c>
      <c r="M684" s="16">
        <v>138.01249999999999</v>
      </c>
    </row>
    <row r="685" spans="1:13" s="5" customFormat="1" x14ac:dyDescent="0.25">
      <c r="A685" s="12" t="s">
        <v>1359</v>
      </c>
      <c r="B685" s="13" t="s">
        <v>1360</v>
      </c>
      <c r="C685" s="14">
        <v>45294</v>
      </c>
      <c r="D685" s="13">
        <v>2024</v>
      </c>
      <c r="E685" s="13" t="s">
        <v>3347</v>
      </c>
      <c r="F685" s="13" t="s">
        <v>34</v>
      </c>
      <c r="G685" s="15">
        <v>1336.18</v>
      </c>
      <c r="H685" s="15">
        <v>1336.18</v>
      </c>
      <c r="I685" s="13">
        <v>7</v>
      </c>
      <c r="J685" s="13">
        <v>7</v>
      </c>
      <c r="K685" s="13" t="s">
        <v>3348</v>
      </c>
      <c r="L685" s="15">
        <v>190.88285714285715</v>
      </c>
      <c r="M685" s="16">
        <v>190.88285714285715</v>
      </c>
    </row>
    <row r="686" spans="1:13" s="5" customFormat="1" x14ac:dyDescent="0.25">
      <c r="A686" s="12" t="s">
        <v>1361</v>
      </c>
      <c r="B686" s="13" t="s">
        <v>1362</v>
      </c>
      <c r="C686" s="14">
        <v>45049</v>
      </c>
      <c r="D686" s="13">
        <v>2023</v>
      </c>
      <c r="E686" s="13" t="s">
        <v>14</v>
      </c>
      <c r="F686" s="13" t="s">
        <v>34</v>
      </c>
      <c r="G686" s="15">
        <v>1437.72</v>
      </c>
      <c r="H686" s="15">
        <v>1437.72</v>
      </c>
      <c r="I686" s="13">
        <v>3</v>
      </c>
      <c r="J686" s="13">
        <v>3</v>
      </c>
      <c r="K686" s="13" t="s">
        <v>15</v>
      </c>
      <c r="L686" s="15">
        <v>479.24</v>
      </c>
      <c r="M686" s="16">
        <v>479.24</v>
      </c>
    </row>
    <row r="687" spans="1:13" s="5" customFormat="1" x14ac:dyDescent="0.25">
      <c r="A687" s="12" t="s">
        <v>1363</v>
      </c>
      <c r="B687" s="13" t="s">
        <v>1364</v>
      </c>
      <c r="C687" s="14">
        <v>45316</v>
      </c>
      <c r="D687" s="13">
        <v>2024</v>
      </c>
      <c r="E687" s="13" t="s">
        <v>3347</v>
      </c>
      <c r="F687" s="13" t="s">
        <v>34</v>
      </c>
      <c r="G687" s="15">
        <v>1800.88</v>
      </c>
      <c r="H687" s="15">
        <v>1800.88</v>
      </c>
      <c r="I687" s="13">
        <v>5</v>
      </c>
      <c r="J687" s="13">
        <v>5</v>
      </c>
      <c r="K687" s="13" t="s">
        <v>35</v>
      </c>
      <c r="L687" s="15">
        <v>360.17600000000004</v>
      </c>
      <c r="M687" s="16">
        <v>360.17600000000004</v>
      </c>
    </row>
    <row r="688" spans="1:13" s="5" customFormat="1" x14ac:dyDescent="0.25">
      <c r="A688" s="12" t="s">
        <v>1365</v>
      </c>
      <c r="B688" s="13" t="s">
        <v>1366</v>
      </c>
      <c r="C688" s="14">
        <v>44950</v>
      </c>
      <c r="D688" s="13">
        <v>2023</v>
      </c>
      <c r="E688" s="13" t="s">
        <v>14</v>
      </c>
      <c r="F688" s="13" t="s">
        <v>11</v>
      </c>
      <c r="G688" s="15">
        <v>720.78</v>
      </c>
      <c r="H688" s="15">
        <v>720.78</v>
      </c>
      <c r="I688" s="13">
        <v>6</v>
      </c>
      <c r="J688" s="13">
        <v>6</v>
      </c>
      <c r="K688" s="13" t="s">
        <v>3346</v>
      </c>
      <c r="L688" s="15">
        <v>120.13</v>
      </c>
      <c r="M688" s="16">
        <v>120.13</v>
      </c>
    </row>
    <row r="689" spans="1:13" s="5" customFormat="1" x14ac:dyDescent="0.25">
      <c r="A689" s="12" t="s">
        <v>1367</v>
      </c>
      <c r="B689" s="13" t="s">
        <v>1368</v>
      </c>
      <c r="C689" s="14">
        <v>45252</v>
      </c>
      <c r="D689" s="13">
        <v>2023</v>
      </c>
      <c r="E689" s="13" t="s">
        <v>10</v>
      </c>
      <c r="F689" s="13" t="s">
        <v>11</v>
      </c>
      <c r="G689" s="15">
        <v>1418.42</v>
      </c>
      <c r="H689" s="15">
        <v>1418.42</v>
      </c>
      <c r="I689" s="13">
        <v>5</v>
      </c>
      <c r="J689" s="13">
        <v>5</v>
      </c>
      <c r="K689" s="13" t="s">
        <v>3346</v>
      </c>
      <c r="L689" s="15">
        <v>283.68400000000003</v>
      </c>
      <c r="M689" s="16">
        <v>283.68400000000003</v>
      </c>
    </row>
    <row r="690" spans="1:13" s="5" customFormat="1" x14ac:dyDescent="0.25">
      <c r="A690" s="12" t="s">
        <v>1369</v>
      </c>
      <c r="B690" s="13" t="s">
        <v>1370</v>
      </c>
      <c r="C690" s="14">
        <v>45903</v>
      </c>
      <c r="D690" s="13">
        <v>2025</v>
      </c>
      <c r="E690" s="13" t="s">
        <v>21</v>
      </c>
      <c r="F690" s="13" t="s">
        <v>34</v>
      </c>
      <c r="G690" s="15">
        <v>1372.69</v>
      </c>
      <c r="H690" s="15">
        <v>1372.69</v>
      </c>
      <c r="I690" s="13">
        <v>10</v>
      </c>
      <c r="J690" s="13">
        <v>10</v>
      </c>
      <c r="K690" s="13" t="s">
        <v>15</v>
      </c>
      <c r="L690" s="15">
        <v>137.26900000000001</v>
      </c>
      <c r="M690" s="16">
        <v>137.26900000000001</v>
      </c>
    </row>
    <row r="691" spans="1:13" s="5" customFormat="1" x14ac:dyDescent="0.25">
      <c r="A691" s="12" t="s">
        <v>1371</v>
      </c>
      <c r="B691" s="13" t="s">
        <v>1372</v>
      </c>
      <c r="C691" s="14">
        <v>45019</v>
      </c>
      <c r="D691" s="13">
        <v>2023</v>
      </c>
      <c r="E691" s="13" t="s">
        <v>10</v>
      </c>
      <c r="F691" s="13" t="s">
        <v>25</v>
      </c>
      <c r="G691" s="15">
        <v>1547.52</v>
      </c>
      <c r="H691" s="15">
        <v>1547.52</v>
      </c>
      <c r="I691" s="13">
        <v>10</v>
      </c>
      <c r="J691" s="13">
        <v>10</v>
      </c>
      <c r="K691" s="13" t="s">
        <v>3348</v>
      </c>
      <c r="L691" s="15">
        <v>154.75200000000001</v>
      </c>
      <c r="M691" s="16">
        <v>154.75200000000001</v>
      </c>
    </row>
    <row r="692" spans="1:13" s="5" customFormat="1" x14ac:dyDescent="0.25">
      <c r="A692" s="12" t="s">
        <v>1373</v>
      </c>
      <c r="B692" s="13" t="s">
        <v>1374</v>
      </c>
      <c r="C692" s="14">
        <v>45562</v>
      </c>
      <c r="D692" s="13">
        <v>2024</v>
      </c>
      <c r="E692" s="13" t="s">
        <v>3347</v>
      </c>
      <c r="F692" s="13" t="s">
        <v>34</v>
      </c>
      <c r="G692" s="15">
        <v>410.13</v>
      </c>
      <c r="H692" s="15">
        <v>410.13</v>
      </c>
      <c r="I692" s="13">
        <v>10</v>
      </c>
      <c r="J692" s="13">
        <v>10</v>
      </c>
      <c r="K692" s="13" t="s">
        <v>15</v>
      </c>
      <c r="L692" s="15">
        <v>41.012999999999998</v>
      </c>
      <c r="M692" s="16">
        <v>41.012999999999998</v>
      </c>
    </row>
    <row r="693" spans="1:13" s="5" customFormat="1" x14ac:dyDescent="0.25">
      <c r="A693" s="12" t="s">
        <v>1375</v>
      </c>
      <c r="B693" s="13" t="s">
        <v>1376</v>
      </c>
      <c r="C693" s="14">
        <v>45751</v>
      </c>
      <c r="D693" s="13">
        <v>2025</v>
      </c>
      <c r="E693" s="13" t="s">
        <v>3347</v>
      </c>
      <c r="F693" s="13" t="s">
        <v>11</v>
      </c>
      <c r="G693" s="15"/>
      <c r="H693" s="15">
        <v>283.05458333333331</v>
      </c>
      <c r="I693" s="13">
        <v>2</v>
      </c>
      <c r="J693" s="13">
        <v>2</v>
      </c>
      <c r="K693" s="13" t="s">
        <v>35</v>
      </c>
      <c r="L693" s="15">
        <v>141.52729166666666</v>
      </c>
      <c r="M693" s="16">
        <v>141.52729166666666</v>
      </c>
    </row>
    <row r="694" spans="1:13" s="5" customFormat="1" x14ac:dyDescent="0.25">
      <c r="A694" s="12" t="s">
        <v>1377</v>
      </c>
      <c r="B694" s="13" t="s">
        <v>1378</v>
      </c>
      <c r="C694" s="14">
        <v>45010</v>
      </c>
      <c r="D694" s="13">
        <v>2023</v>
      </c>
      <c r="E694" s="13" t="s">
        <v>3347</v>
      </c>
      <c r="F694" s="13" t="s">
        <v>11</v>
      </c>
      <c r="G694" s="15">
        <v>105.04</v>
      </c>
      <c r="H694" s="15">
        <v>105.04</v>
      </c>
      <c r="I694" s="13">
        <v>7</v>
      </c>
      <c r="J694" s="13">
        <v>7</v>
      </c>
      <c r="K694" s="13" t="s">
        <v>35</v>
      </c>
      <c r="L694" s="15">
        <v>15.005714285714287</v>
      </c>
      <c r="M694" s="16">
        <v>15.005714285714287</v>
      </c>
    </row>
    <row r="695" spans="1:13" s="5" customFormat="1" x14ac:dyDescent="0.25">
      <c r="A695" s="12" t="s">
        <v>1379</v>
      </c>
      <c r="B695" s="13" t="s">
        <v>1380</v>
      </c>
      <c r="C695" s="14">
        <v>45134</v>
      </c>
      <c r="D695" s="13">
        <v>2023</v>
      </c>
      <c r="E695" s="13" t="s">
        <v>10</v>
      </c>
      <c r="F695" s="13" t="s">
        <v>34</v>
      </c>
      <c r="G695" s="15">
        <v>797.03</v>
      </c>
      <c r="H695" s="15">
        <v>797.03</v>
      </c>
      <c r="I695" s="13">
        <v>3</v>
      </c>
      <c r="J695" s="13">
        <v>3</v>
      </c>
      <c r="K695" s="13" t="s">
        <v>35</v>
      </c>
      <c r="L695" s="15">
        <v>265.67666666666668</v>
      </c>
      <c r="M695" s="16">
        <v>265.67666666666668</v>
      </c>
    </row>
    <row r="696" spans="1:13" s="5" customFormat="1" x14ac:dyDescent="0.25">
      <c r="A696" s="12" t="s">
        <v>1381</v>
      </c>
      <c r="B696" s="13" t="s">
        <v>1382</v>
      </c>
      <c r="C696" s="14">
        <v>44860</v>
      </c>
      <c r="D696" s="13">
        <v>2022</v>
      </c>
      <c r="E696" s="13" t="s">
        <v>14</v>
      </c>
      <c r="F696" s="13" t="s">
        <v>11</v>
      </c>
      <c r="G696" s="15">
        <v>298.33</v>
      </c>
      <c r="H696" s="15">
        <v>298.33</v>
      </c>
      <c r="I696" s="13">
        <v>7</v>
      </c>
      <c r="J696" s="13">
        <v>7</v>
      </c>
      <c r="K696" s="13" t="s">
        <v>35</v>
      </c>
      <c r="L696" s="15">
        <v>42.618571428571428</v>
      </c>
      <c r="M696" s="16">
        <v>42.618571428571428</v>
      </c>
    </row>
    <row r="697" spans="1:13" s="5" customFormat="1" x14ac:dyDescent="0.25">
      <c r="A697" s="12" t="s">
        <v>1383</v>
      </c>
      <c r="B697" s="13" t="s">
        <v>1384</v>
      </c>
      <c r="C697" s="14">
        <v>45101</v>
      </c>
      <c r="D697" s="13">
        <v>2023</v>
      </c>
      <c r="E697" s="13" t="s">
        <v>3347</v>
      </c>
      <c r="F697" s="13" t="s">
        <v>22</v>
      </c>
      <c r="G697" s="15">
        <v>422.65</v>
      </c>
      <c r="H697" s="15">
        <v>422.65</v>
      </c>
      <c r="I697" s="13">
        <v>8</v>
      </c>
      <c r="J697" s="13">
        <v>8</v>
      </c>
      <c r="K697" s="13" t="s">
        <v>18</v>
      </c>
      <c r="L697" s="15">
        <v>52.831249999999997</v>
      </c>
      <c r="M697" s="16">
        <v>52.831249999999997</v>
      </c>
    </row>
    <row r="698" spans="1:13" s="5" customFormat="1" x14ac:dyDescent="0.25">
      <c r="A698" s="12" t="s">
        <v>1385</v>
      </c>
      <c r="B698" s="13" t="s">
        <v>1386</v>
      </c>
      <c r="C698" s="14">
        <v>44993</v>
      </c>
      <c r="D698" s="13">
        <v>2023</v>
      </c>
      <c r="E698" s="13" t="s">
        <v>10</v>
      </c>
      <c r="F698" s="13" t="s">
        <v>22</v>
      </c>
      <c r="G698" s="15">
        <v>842.99</v>
      </c>
      <c r="H698" s="15">
        <v>842.99</v>
      </c>
      <c r="I698" s="13">
        <v>4</v>
      </c>
      <c r="J698" s="13">
        <v>4</v>
      </c>
      <c r="K698" s="13" t="s">
        <v>15</v>
      </c>
      <c r="L698" s="15">
        <v>210.7475</v>
      </c>
      <c r="M698" s="16">
        <v>210.7475</v>
      </c>
    </row>
    <row r="699" spans="1:13" s="5" customFormat="1" x14ac:dyDescent="0.25">
      <c r="A699" s="12" t="s">
        <v>1387</v>
      </c>
      <c r="B699" s="13" t="s">
        <v>1388</v>
      </c>
      <c r="C699" s="14">
        <v>45563</v>
      </c>
      <c r="D699" s="13">
        <v>2024</v>
      </c>
      <c r="E699" s="13" t="s">
        <v>10</v>
      </c>
      <c r="F699" s="13" t="s">
        <v>25</v>
      </c>
      <c r="G699" s="15"/>
      <c r="H699" s="15">
        <v>1073.4301666666668</v>
      </c>
      <c r="I699" s="13">
        <v>6</v>
      </c>
      <c r="J699" s="13">
        <v>6</v>
      </c>
      <c r="K699" s="13" t="s">
        <v>15</v>
      </c>
      <c r="L699" s="15">
        <v>178.9050277777778</v>
      </c>
      <c r="M699" s="16">
        <v>178.9050277777778</v>
      </c>
    </row>
    <row r="700" spans="1:13" s="5" customFormat="1" x14ac:dyDescent="0.25">
      <c r="A700" s="12" t="s">
        <v>1389</v>
      </c>
      <c r="B700" s="13" t="s">
        <v>1390</v>
      </c>
      <c r="C700" s="14">
        <v>45088</v>
      </c>
      <c r="D700" s="13">
        <v>2023</v>
      </c>
      <c r="E700" s="13" t="s">
        <v>14</v>
      </c>
      <c r="F700" s="13" t="s">
        <v>22</v>
      </c>
      <c r="G700" s="15">
        <v>868.99</v>
      </c>
      <c r="H700" s="15">
        <v>868.99</v>
      </c>
      <c r="I700" s="13">
        <v>7</v>
      </c>
      <c r="J700" s="13">
        <v>7</v>
      </c>
      <c r="K700" s="13" t="s">
        <v>35</v>
      </c>
      <c r="L700" s="15">
        <v>124.14142857142858</v>
      </c>
      <c r="M700" s="16">
        <v>124.14142857142858</v>
      </c>
    </row>
    <row r="701" spans="1:13" s="5" customFormat="1" x14ac:dyDescent="0.25">
      <c r="A701" s="12" t="s">
        <v>1391</v>
      </c>
      <c r="B701" s="13" t="s">
        <v>1392</v>
      </c>
      <c r="C701" s="14">
        <v>44973</v>
      </c>
      <c r="D701" s="13">
        <v>2023</v>
      </c>
      <c r="E701" s="13" t="s">
        <v>14</v>
      </c>
      <c r="F701" s="13" t="s">
        <v>34</v>
      </c>
      <c r="G701" s="15">
        <v>1050.8800000000001</v>
      </c>
      <c r="H701" s="15">
        <v>1050.8800000000001</v>
      </c>
      <c r="I701" s="13">
        <v>1</v>
      </c>
      <c r="J701" s="13">
        <v>1</v>
      </c>
      <c r="K701" s="13" t="s">
        <v>3346</v>
      </c>
      <c r="L701" s="15">
        <v>1050.8800000000001</v>
      </c>
      <c r="M701" s="16">
        <v>1050.8800000000001</v>
      </c>
    </row>
    <row r="702" spans="1:13" s="5" customFormat="1" x14ac:dyDescent="0.25">
      <c r="A702" s="12" t="s">
        <v>1393</v>
      </c>
      <c r="B702" s="13" t="s">
        <v>1394</v>
      </c>
      <c r="C702" s="14">
        <v>45383</v>
      </c>
      <c r="D702" s="13">
        <v>2024</v>
      </c>
      <c r="E702" s="13" t="s">
        <v>21</v>
      </c>
      <c r="F702" s="13" t="s">
        <v>22</v>
      </c>
      <c r="G702" s="15">
        <v>706.82</v>
      </c>
      <c r="H702" s="15">
        <v>706.82</v>
      </c>
      <c r="I702" s="13">
        <v>3</v>
      </c>
      <c r="J702" s="13">
        <v>3</v>
      </c>
      <c r="K702" s="13" t="s">
        <v>3348</v>
      </c>
      <c r="L702" s="15">
        <v>235.60666666666668</v>
      </c>
      <c r="M702" s="16">
        <v>235.60666666666668</v>
      </c>
    </row>
    <row r="703" spans="1:13" s="5" customFormat="1" x14ac:dyDescent="0.25">
      <c r="A703" s="12" t="s">
        <v>1395</v>
      </c>
      <c r="B703" s="13" t="s">
        <v>1396</v>
      </c>
      <c r="C703" s="14">
        <v>45710</v>
      </c>
      <c r="D703" s="13">
        <v>2025</v>
      </c>
      <c r="E703" s="13" t="s">
        <v>21</v>
      </c>
      <c r="F703" s="13" t="s">
        <v>22</v>
      </c>
      <c r="G703" s="15">
        <v>1888.07</v>
      </c>
      <c r="H703" s="15">
        <v>1888.07</v>
      </c>
      <c r="I703" s="13"/>
      <c r="J703" s="13">
        <v>3</v>
      </c>
      <c r="K703" s="13" t="s">
        <v>15</v>
      </c>
      <c r="L703" s="15">
        <v>629.35666666666668</v>
      </c>
      <c r="M703" s="16">
        <v>566.1393333333333</v>
      </c>
    </row>
    <row r="704" spans="1:13" s="5" customFormat="1" x14ac:dyDescent="0.25">
      <c r="A704" s="12" t="s">
        <v>1397</v>
      </c>
      <c r="B704" s="13" t="s">
        <v>1398</v>
      </c>
      <c r="C704" s="14">
        <v>45602</v>
      </c>
      <c r="D704" s="13">
        <v>2024</v>
      </c>
      <c r="E704" s="13" t="s">
        <v>14</v>
      </c>
      <c r="F704" s="13" t="s">
        <v>11</v>
      </c>
      <c r="G704" s="15">
        <v>1209.79</v>
      </c>
      <c r="H704" s="15">
        <v>1209.79</v>
      </c>
      <c r="I704" s="13">
        <v>3</v>
      </c>
      <c r="J704" s="13">
        <v>3</v>
      </c>
      <c r="K704" s="13" t="s">
        <v>35</v>
      </c>
      <c r="L704" s="15">
        <v>403.26333333333332</v>
      </c>
      <c r="M704" s="16">
        <v>403.26333333333332</v>
      </c>
    </row>
    <row r="705" spans="1:13" s="5" customFormat="1" x14ac:dyDescent="0.25">
      <c r="A705" s="12" t="s">
        <v>1399</v>
      </c>
      <c r="B705" s="13" t="s">
        <v>1400</v>
      </c>
      <c r="C705" s="14">
        <v>45702</v>
      </c>
      <c r="D705" s="13">
        <v>2025</v>
      </c>
      <c r="E705" s="13" t="s">
        <v>3347</v>
      </c>
      <c r="F705" s="13" t="s">
        <v>11</v>
      </c>
      <c r="G705" s="15">
        <v>473.17</v>
      </c>
      <c r="H705" s="15">
        <v>473.17</v>
      </c>
      <c r="I705" s="13">
        <v>8</v>
      </c>
      <c r="J705" s="13">
        <v>8</v>
      </c>
      <c r="K705" s="13" t="s">
        <v>35</v>
      </c>
      <c r="L705" s="15">
        <v>59.146250000000002</v>
      </c>
      <c r="M705" s="16">
        <v>59.146250000000002</v>
      </c>
    </row>
    <row r="706" spans="1:13" s="5" customFormat="1" x14ac:dyDescent="0.25">
      <c r="A706" s="12" t="s">
        <v>1401</v>
      </c>
      <c r="B706" s="13" t="s">
        <v>1150</v>
      </c>
      <c r="C706" s="14">
        <v>45727</v>
      </c>
      <c r="D706" s="13">
        <v>2025</v>
      </c>
      <c r="E706" s="13" t="s">
        <v>21</v>
      </c>
      <c r="F706" s="13" t="s">
        <v>34</v>
      </c>
      <c r="G706" s="15">
        <v>1827.74</v>
      </c>
      <c r="H706" s="15">
        <v>1827.74</v>
      </c>
      <c r="I706" s="13">
        <v>9</v>
      </c>
      <c r="J706" s="13">
        <v>9</v>
      </c>
      <c r="K706" s="13" t="s">
        <v>35</v>
      </c>
      <c r="L706" s="15">
        <v>203.08222222222221</v>
      </c>
      <c r="M706" s="16">
        <v>203.08222222222221</v>
      </c>
    </row>
    <row r="707" spans="1:13" s="5" customFormat="1" x14ac:dyDescent="0.25">
      <c r="A707" s="12" t="s">
        <v>1402</v>
      </c>
      <c r="B707" s="13" t="s">
        <v>1403</v>
      </c>
      <c r="C707" s="14">
        <v>45250</v>
      </c>
      <c r="D707" s="13">
        <v>2023</v>
      </c>
      <c r="E707" s="13" t="s">
        <v>10</v>
      </c>
      <c r="F707" s="13" t="s">
        <v>22</v>
      </c>
      <c r="G707" s="15">
        <v>845.37</v>
      </c>
      <c r="H707" s="15">
        <v>845.37</v>
      </c>
      <c r="I707" s="13"/>
      <c r="J707" s="13">
        <v>1</v>
      </c>
      <c r="K707" s="13" t="s">
        <v>3348</v>
      </c>
      <c r="L707" s="15">
        <v>845.37</v>
      </c>
      <c r="M707" s="16">
        <v>572.48821212121209</v>
      </c>
    </row>
    <row r="708" spans="1:13" s="5" customFormat="1" x14ac:dyDescent="0.25">
      <c r="A708" s="12" t="s">
        <v>1404</v>
      </c>
      <c r="B708" s="13" t="s">
        <v>1405</v>
      </c>
      <c r="C708" s="14">
        <v>44943</v>
      </c>
      <c r="D708" s="13">
        <v>2023</v>
      </c>
      <c r="E708" s="13" t="s">
        <v>21</v>
      </c>
      <c r="F708" s="13" t="s">
        <v>34</v>
      </c>
      <c r="G708" s="15">
        <v>83.66</v>
      </c>
      <c r="H708" s="15">
        <v>83.66</v>
      </c>
      <c r="I708" s="13">
        <v>8</v>
      </c>
      <c r="J708" s="13">
        <v>8</v>
      </c>
      <c r="K708" s="13" t="s">
        <v>18</v>
      </c>
      <c r="L708" s="15">
        <v>10.4575</v>
      </c>
      <c r="M708" s="16">
        <v>10.4575</v>
      </c>
    </row>
    <row r="709" spans="1:13" s="5" customFormat="1" x14ac:dyDescent="0.25">
      <c r="A709" s="12" t="s">
        <v>1406</v>
      </c>
      <c r="B709" s="13" t="s">
        <v>1407</v>
      </c>
      <c r="C709" s="14">
        <v>45222</v>
      </c>
      <c r="D709" s="13">
        <v>2023</v>
      </c>
      <c r="E709" s="13" t="s">
        <v>21</v>
      </c>
      <c r="F709" s="13" t="s">
        <v>25</v>
      </c>
      <c r="G709" s="15">
        <v>1419.44</v>
      </c>
      <c r="H709" s="15">
        <v>1419.44</v>
      </c>
      <c r="I709" s="13">
        <v>7</v>
      </c>
      <c r="J709" s="13">
        <v>7</v>
      </c>
      <c r="K709" s="13" t="s">
        <v>3348</v>
      </c>
      <c r="L709" s="15">
        <v>202.77714285714288</v>
      </c>
      <c r="M709" s="16">
        <v>202.77714285714288</v>
      </c>
    </row>
    <row r="710" spans="1:13" s="5" customFormat="1" x14ac:dyDescent="0.25">
      <c r="A710" s="12" t="s">
        <v>1408</v>
      </c>
      <c r="B710" s="13" t="s">
        <v>1409</v>
      </c>
      <c r="C710" s="14">
        <v>45935</v>
      </c>
      <c r="D710" s="13">
        <v>2025</v>
      </c>
      <c r="E710" s="13" t="s">
        <v>10</v>
      </c>
      <c r="F710" s="13" t="s">
        <v>22</v>
      </c>
      <c r="G710" s="15">
        <v>1058.97</v>
      </c>
      <c r="H710" s="15">
        <v>1058.97</v>
      </c>
      <c r="I710" s="13">
        <v>5</v>
      </c>
      <c r="J710" s="13">
        <v>5</v>
      </c>
      <c r="K710" s="13" t="s">
        <v>3348</v>
      </c>
      <c r="L710" s="15">
        <v>211.79400000000001</v>
      </c>
      <c r="M710" s="16">
        <v>211.79400000000001</v>
      </c>
    </row>
    <row r="711" spans="1:13" s="5" customFormat="1" x14ac:dyDescent="0.25">
      <c r="A711" s="12" t="s">
        <v>1410</v>
      </c>
      <c r="B711" s="13" t="s">
        <v>1411</v>
      </c>
      <c r="C711" s="14">
        <v>45844</v>
      </c>
      <c r="D711" s="13">
        <v>2025</v>
      </c>
      <c r="E711" s="13" t="s">
        <v>21</v>
      </c>
      <c r="F711" s="13" t="s">
        <v>22</v>
      </c>
      <c r="G711" s="15">
        <v>1574.37</v>
      </c>
      <c r="H711" s="15">
        <v>1574.37</v>
      </c>
      <c r="I711" s="13">
        <v>1</v>
      </c>
      <c r="J711" s="13">
        <v>1</v>
      </c>
      <c r="K711" s="13" t="s">
        <v>15</v>
      </c>
      <c r="L711" s="15">
        <v>1574.37</v>
      </c>
      <c r="M711" s="16">
        <v>1574.37</v>
      </c>
    </row>
    <row r="712" spans="1:13" s="5" customFormat="1" x14ac:dyDescent="0.25">
      <c r="A712" s="12" t="s">
        <v>1412</v>
      </c>
      <c r="B712" s="13" t="s">
        <v>1413</v>
      </c>
      <c r="C712" s="14">
        <v>45930</v>
      </c>
      <c r="D712" s="13">
        <v>2025</v>
      </c>
      <c r="E712" s="13" t="s">
        <v>21</v>
      </c>
      <c r="F712" s="13" t="s">
        <v>34</v>
      </c>
      <c r="G712" s="15">
        <v>1884.82</v>
      </c>
      <c r="H712" s="15">
        <v>1884.82</v>
      </c>
      <c r="I712" s="13">
        <v>4</v>
      </c>
      <c r="J712" s="13">
        <v>4</v>
      </c>
      <c r="K712" s="13" t="s">
        <v>3348</v>
      </c>
      <c r="L712" s="15">
        <v>471.20499999999998</v>
      </c>
      <c r="M712" s="16">
        <v>471.20499999999998</v>
      </c>
    </row>
    <row r="713" spans="1:13" s="5" customFormat="1" x14ac:dyDescent="0.25">
      <c r="A713" s="12" t="s">
        <v>1414</v>
      </c>
      <c r="B713" s="13" t="s">
        <v>1415</v>
      </c>
      <c r="C713" s="14">
        <v>45145</v>
      </c>
      <c r="D713" s="13">
        <v>2023</v>
      </c>
      <c r="E713" s="13" t="s">
        <v>10</v>
      </c>
      <c r="F713" s="13" t="s">
        <v>22</v>
      </c>
      <c r="G713" s="15">
        <v>31.85</v>
      </c>
      <c r="H713" s="15">
        <v>31.85</v>
      </c>
      <c r="I713" s="13">
        <v>6</v>
      </c>
      <c r="J713" s="13">
        <v>6</v>
      </c>
      <c r="K713" s="13" t="s">
        <v>15</v>
      </c>
      <c r="L713" s="15">
        <v>5.3083333333333336</v>
      </c>
      <c r="M713" s="16">
        <v>5.3083333333333336</v>
      </c>
    </row>
    <row r="714" spans="1:13" s="5" customFormat="1" x14ac:dyDescent="0.25">
      <c r="A714" s="12" t="s">
        <v>1416</v>
      </c>
      <c r="B714" s="13" t="s">
        <v>1055</v>
      </c>
      <c r="C714" s="14">
        <v>45318</v>
      </c>
      <c r="D714" s="13">
        <v>2024</v>
      </c>
      <c r="E714" s="13" t="s">
        <v>10</v>
      </c>
      <c r="F714" s="13" t="s">
        <v>22</v>
      </c>
      <c r="G714" s="15">
        <v>586.16</v>
      </c>
      <c r="H714" s="15">
        <v>586.16</v>
      </c>
      <c r="I714" s="13">
        <v>2</v>
      </c>
      <c r="J714" s="13">
        <v>2</v>
      </c>
      <c r="K714" s="13" t="s">
        <v>18</v>
      </c>
      <c r="L714" s="15">
        <v>293.08</v>
      </c>
      <c r="M714" s="16">
        <v>293.08</v>
      </c>
    </row>
    <row r="715" spans="1:13" s="5" customFormat="1" x14ac:dyDescent="0.25">
      <c r="A715" s="12" t="s">
        <v>1417</v>
      </c>
      <c r="B715" s="13" t="s">
        <v>1418</v>
      </c>
      <c r="C715" s="14">
        <v>45124</v>
      </c>
      <c r="D715" s="13">
        <v>2023</v>
      </c>
      <c r="E715" s="13" t="s">
        <v>14</v>
      </c>
      <c r="F715" s="13" t="s">
        <v>34</v>
      </c>
      <c r="G715" s="15">
        <v>1537.88</v>
      </c>
      <c r="H715" s="15">
        <v>1537.88</v>
      </c>
      <c r="I715" s="13">
        <v>4</v>
      </c>
      <c r="J715" s="13">
        <v>4</v>
      </c>
      <c r="K715" s="13" t="s">
        <v>35</v>
      </c>
      <c r="L715" s="15">
        <v>384.47</v>
      </c>
      <c r="M715" s="16">
        <v>384.47</v>
      </c>
    </row>
    <row r="716" spans="1:13" s="5" customFormat="1" x14ac:dyDescent="0.25">
      <c r="A716" s="12" t="s">
        <v>1419</v>
      </c>
      <c r="B716" s="13" t="s">
        <v>1420</v>
      </c>
      <c r="C716" s="14">
        <v>45723</v>
      </c>
      <c r="D716" s="13">
        <v>2025</v>
      </c>
      <c r="E716" s="13" t="s">
        <v>14</v>
      </c>
      <c r="F716" s="13" t="s">
        <v>34</v>
      </c>
      <c r="G716" s="15">
        <v>1095.95</v>
      </c>
      <c r="H716" s="15">
        <v>1095.95</v>
      </c>
      <c r="I716" s="13">
        <v>6</v>
      </c>
      <c r="J716" s="13">
        <v>6</v>
      </c>
      <c r="K716" s="13" t="s">
        <v>15</v>
      </c>
      <c r="L716" s="15">
        <v>182.65833333333333</v>
      </c>
      <c r="M716" s="16">
        <v>182.65833333333333</v>
      </c>
    </row>
    <row r="717" spans="1:13" s="5" customFormat="1" x14ac:dyDescent="0.25">
      <c r="A717" s="12" t="s">
        <v>1421</v>
      </c>
      <c r="B717" s="13" t="s">
        <v>1422</v>
      </c>
      <c r="C717" s="14">
        <v>45842</v>
      </c>
      <c r="D717" s="13">
        <v>2025</v>
      </c>
      <c r="E717" s="13" t="s">
        <v>21</v>
      </c>
      <c r="F717" s="13" t="s">
        <v>11</v>
      </c>
      <c r="G717" s="15">
        <v>1310.07</v>
      </c>
      <c r="H717" s="15">
        <v>1310.07</v>
      </c>
      <c r="I717" s="13"/>
      <c r="J717" s="13">
        <v>3</v>
      </c>
      <c r="K717" s="13" t="s">
        <v>3348</v>
      </c>
      <c r="L717" s="15">
        <v>436.69</v>
      </c>
      <c r="M717" s="16">
        <v>408.6275</v>
      </c>
    </row>
    <row r="718" spans="1:13" s="5" customFormat="1" x14ac:dyDescent="0.25">
      <c r="A718" s="12" t="s">
        <v>1423</v>
      </c>
      <c r="B718" s="13" t="s">
        <v>1424</v>
      </c>
      <c r="C718" s="14">
        <v>45385</v>
      </c>
      <c r="D718" s="13">
        <v>2024</v>
      </c>
      <c r="E718" s="13" t="s">
        <v>10</v>
      </c>
      <c r="F718" s="13" t="s">
        <v>34</v>
      </c>
      <c r="G718" s="15">
        <v>311.22000000000003</v>
      </c>
      <c r="H718" s="15">
        <v>311.22000000000003</v>
      </c>
      <c r="I718" s="13">
        <v>5</v>
      </c>
      <c r="J718" s="13">
        <v>5</v>
      </c>
      <c r="K718" s="13" t="s">
        <v>18</v>
      </c>
      <c r="L718" s="15">
        <v>62.244000000000007</v>
      </c>
      <c r="M718" s="16">
        <v>62.244000000000007</v>
      </c>
    </row>
    <row r="719" spans="1:13" s="5" customFormat="1" x14ac:dyDescent="0.25">
      <c r="A719" s="12" t="s">
        <v>1425</v>
      </c>
      <c r="B719" s="13" t="s">
        <v>1426</v>
      </c>
      <c r="C719" s="14">
        <v>45539</v>
      </c>
      <c r="D719" s="13">
        <v>2024</v>
      </c>
      <c r="E719" s="13" t="s">
        <v>3347</v>
      </c>
      <c r="F719" s="13" t="s">
        <v>34</v>
      </c>
      <c r="G719" s="15">
        <v>506.54</v>
      </c>
      <c r="H719" s="15">
        <v>506.54</v>
      </c>
      <c r="I719" s="13">
        <v>7</v>
      </c>
      <c r="J719" s="13">
        <v>7</v>
      </c>
      <c r="K719" s="13" t="s">
        <v>18</v>
      </c>
      <c r="L719" s="15">
        <v>72.362857142857152</v>
      </c>
      <c r="M719" s="16">
        <v>72.362857142857152</v>
      </c>
    </row>
    <row r="720" spans="1:13" s="5" customFormat="1" x14ac:dyDescent="0.25">
      <c r="A720" s="12" t="s">
        <v>1427</v>
      </c>
      <c r="B720" s="13" t="s">
        <v>1428</v>
      </c>
      <c r="C720" s="14">
        <v>44886</v>
      </c>
      <c r="D720" s="13">
        <v>2022</v>
      </c>
      <c r="E720" s="13" t="s">
        <v>21</v>
      </c>
      <c r="F720" s="13" t="s">
        <v>11</v>
      </c>
      <c r="G720" s="15">
        <v>1088.94</v>
      </c>
      <c r="H720" s="15">
        <v>1088.94</v>
      </c>
      <c r="I720" s="13">
        <v>2</v>
      </c>
      <c r="J720" s="13">
        <v>2</v>
      </c>
      <c r="K720" s="13" t="s">
        <v>3348</v>
      </c>
      <c r="L720" s="15">
        <v>544.47</v>
      </c>
      <c r="M720" s="16">
        <v>544.47</v>
      </c>
    </row>
    <row r="721" spans="1:13" s="5" customFormat="1" x14ac:dyDescent="0.25">
      <c r="A721" s="12" t="s">
        <v>1429</v>
      </c>
      <c r="B721" s="13" t="s">
        <v>1430</v>
      </c>
      <c r="C721" s="14">
        <v>45034</v>
      </c>
      <c r="D721" s="13">
        <v>2023</v>
      </c>
      <c r="E721" s="13" t="s">
        <v>21</v>
      </c>
      <c r="F721" s="13" t="s">
        <v>34</v>
      </c>
      <c r="G721" s="15">
        <v>1330.18</v>
      </c>
      <c r="H721" s="15">
        <v>1330.18</v>
      </c>
      <c r="I721" s="13">
        <v>7</v>
      </c>
      <c r="J721" s="13">
        <v>7</v>
      </c>
      <c r="K721" s="13" t="s">
        <v>3346</v>
      </c>
      <c r="L721" s="15">
        <v>190.02571428571429</v>
      </c>
      <c r="M721" s="16">
        <v>190.02571428571429</v>
      </c>
    </row>
    <row r="722" spans="1:13" s="5" customFormat="1" x14ac:dyDescent="0.25">
      <c r="A722" s="12" t="s">
        <v>1431</v>
      </c>
      <c r="B722" s="13" t="s">
        <v>1432</v>
      </c>
      <c r="C722" s="14">
        <v>44883</v>
      </c>
      <c r="D722" s="13">
        <v>2022</v>
      </c>
      <c r="E722" s="13" t="s">
        <v>3347</v>
      </c>
      <c r="F722" s="13" t="s">
        <v>34</v>
      </c>
      <c r="G722" s="15">
        <v>41.55</v>
      </c>
      <c r="H722" s="15">
        <v>41.55</v>
      </c>
      <c r="I722" s="13">
        <v>4</v>
      </c>
      <c r="J722" s="13">
        <v>4</v>
      </c>
      <c r="K722" s="13" t="s">
        <v>3346</v>
      </c>
      <c r="L722" s="15">
        <v>10.387499999999999</v>
      </c>
      <c r="M722" s="16">
        <v>10.387499999999999</v>
      </c>
    </row>
    <row r="723" spans="1:13" s="5" customFormat="1" x14ac:dyDescent="0.25">
      <c r="A723" s="12" t="s">
        <v>1433</v>
      </c>
      <c r="B723" s="13" t="s">
        <v>1434</v>
      </c>
      <c r="C723" s="14">
        <v>45537</v>
      </c>
      <c r="D723" s="13">
        <v>2024</v>
      </c>
      <c r="E723" s="13" t="s">
        <v>14</v>
      </c>
      <c r="F723" s="13" t="s">
        <v>25</v>
      </c>
      <c r="G723" s="15">
        <v>1809.1</v>
      </c>
      <c r="H723" s="15">
        <v>1809.1</v>
      </c>
      <c r="I723" s="13">
        <v>8</v>
      </c>
      <c r="J723" s="13">
        <v>8</v>
      </c>
      <c r="K723" s="13" t="s">
        <v>35</v>
      </c>
      <c r="L723" s="15">
        <v>226.13749999999999</v>
      </c>
      <c r="M723" s="16">
        <v>226.13749999999999</v>
      </c>
    </row>
    <row r="724" spans="1:13" s="5" customFormat="1" x14ac:dyDescent="0.25">
      <c r="A724" s="12" t="s">
        <v>1435</v>
      </c>
      <c r="B724" s="13" t="s">
        <v>1436</v>
      </c>
      <c r="C724" s="14">
        <v>45012</v>
      </c>
      <c r="D724" s="13">
        <v>2023</v>
      </c>
      <c r="E724" s="13" t="s">
        <v>10</v>
      </c>
      <c r="F724" s="13" t="s">
        <v>25</v>
      </c>
      <c r="G724" s="15"/>
      <c r="H724" s="15">
        <v>150.75611111111112</v>
      </c>
      <c r="I724" s="13">
        <v>1</v>
      </c>
      <c r="J724" s="13">
        <v>1</v>
      </c>
      <c r="K724" s="13" t="s">
        <v>35</v>
      </c>
      <c r="L724" s="15">
        <v>150.75611111111112</v>
      </c>
      <c r="M724" s="16">
        <v>150.75611111111112</v>
      </c>
    </row>
    <row r="725" spans="1:13" s="5" customFormat="1" x14ac:dyDescent="0.25">
      <c r="A725" s="12" t="s">
        <v>1437</v>
      </c>
      <c r="B725" s="13" t="s">
        <v>1438</v>
      </c>
      <c r="C725" s="14">
        <v>45696</v>
      </c>
      <c r="D725" s="13">
        <v>2025</v>
      </c>
      <c r="E725" s="13" t="s">
        <v>10</v>
      </c>
      <c r="F725" s="13" t="s">
        <v>25</v>
      </c>
      <c r="G725" s="15">
        <v>987.47</v>
      </c>
      <c r="H725" s="15">
        <v>987.47</v>
      </c>
      <c r="I725" s="13">
        <v>8</v>
      </c>
      <c r="J725" s="13">
        <v>8</v>
      </c>
      <c r="K725" s="13" t="s">
        <v>15</v>
      </c>
      <c r="L725" s="15">
        <v>123.43375</v>
      </c>
      <c r="M725" s="16">
        <v>123.43375</v>
      </c>
    </row>
    <row r="726" spans="1:13" s="5" customFormat="1" x14ac:dyDescent="0.25">
      <c r="A726" s="12" t="s">
        <v>1439</v>
      </c>
      <c r="B726" s="13" t="s">
        <v>1440</v>
      </c>
      <c r="C726" s="14">
        <v>45934</v>
      </c>
      <c r="D726" s="13">
        <v>2025</v>
      </c>
      <c r="E726" s="13" t="s">
        <v>21</v>
      </c>
      <c r="F726" s="13" t="s">
        <v>22</v>
      </c>
      <c r="G726" s="15">
        <v>1974.81</v>
      </c>
      <c r="H726" s="15">
        <v>1974.81</v>
      </c>
      <c r="I726" s="13">
        <v>2</v>
      </c>
      <c r="J726" s="13">
        <v>2</v>
      </c>
      <c r="K726" s="13" t="s">
        <v>3346</v>
      </c>
      <c r="L726" s="15">
        <v>987.40499999999997</v>
      </c>
      <c r="M726" s="16">
        <v>987.40499999999997</v>
      </c>
    </row>
    <row r="727" spans="1:13" s="5" customFormat="1" x14ac:dyDescent="0.25">
      <c r="A727" s="12" t="s">
        <v>1441</v>
      </c>
      <c r="B727" s="13" t="s">
        <v>1442</v>
      </c>
      <c r="C727" s="14">
        <v>45787</v>
      </c>
      <c r="D727" s="13">
        <v>2025</v>
      </c>
      <c r="E727" s="13" t="s">
        <v>21</v>
      </c>
      <c r="F727" s="13" t="s">
        <v>22</v>
      </c>
      <c r="G727" s="15">
        <v>678.86</v>
      </c>
      <c r="H727" s="15">
        <v>678.86</v>
      </c>
      <c r="I727" s="13">
        <v>2</v>
      </c>
      <c r="J727" s="13">
        <v>2</v>
      </c>
      <c r="K727" s="13" t="s">
        <v>35</v>
      </c>
      <c r="L727" s="15">
        <v>339.43</v>
      </c>
      <c r="M727" s="16">
        <v>339.43</v>
      </c>
    </row>
    <row r="728" spans="1:13" s="5" customFormat="1" x14ac:dyDescent="0.25">
      <c r="A728" s="12" t="s">
        <v>1443</v>
      </c>
      <c r="B728" s="13" t="s">
        <v>360</v>
      </c>
      <c r="C728" s="14">
        <v>45148</v>
      </c>
      <c r="D728" s="13">
        <v>2023</v>
      </c>
      <c r="E728" s="13" t="s">
        <v>10</v>
      </c>
      <c r="F728" s="13" t="s">
        <v>34</v>
      </c>
      <c r="G728" s="15">
        <v>1330.96</v>
      </c>
      <c r="H728" s="15">
        <v>1330.96</v>
      </c>
      <c r="I728" s="13">
        <v>5</v>
      </c>
      <c r="J728" s="13">
        <v>5</v>
      </c>
      <c r="K728" s="13" t="s">
        <v>15</v>
      </c>
      <c r="L728" s="15">
        <v>266.19200000000001</v>
      </c>
      <c r="M728" s="16">
        <v>266.19200000000001</v>
      </c>
    </row>
    <row r="729" spans="1:13" s="5" customFormat="1" x14ac:dyDescent="0.25">
      <c r="A729" s="12" t="s">
        <v>1444</v>
      </c>
      <c r="B729" s="13" t="s">
        <v>1445</v>
      </c>
      <c r="C729" s="14">
        <v>45902</v>
      </c>
      <c r="D729" s="13">
        <v>2025</v>
      </c>
      <c r="E729" s="13" t="s">
        <v>21</v>
      </c>
      <c r="F729" s="13" t="s">
        <v>34</v>
      </c>
      <c r="G729" s="15">
        <v>807.51</v>
      </c>
      <c r="H729" s="15">
        <v>807.51</v>
      </c>
      <c r="I729" s="13">
        <v>4</v>
      </c>
      <c r="J729" s="13">
        <v>4</v>
      </c>
      <c r="K729" s="13" t="s">
        <v>3348</v>
      </c>
      <c r="L729" s="15">
        <v>201.8775</v>
      </c>
      <c r="M729" s="16">
        <v>201.8775</v>
      </c>
    </row>
    <row r="730" spans="1:13" s="5" customFormat="1" x14ac:dyDescent="0.25">
      <c r="A730" s="12" t="s">
        <v>1446</v>
      </c>
      <c r="B730" s="13" t="s">
        <v>1447</v>
      </c>
      <c r="C730" s="14">
        <v>45338</v>
      </c>
      <c r="D730" s="13">
        <v>2024</v>
      </c>
      <c r="E730" s="13" t="s">
        <v>14</v>
      </c>
      <c r="F730" s="13" t="s">
        <v>34</v>
      </c>
      <c r="G730" s="15">
        <v>527.04</v>
      </c>
      <c r="H730" s="15">
        <v>527.04</v>
      </c>
      <c r="I730" s="13">
        <v>7</v>
      </c>
      <c r="J730" s="13">
        <v>7</v>
      </c>
      <c r="K730" s="13" t="s">
        <v>15</v>
      </c>
      <c r="L730" s="15">
        <v>75.291428571428568</v>
      </c>
      <c r="M730" s="16">
        <v>75.291428571428568</v>
      </c>
    </row>
    <row r="731" spans="1:13" s="5" customFormat="1" x14ac:dyDescent="0.25">
      <c r="A731" s="12" t="s">
        <v>1448</v>
      </c>
      <c r="B731" s="13" t="s">
        <v>1449</v>
      </c>
      <c r="C731" s="14">
        <v>45209</v>
      </c>
      <c r="D731" s="13">
        <v>2023</v>
      </c>
      <c r="E731" s="13" t="s">
        <v>14</v>
      </c>
      <c r="F731" s="13" t="s">
        <v>22</v>
      </c>
      <c r="G731" s="15"/>
      <c r="H731" s="15">
        <v>1844.128476190476</v>
      </c>
      <c r="I731" s="13">
        <v>8</v>
      </c>
      <c r="J731" s="13">
        <v>8</v>
      </c>
      <c r="K731" s="13" t="s">
        <v>18</v>
      </c>
      <c r="L731" s="15">
        <v>230.5160595238095</v>
      </c>
      <c r="M731" s="16">
        <v>230.5160595238095</v>
      </c>
    </row>
    <row r="732" spans="1:13" s="5" customFormat="1" x14ac:dyDescent="0.25">
      <c r="A732" s="12" t="s">
        <v>1450</v>
      </c>
      <c r="B732" s="13" t="s">
        <v>1451</v>
      </c>
      <c r="C732" s="14">
        <v>45320</v>
      </c>
      <c r="D732" s="13">
        <v>2024</v>
      </c>
      <c r="E732" s="13" t="s">
        <v>10</v>
      </c>
      <c r="F732" s="13" t="s">
        <v>11</v>
      </c>
      <c r="G732" s="15">
        <v>834.68</v>
      </c>
      <c r="H732" s="15">
        <v>834.68</v>
      </c>
      <c r="I732" s="13">
        <v>3</v>
      </c>
      <c r="J732" s="13">
        <v>3</v>
      </c>
      <c r="K732" s="13" t="s">
        <v>3346</v>
      </c>
      <c r="L732" s="15">
        <v>278.22666666666663</v>
      </c>
      <c r="M732" s="16">
        <v>278.22666666666663</v>
      </c>
    </row>
    <row r="733" spans="1:13" s="5" customFormat="1" x14ac:dyDescent="0.25">
      <c r="A733" s="12" t="s">
        <v>1452</v>
      </c>
      <c r="B733" s="13" t="s">
        <v>1170</v>
      </c>
      <c r="C733" s="14">
        <v>45124</v>
      </c>
      <c r="D733" s="13">
        <v>2023</v>
      </c>
      <c r="E733" s="13" t="s">
        <v>3347</v>
      </c>
      <c r="F733" s="13" t="s">
        <v>22</v>
      </c>
      <c r="G733" s="15">
        <v>179.44</v>
      </c>
      <c r="H733" s="15">
        <v>179.44</v>
      </c>
      <c r="I733" s="13">
        <v>2</v>
      </c>
      <c r="J733" s="13">
        <v>2</v>
      </c>
      <c r="K733" s="13" t="s">
        <v>15</v>
      </c>
      <c r="L733" s="15">
        <v>89.72</v>
      </c>
      <c r="M733" s="16">
        <v>89.72</v>
      </c>
    </row>
    <row r="734" spans="1:13" s="5" customFormat="1" x14ac:dyDescent="0.25">
      <c r="A734" s="12" t="s">
        <v>1453</v>
      </c>
      <c r="B734" s="13" t="s">
        <v>1454</v>
      </c>
      <c r="C734" s="14">
        <v>44987</v>
      </c>
      <c r="D734" s="13">
        <v>2023</v>
      </c>
      <c r="E734" s="13" t="s">
        <v>10</v>
      </c>
      <c r="F734" s="13" t="s">
        <v>22</v>
      </c>
      <c r="G734" s="15">
        <v>1610.52</v>
      </c>
      <c r="H734" s="15">
        <v>1610.52</v>
      </c>
      <c r="I734" s="13">
        <v>4</v>
      </c>
      <c r="J734" s="13">
        <v>4</v>
      </c>
      <c r="K734" s="13" t="s">
        <v>35</v>
      </c>
      <c r="L734" s="15">
        <v>402.63</v>
      </c>
      <c r="M734" s="16">
        <v>402.63</v>
      </c>
    </row>
    <row r="735" spans="1:13" s="5" customFormat="1" x14ac:dyDescent="0.25">
      <c r="A735" s="12" t="s">
        <v>1455</v>
      </c>
      <c r="B735" s="13" t="s">
        <v>1456</v>
      </c>
      <c r="C735" s="14">
        <v>45094</v>
      </c>
      <c r="D735" s="13">
        <v>2023</v>
      </c>
      <c r="E735" s="13" t="s">
        <v>14</v>
      </c>
      <c r="F735" s="13" t="s">
        <v>34</v>
      </c>
      <c r="G735" s="15">
        <v>1277.25</v>
      </c>
      <c r="H735" s="15">
        <v>1277.25</v>
      </c>
      <c r="I735" s="13"/>
      <c r="J735" s="13">
        <v>2</v>
      </c>
      <c r="K735" s="13" t="s">
        <v>35</v>
      </c>
      <c r="L735" s="15">
        <v>638.625</v>
      </c>
      <c r="M735" s="16">
        <v>524.29053472222222</v>
      </c>
    </row>
    <row r="736" spans="1:13" s="5" customFormat="1" x14ac:dyDescent="0.25">
      <c r="A736" s="12" t="s">
        <v>1457</v>
      </c>
      <c r="B736" s="13" t="s">
        <v>1458</v>
      </c>
      <c r="C736" s="14">
        <v>45100</v>
      </c>
      <c r="D736" s="13">
        <v>2023</v>
      </c>
      <c r="E736" s="13" t="s">
        <v>10</v>
      </c>
      <c r="F736" s="13" t="s">
        <v>22</v>
      </c>
      <c r="G736" s="15">
        <v>270.24</v>
      </c>
      <c r="H736" s="15">
        <v>270.24</v>
      </c>
      <c r="I736" s="13">
        <v>4</v>
      </c>
      <c r="J736" s="13">
        <v>4</v>
      </c>
      <c r="K736" s="13" t="s">
        <v>15</v>
      </c>
      <c r="L736" s="15">
        <v>67.56</v>
      </c>
      <c r="M736" s="16">
        <v>67.56</v>
      </c>
    </row>
    <row r="737" spans="1:13" s="5" customFormat="1" x14ac:dyDescent="0.25">
      <c r="A737" s="12" t="s">
        <v>1459</v>
      </c>
      <c r="B737" s="13" t="s">
        <v>1460</v>
      </c>
      <c r="C737" s="14">
        <v>45820</v>
      </c>
      <c r="D737" s="13">
        <v>2025</v>
      </c>
      <c r="E737" s="13" t="s">
        <v>3347</v>
      </c>
      <c r="F737" s="13" t="s">
        <v>11</v>
      </c>
      <c r="G737" s="15"/>
      <c r="H737" s="15">
        <v>958.63611111111118</v>
      </c>
      <c r="I737" s="13">
        <v>6</v>
      </c>
      <c r="J737" s="13">
        <v>6</v>
      </c>
      <c r="K737" s="13" t="s">
        <v>3346</v>
      </c>
      <c r="L737" s="15">
        <v>159.7726851851852</v>
      </c>
      <c r="M737" s="16">
        <v>159.7726851851852</v>
      </c>
    </row>
    <row r="738" spans="1:13" s="5" customFormat="1" x14ac:dyDescent="0.25">
      <c r="A738" s="12" t="s">
        <v>1461</v>
      </c>
      <c r="B738" s="13" t="s">
        <v>1462</v>
      </c>
      <c r="C738" s="14">
        <v>45160</v>
      </c>
      <c r="D738" s="13">
        <v>2023</v>
      </c>
      <c r="E738" s="13" t="s">
        <v>14</v>
      </c>
      <c r="F738" s="13" t="s">
        <v>25</v>
      </c>
      <c r="G738" s="15">
        <v>975.31</v>
      </c>
      <c r="H738" s="15">
        <v>975.31</v>
      </c>
      <c r="I738" s="13">
        <v>10</v>
      </c>
      <c r="J738" s="13">
        <v>10</v>
      </c>
      <c r="K738" s="13" t="s">
        <v>3346</v>
      </c>
      <c r="L738" s="15">
        <v>97.530999999999992</v>
      </c>
      <c r="M738" s="16">
        <v>97.530999999999992</v>
      </c>
    </row>
    <row r="739" spans="1:13" s="5" customFormat="1" x14ac:dyDescent="0.25">
      <c r="A739" s="12" t="s">
        <v>1463</v>
      </c>
      <c r="B739" s="13" t="s">
        <v>1464</v>
      </c>
      <c r="C739" s="14">
        <v>45591</v>
      </c>
      <c r="D739" s="13">
        <v>2024</v>
      </c>
      <c r="E739" s="13" t="s">
        <v>21</v>
      </c>
      <c r="F739" s="13" t="s">
        <v>34</v>
      </c>
      <c r="G739" s="15">
        <v>824.06</v>
      </c>
      <c r="H739" s="15">
        <v>824.06</v>
      </c>
      <c r="I739" s="13">
        <v>7</v>
      </c>
      <c r="J739" s="13">
        <v>7</v>
      </c>
      <c r="K739" s="13" t="s">
        <v>35</v>
      </c>
      <c r="L739" s="15">
        <v>117.72285714285714</v>
      </c>
      <c r="M739" s="16">
        <v>117.72285714285714</v>
      </c>
    </row>
    <row r="740" spans="1:13" s="5" customFormat="1" x14ac:dyDescent="0.25">
      <c r="A740" s="12" t="s">
        <v>1465</v>
      </c>
      <c r="B740" s="13" t="s">
        <v>1466</v>
      </c>
      <c r="C740" s="14">
        <v>44923</v>
      </c>
      <c r="D740" s="13">
        <v>2022</v>
      </c>
      <c r="E740" s="13" t="s">
        <v>14</v>
      </c>
      <c r="F740" s="13" t="s">
        <v>34</v>
      </c>
      <c r="G740" s="15">
        <v>744.37</v>
      </c>
      <c r="H740" s="15">
        <v>744.37</v>
      </c>
      <c r="I740" s="13"/>
      <c r="J740" s="13">
        <v>4</v>
      </c>
      <c r="K740" s="13" t="s">
        <v>35</v>
      </c>
      <c r="L740" s="15">
        <v>186.0925</v>
      </c>
      <c r="M740" s="16">
        <v>184.23020833333334</v>
      </c>
    </row>
    <row r="741" spans="1:13" s="5" customFormat="1" x14ac:dyDescent="0.25">
      <c r="A741" s="12" t="s">
        <v>1467</v>
      </c>
      <c r="B741" s="13" t="s">
        <v>1468</v>
      </c>
      <c r="C741" s="14">
        <v>45484</v>
      </c>
      <c r="D741" s="13">
        <v>2024</v>
      </c>
      <c r="E741" s="13" t="s">
        <v>3347</v>
      </c>
      <c r="F741" s="13" t="s">
        <v>34</v>
      </c>
      <c r="G741" s="15">
        <v>1102.5999999999999</v>
      </c>
      <c r="H741" s="15">
        <v>1102.5999999999999</v>
      </c>
      <c r="I741" s="13">
        <v>2</v>
      </c>
      <c r="J741" s="13">
        <v>2</v>
      </c>
      <c r="K741" s="13" t="s">
        <v>3346</v>
      </c>
      <c r="L741" s="15">
        <v>551.29999999999995</v>
      </c>
      <c r="M741" s="16">
        <v>551.29999999999995</v>
      </c>
    </row>
    <row r="742" spans="1:13" s="5" customFormat="1" x14ac:dyDescent="0.25">
      <c r="A742" s="12" t="s">
        <v>1469</v>
      </c>
      <c r="B742" s="13" t="s">
        <v>1470</v>
      </c>
      <c r="C742" s="14">
        <v>45654</v>
      </c>
      <c r="D742" s="13">
        <v>2024</v>
      </c>
      <c r="E742" s="13" t="s">
        <v>3347</v>
      </c>
      <c r="F742" s="13" t="s">
        <v>22</v>
      </c>
      <c r="G742" s="15">
        <v>1139.08</v>
      </c>
      <c r="H742" s="15">
        <v>1139.08</v>
      </c>
      <c r="I742" s="13">
        <v>3</v>
      </c>
      <c r="J742" s="13">
        <v>3</v>
      </c>
      <c r="K742" s="13" t="s">
        <v>18</v>
      </c>
      <c r="L742" s="15">
        <v>379.69333333333333</v>
      </c>
      <c r="M742" s="16">
        <v>379.69333333333333</v>
      </c>
    </row>
    <row r="743" spans="1:13" s="5" customFormat="1" x14ac:dyDescent="0.25">
      <c r="A743" s="12" t="s">
        <v>1471</v>
      </c>
      <c r="B743" s="13" t="s">
        <v>1472</v>
      </c>
      <c r="C743" s="14">
        <v>45357</v>
      </c>
      <c r="D743" s="13">
        <v>2024</v>
      </c>
      <c r="E743" s="13" t="s">
        <v>14</v>
      </c>
      <c r="F743" s="13" t="s">
        <v>22</v>
      </c>
      <c r="G743" s="15"/>
      <c r="H743" s="15">
        <v>1771.7204166666668</v>
      </c>
      <c r="I743" s="13">
        <v>7</v>
      </c>
      <c r="J743" s="13">
        <v>7</v>
      </c>
      <c r="K743" s="13" t="s">
        <v>15</v>
      </c>
      <c r="L743" s="15">
        <v>253.10291666666669</v>
      </c>
      <c r="M743" s="16">
        <v>253.10291666666669</v>
      </c>
    </row>
    <row r="744" spans="1:13" s="5" customFormat="1" x14ac:dyDescent="0.25">
      <c r="A744" s="12" t="s">
        <v>1473</v>
      </c>
      <c r="B744" s="13" t="s">
        <v>1474</v>
      </c>
      <c r="C744" s="14">
        <v>45239</v>
      </c>
      <c r="D744" s="13">
        <v>2023</v>
      </c>
      <c r="E744" s="13" t="s">
        <v>10</v>
      </c>
      <c r="F744" s="13" t="s">
        <v>22</v>
      </c>
      <c r="G744" s="15">
        <v>1046.73</v>
      </c>
      <c r="H744" s="15">
        <v>1046.73</v>
      </c>
      <c r="I744" s="13">
        <v>9</v>
      </c>
      <c r="J744" s="13">
        <v>9</v>
      </c>
      <c r="K744" s="13" t="s">
        <v>18</v>
      </c>
      <c r="L744" s="15">
        <v>116.30333333333334</v>
      </c>
      <c r="M744" s="16">
        <v>116.30333333333334</v>
      </c>
    </row>
    <row r="745" spans="1:13" s="5" customFormat="1" x14ac:dyDescent="0.25">
      <c r="A745" s="12" t="s">
        <v>1475</v>
      </c>
      <c r="B745" s="13" t="s">
        <v>1476</v>
      </c>
      <c r="C745" s="14">
        <v>45780</v>
      </c>
      <c r="D745" s="13">
        <v>2025</v>
      </c>
      <c r="E745" s="13" t="s">
        <v>14</v>
      </c>
      <c r="F745" s="13" t="s">
        <v>11</v>
      </c>
      <c r="G745" s="15">
        <v>369.01</v>
      </c>
      <c r="H745" s="15">
        <v>369.01</v>
      </c>
      <c r="I745" s="13">
        <v>3</v>
      </c>
      <c r="J745" s="13">
        <v>3</v>
      </c>
      <c r="K745" s="13" t="s">
        <v>35</v>
      </c>
      <c r="L745" s="15">
        <v>123.00333333333333</v>
      </c>
      <c r="M745" s="16">
        <v>123.00333333333333</v>
      </c>
    </row>
    <row r="746" spans="1:13" s="5" customFormat="1" x14ac:dyDescent="0.25">
      <c r="A746" s="12" t="s">
        <v>1477</v>
      </c>
      <c r="B746" s="13" t="s">
        <v>1478</v>
      </c>
      <c r="C746" s="14">
        <v>44942</v>
      </c>
      <c r="D746" s="13">
        <v>2023</v>
      </c>
      <c r="E746" s="13" t="s">
        <v>10</v>
      </c>
      <c r="F746" s="13" t="s">
        <v>25</v>
      </c>
      <c r="G746" s="15">
        <v>1335.88</v>
      </c>
      <c r="H746" s="15">
        <v>1335.88</v>
      </c>
      <c r="I746" s="13"/>
      <c r="J746" s="13">
        <v>4</v>
      </c>
      <c r="K746" s="13" t="s">
        <v>3348</v>
      </c>
      <c r="L746" s="15">
        <v>333.97</v>
      </c>
      <c r="M746" s="16">
        <v>334.60292857142855</v>
      </c>
    </row>
    <row r="747" spans="1:13" s="5" customFormat="1" x14ac:dyDescent="0.25">
      <c r="A747" s="12" t="s">
        <v>1479</v>
      </c>
      <c r="B747" s="13" t="s">
        <v>1480</v>
      </c>
      <c r="C747" s="14">
        <v>45278</v>
      </c>
      <c r="D747" s="13">
        <v>2023</v>
      </c>
      <c r="E747" s="13" t="s">
        <v>3347</v>
      </c>
      <c r="F747" s="13" t="s">
        <v>22</v>
      </c>
      <c r="G747" s="15">
        <v>1904.71</v>
      </c>
      <c r="H747" s="15">
        <v>1904.71</v>
      </c>
      <c r="I747" s="13">
        <v>2</v>
      </c>
      <c r="J747" s="13">
        <v>2</v>
      </c>
      <c r="K747" s="13" t="s">
        <v>35</v>
      </c>
      <c r="L747" s="15">
        <v>952.35500000000002</v>
      </c>
      <c r="M747" s="16">
        <v>952.35500000000002</v>
      </c>
    </row>
    <row r="748" spans="1:13" s="5" customFormat="1" x14ac:dyDescent="0.25">
      <c r="A748" s="12" t="s">
        <v>1481</v>
      </c>
      <c r="B748" s="13" t="s">
        <v>1482</v>
      </c>
      <c r="C748" s="14">
        <v>45911</v>
      </c>
      <c r="D748" s="13">
        <v>2025</v>
      </c>
      <c r="E748" s="13" t="s">
        <v>3347</v>
      </c>
      <c r="F748" s="13" t="s">
        <v>22</v>
      </c>
      <c r="G748" s="15">
        <v>340.11</v>
      </c>
      <c r="H748" s="15">
        <v>340.11</v>
      </c>
      <c r="I748" s="13">
        <v>4</v>
      </c>
      <c r="J748" s="13">
        <v>4</v>
      </c>
      <c r="K748" s="13" t="s">
        <v>3348</v>
      </c>
      <c r="L748" s="15">
        <v>85.027500000000003</v>
      </c>
      <c r="M748" s="16">
        <v>85.027500000000003</v>
      </c>
    </row>
    <row r="749" spans="1:13" s="5" customFormat="1" x14ac:dyDescent="0.25">
      <c r="A749" s="12" t="s">
        <v>1483</v>
      </c>
      <c r="B749" s="13" t="s">
        <v>1484</v>
      </c>
      <c r="C749" s="14">
        <v>45398</v>
      </c>
      <c r="D749" s="13">
        <v>2024</v>
      </c>
      <c r="E749" s="13" t="s">
        <v>3347</v>
      </c>
      <c r="F749" s="13" t="s">
        <v>11</v>
      </c>
      <c r="G749" s="15">
        <v>1192.0999999999999</v>
      </c>
      <c r="H749" s="15">
        <v>1192.0999999999999</v>
      </c>
      <c r="I749" s="13">
        <v>8</v>
      </c>
      <c r="J749" s="13">
        <v>8</v>
      </c>
      <c r="K749" s="13" t="s">
        <v>35</v>
      </c>
      <c r="L749" s="15">
        <v>149.01249999999999</v>
      </c>
      <c r="M749" s="16">
        <v>149.01249999999999</v>
      </c>
    </row>
    <row r="750" spans="1:13" s="5" customFormat="1" x14ac:dyDescent="0.25">
      <c r="A750" s="12" t="s">
        <v>1485</v>
      </c>
      <c r="B750" s="13" t="s">
        <v>1486</v>
      </c>
      <c r="C750" s="14">
        <v>44893</v>
      </c>
      <c r="D750" s="13">
        <v>2022</v>
      </c>
      <c r="E750" s="13" t="s">
        <v>10</v>
      </c>
      <c r="F750" s="13" t="s">
        <v>34</v>
      </c>
      <c r="G750" s="15">
        <v>1760.9</v>
      </c>
      <c r="H750" s="15">
        <v>1760.9</v>
      </c>
      <c r="I750" s="13">
        <v>2</v>
      </c>
      <c r="J750" s="13">
        <v>2</v>
      </c>
      <c r="K750" s="13" t="s">
        <v>15</v>
      </c>
      <c r="L750" s="15">
        <v>880.45</v>
      </c>
      <c r="M750" s="16">
        <v>880.45</v>
      </c>
    </row>
    <row r="751" spans="1:13" s="5" customFormat="1" x14ac:dyDescent="0.25">
      <c r="A751" s="12" t="s">
        <v>1487</v>
      </c>
      <c r="B751" s="13" t="s">
        <v>1488</v>
      </c>
      <c r="C751" s="14">
        <v>45848</v>
      </c>
      <c r="D751" s="13">
        <v>2025</v>
      </c>
      <c r="E751" s="13" t="s">
        <v>14</v>
      </c>
      <c r="F751" s="13" t="s">
        <v>22</v>
      </c>
      <c r="G751" s="15">
        <v>1716.52</v>
      </c>
      <c r="H751" s="15">
        <v>1716.52</v>
      </c>
      <c r="I751" s="13">
        <v>3</v>
      </c>
      <c r="J751" s="13">
        <v>3</v>
      </c>
      <c r="K751" s="13" t="s">
        <v>3346</v>
      </c>
      <c r="L751" s="15">
        <v>572.17333333333329</v>
      </c>
      <c r="M751" s="16">
        <v>572.17333333333329</v>
      </c>
    </row>
    <row r="752" spans="1:13" s="5" customFormat="1" x14ac:dyDescent="0.25">
      <c r="A752" s="12" t="s">
        <v>1489</v>
      </c>
      <c r="B752" s="13" t="s">
        <v>1490</v>
      </c>
      <c r="C752" s="14">
        <v>44937</v>
      </c>
      <c r="D752" s="13">
        <v>2023</v>
      </c>
      <c r="E752" s="13" t="s">
        <v>21</v>
      </c>
      <c r="F752" s="13" t="s">
        <v>22</v>
      </c>
      <c r="G752" s="15">
        <v>1964.07</v>
      </c>
      <c r="H752" s="15">
        <v>1964.07</v>
      </c>
      <c r="I752" s="13">
        <v>10</v>
      </c>
      <c r="J752" s="13">
        <v>10</v>
      </c>
      <c r="K752" s="13" t="s">
        <v>3346</v>
      </c>
      <c r="L752" s="15">
        <v>196.40699999999998</v>
      </c>
      <c r="M752" s="16">
        <v>196.40699999999998</v>
      </c>
    </row>
    <row r="753" spans="1:13" s="5" customFormat="1" x14ac:dyDescent="0.25">
      <c r="A753" s="12" t="s">
        <v>1491</v>
      </c>
      <c r="B753" s="13" t="s">
        <v>1492</v>
      </c>
      <c r="C753" s="14">
        <v>45030</v>
      </c>
      <c r="D753" s="13">
        <v>2023</v>
      </c>
      <c r="E753" s="13" t="s">
        <v>10</v>
      </c>
      <c r="F753" s="13" t="s">
        <v>34</v>
      </c>
      <c r="G753" s="15">
        <v>1843.72</v>
      </c>
      <c r="H753" s="15">
        <v>1843.72</v>
      </c>
      <c r="I753" s="13">
        <v>7</v>
      </c>
      <c r="J753" s="13">
        <v>7</v>
      </c>
      <c r="K753" s="13" t="s">
        <v>18</v>
      </c>
      <c r="L753" s="15">
        <v>263.38857142857142</v>
      </c>
      <c r="M753" s="16">
        <v>263.38857142857142</v>
      </c>
    </row>
    <row r="754" spans="1:13" s="5" customFormat="1" x14ac:dyDescent="0.25">
      <c r="A754" s="12" t="s">
        <v>1493</v>
      </c>
      <c r="B754" s="13" t="s">
        <v>1494</v>
      </c>
      <c r="C754" s="14">
        <v>45494</v>
      </c>
      <c r="D754" s="13">
        <v>2024</v>
      </c>
      <c r="E754" s="13" t="s">
        <v>10</v>
      </c>
      <c r="F754" s="13" t="s">
        <v>25</v>
      </c>
      <c r="G754" s="15">
        <v>796.37</v>
      </c>
      <c r="H754" s="15">
        <v>796.37</v>
      </c>
      <c r="I754" s="13">
        <v>4</v>
      </c>
      <c r="J754" s="13">
        <v>4</v>
      </c>
      <c r="K754" s="13" t="s">
        <v>35</v>
      </c>
      <c r="L754" s="15">
        <v>199.0925</v>
      </c>
      <c r="M754" s="16">
        <v>199.0925</v>
      </c>
    </row>
    <row r="755" spans="1:13" s="5" customFormat="1" x14ac:dyDescent="0.25">
      <c r="A755" s="12" t="s">
        <v>1495</v>
      </c>
      <c r="B755" s="13" t="s">
        <v>1496</v>
      </c>
      <c r="C755" s="14">
        <v>45768</v>
      </c>
      <c r="D755" s="13">
        <v>2025</v>
      </c>
      <c r="E755" s="13" t="s">
        <v>10</v>
      </c>
      <c r="F755" s="13" t="s">
        <v>25</v>
      </c>
      <c r="G755" s="15">
        <v>614.44000000000005</v>
      </c>
      <c r="H755" s="15">
        <v>614.44000000000005</v>
      </c>
      <c r="I755" s="13">
        <v>10</v>
      </c>
      <c r="J755" s="13">
        <v>10</v>
      </c>
      <c r="K755" s="13" t="s">
        <v>18</v>
      </c>
      <c r="L755" s="15">
        <v>61.444000000000003</v>
      </c>
      <c r="M755" s="16">
        <v>61.444000000000003</v>
      </c>
    </row>
    <row r="756" spans="1:13" s="5" customFormat="1" x14ac:dyDescent="0.25">
      <c r="A756" s="12" t="s">
        <v>1497</v>
      </c>
      <c r="B756" s="13" t="s">
        <v>1498</v>
      </c>
      <c r="C756" s="14">
        <v>45320</v>
      </c>
      <c r="D756" s="13">
        <v>2024</v>
      </c>
      <c r="E756" s="13" t="s">
        <v>10</v>
      </c>
      <c r="F756" s="13" t="s">
        <v>22</v>
      </c>
      <c r="G756" s="15">
        <v>654.41</v>
      </c>
      <c r="H756" s="15">
        <v>654.41</v>
      </c>
      <c r="I756" s="13">
        <v>3</v>
      </c>
      <c r="J756" s="13">
        <v>3</v>
      </c>
      <c r="K756" s="13" t="s">
        <v>3346</v>
      </c>
      <c r="L756" s="15">
        <v>218.13666666666666</v>
      </c>
      <c r="M756" s="16">
        <v>218.13666666666666</v>
      </c>
    </row>
    <row r="757" spans="1:13" s="5" customFormat="1" x14ac:dyDescent="0.25">
      <c r="A757" s="12" t="s">
        <v>1499</v>
      </c>
      <c r="B757" s="13" t="s">
        <v>1500</v>
      </c>
      <c r="C757" s="14">
        <v>44915</v>
      </c>
      <c r="D757" s="13">
        <v>2022</v>
      </c>
      <c r="E757" s="13" t="s">
        <v>10</v>
      </c>
      <c r="F757" s="13" t="s">
        <v>25</v>
      </c>
      <c r="G757" s="15">
        <v>984.36</v>
      </c>
      <c r="H757" s="15">
        <v>984.36</v>
      </c>
      <c r="I757" s="13">
        <v>10</v>
      </c>
      <c r="J757" s="13">
        <v>10</v>
      </c>
      <c r="K757" s="13" t="s">
        <v>3346</v>
      </c>
      <c r="L757" s="15">
        <v>98.436000000000007</v>
      </c>
      <c r="M757" s="16">
        <v>98.436000000000007</v>
      </c>
    </row>
    <row r="758" spans="1:13" s="5" customFormat="1" x14ac:dyDescent="0.25">
      <c r="A758" s="12" t="s">
        <v>1501</v>
      </c>
      <c r="B758" s="13" t="s">
        <v>1502</v>
      </c>
      <c r="C758" s="14">
        <v>44984</v>
      </c>
      <c r="D758" s="13">
        <v>2023</v>
      </c>
      <c r="E758" s="13" t="s">
        <v>14</v>
      </c>
      <c r="F758" s="13" t="s">
        <v>34</v>
      </c>
      <c r="G758" s="15">
        <v>1849.65</v>
      </c>
      <c r="H758" s="15">
        <v>1849.65</v>
      </c>
      <c r="I758" s="13">
        <v>8</v>
      </c>
      <c r="J758" s="13">
        <v>8</v>
      </c>
      <c r="K758" s="13" t="s">
        <v>15</v>
      </c>
      <c r="L758" s="15">
        <v>231.20625000000001</v>
      </c>
      <c r="M758" s="16">
        <v>231.20625000000001</v>
      </c>
    </row>
    <row r="759" spans="1:13" s="5" customFormat="1" x14ac:dyDescent="0.25">
      <c r="A759" s="12" t="s">
        <v>1503</v>
      </c>
      <c r="B759" s="13" t="s">
        <v>1504</v>
      </c>
      <c r="C759" s="14">
        <v>45847</v>
      </c>
      <c r="D759" s="13">
        <v>2025</v>
      </c>
      <c r="E759" s="13" t="s">
        <v>21</v>
      </c>
      <c r="F759" s="13" t="s">
        <v>11</v>
      </c>
      <c r="G759" s="15">
        <v>1464.12</v>
      </c>
      <c r="H759" s="15">
        <v>1464.12</v>
      </c>
      <c r="I759" s="13">
        <v>10</v>
      </c>
      <c r="J759" s="13">
        <v>10</v>
      </c>
      <c r="K759" s="13" t="s">
        <v>18</v>
      </c>
      <c r="L759" s="15">
        <v>146.41199999999998</v>
      </c>
      <c r="M759" s="16">
        <v>146.41199999999998</v>
      </c>
    </row>
    <row r="760" spans="1:13" s="5" customFormat="1" x14ac:dyDescent="0.25">
      <c r="A760" s="12" t="s">
        <v>1505</v>
      </c>
      <c r="B760" s="13" t="s">
        <v>1506</v>
      </c>
      <c r="C760" s="14">
        <v>45753</v>
      </c>
      <c r="D760" s="13">
        <v>2025</v>
      </c>
      <c r="E760" s="13" t="s">
        <v>21</v>
      </c>
      <c r="F760" s="13" t="s">
        <v>34</v>
      </c>
      <c r="G760" s="15">
        <v>1699.74</v>
      </c>
      <c r="H760" s="15">
        <v>1699.74</v>
      </c>
      <c r="I760" s="13">
        <v>9</v>
      </c>
      <c r="J760" s="13">
        <v>9</v>
      </c>
      <c r="K760" s="13" t="s">
        <v>3348</v>
      </c>
      <c r="L760" s="15">
        <v>188.86</v>
      </c>
      <c r="M760" s="16">
        <v>188.86</v>
      </c>
    </row>
    <row r="761" spans="1:13" s="5" customFormat="1" x14ac:dyDescent="0.25">
      <c r="A761" s="12" t="s">
        <v>1507</v>
      </c>
      <c r="B761" s="13" t="s">
        <v>1508</v>
      </c>
      <c r="C761" s="14">
        <v>45438</v>
      </c>
      <c r="D761" s="13">
        <v>2024</v>
      </c>
      <c r="E761" s="13" t="s">
        <v>10</v>
      </c>
      <c r="F761" s="13" t="s">
        <v>11</v>
      </c>
      <c r="G761" s="15">
        <v>1638.89</v>
      </c>
      <c r="H761" s="15">
        <v>1638.89</v>
      </c>
      <c r="I761" s="13">
        <v>1</v>
      </c>
      <c r="J761" s="13">
        <v>1</v>
      </c>
      <c r="K761" s="13" t="s">
        <v>15</v>
      </c>
      <c r="L761" s="15">
        <v>1638.89</v>
      </c>
      <c r="M761" s="16">
        <v>1638.89</v>
      </c>
    </row>
    <row r="762" spans="1:13" s="5" customFormat="1" x14ac:dyDescent="0.25">
      <c r="A762" s="12" t="s">
        <v>1509</v>
      </c>
      <c r="B762" s="13" t="s">
        <v>1510</v>
      </c>
      <c r="C762" s="14">
        <v>45898</v>
      </c>
      <c r="D762" s="13">
        <v>2025</v>
      </c>
      <c r="E762" s="13" t="s">
        <v>3347</v>
      </c>
      <c r="F762" s="13" t="s">
        <v>25</v>
      </c>
      <c r="G762" s="15">
        <v>541.11</v>
      </c>
      <c r="H762" s="15">
        <v>541.11</v>
      </c>
      <c r="I762" s="13">
        <v>2</v>
      </c>
      <c r="J762" s="13">
        <v>2</v>
      </c>
      <c r="K762" s="13" t="s">
        <v>18</v>
      </c>
      <c r="L762" s="15">
        <v>270.55500000000001</v>
      </c>
      <c r="M762" s="16">
        <v>270.55500000000001</v>
      </c>
    </row>
    <row r="763" spans="1:13" s="5" customFormat="1" x14ac:dyDescent="0.25">
      <c r="A763" s="12" t="s">
        <v>1511</v>
      </c>
      <c r="B763" s="13" t="s">
        <v>1512</v>
      </c>
      <c r="C763" s="14">
        <v>45855</v>
      </c>
      <c r="D763" s="13">
        <v>2025</v>
      </c>
      <c r="E763" s="13" t="s">
        <v>10</v>
      </c>
      <c r="F763" s="13" t="s">
        <v>25</v>
      </c>
      <c r="G763" s="15">
        <v>933.03</v>
      </c>
      <c r="H763" s="15">
        <v>933.03</v>
      </c>
      <c r="I763" s="13">
        <v>1</v>
      </c>
      <c r="J763" s="13">
        <v>1</v>
      </c>
      <c r="K763" s="13" t="s">
        <v>3348</v>
      </c>
      <c r="L763" s="15">
        <v>933.03</v>
      </c>
      <c r="M763" s="16">
        <v>933.03</v>
      </c>
    </row>
    <row r="764" spans="1:13" s="5" customFormat="1" x14ac:dyDescent="0.25">
      <c r="A764" s="12" t="s">
        <v>1513</v>
      </c>
      <c r="B764" s="13" t="s">
        <v>1514</v>
      </c>
      <c r="C764" s="14">
        <v>45238</v>
      </c>
      <c r="D764" s="13">
        <v>2023</v>
      </c>
      <c r="E764" s="13" t="s">
        <v>14</v>
      </c>
      <c r="F764" s="13" t="s">
        <v>22</v>
      </c>
      <c r="G764" s="15">
        <v>695.6</v>
      </c>
      <c r="H764" s="15">
        <v>695.6</v>
      </c>
      <c r="I764" s="13">
        <v>5</v>
      </c>
      <c r="J764" s="13">
        <v>5</v>
      </c>
      <c r="K764" s="13" t="s">
        <v>15</v>
      </c>
      <c r="L764" s="15">
        <v>139.12</v>
      </c>
      <c r="M764" s="16">
        <v>139.12</v>
      </c>
    </row>
    <row r="765" spans="1:13" s="5" customFormat="1" x14ac:dyDescent="0.25">
      <c r="A765" s="12" t="s">
        <v>1515</v>
      </c>
      <c r="B765" s="13" t="s">
        <v>1516</v>
      </c>
      <c r="C765" s="14">
        <v>45081</v>
      </c>
      <c r="D765" s="13">
        <v>2023</v>
      </c>
      <c r="E765" s="13" t="s">
        <v>21</v>
      </c>
      <c r="F765" s="13" t="s">
        <v>34</v>
      </c>
      <c r="G765" s="15">
        <v>414.73</v>
      </c>
      <c r="H765" s="15">
        <v>414.73</v>
      </c>
      <c r="I765" s="13">
        <v>8</v>
      </c>
      <c r="J765" s="13">
        <v>8</v>
      </c>
      <c r="K765" s="13" t="s">
        <v>35</v>
      </c>
      <c r="L765" s="15">
        <v>51.841250000000002</v>
      </c>
      <c r="M765" s="16">
        <v>51.841250000000002</v>
      </c>
    </row>
    <row r="766" spans="1:13" s="5" customFormat="1" x14ac:dyDescent="0.25">
      <c r="A766" s="12" t="s">
        <v>1517</v>
      </c>
      <c r="B766" s="13" t="s">
        <v>1518</v>
      </c>
      <c r="C766" s="14">
        <v>45444</v>
      </c>
      <c r="D766" s="13">
        <v>2024</v>
      </c>
      <c r="E766" s="13" t="s">
        <v>21</v>
      </c>
      <c r="F766" s="13" t="s">
        <v>22</v>
      </c>
      <c r="G766" s="15"/>
      <c r="H766" s="15">
        <v>1286.8463214285714</v>
      </c>
      <c r="I766" s="13">
        <v>3</v>
      </c>
      <c r="J766" s="13">
        <v>3</v>
      </c>
      <c r="K766" s="13" t="s">
        <v>3348</v>
      </c>
      <c r="L766" s="15">
        <v>428.9487738095238</v>
      </c>
      <c r="M766" s="16">
        <v>428.9487738095238</v>
      </c>
    </row>
    <row r="767" spans="1:13" s="5" customFormat="1" x14ac:dyDescent="0.25">
      <c r="A767" s="12" t="s">
        <v>1519</v>
      </c>
      <c r="B767" s="13" t="s">
        <v>1520</v>
      </c>
      <c r="C767" s="14">
        <v>45189</v>
      </c>
      <c r="D767" s="13">
        <v>2023</v>
      </c>
      <c r="E767" s="13" t="s">
        <v>3347</v>
      </c>
      <c r="F767" s="13" t="s">
        <v>22</v>
      </c>
      <c r="G767" s="15">
        <v>1976.35</v>
      </c>
      <c r="H767" s="15">
        <v>1976.35</v>
      </c>
      <c r="I767" s="13">
        <v>2</v>
      </c>
      <c r="J767" s="13">
        <v>2</v>
      </c>
      <c r="K767" s="13" t="s">
        <v>3348</v>
      </c>
      <c r="L767" s="15">
        <v>988.17499999999995</v>
      </c>
      <c r="M767" s="16">
        <v>988.17499999999995</v>
      </c>
    </row>
    <row r="768" spans="1:13" s="5" customFormat="1" x14ac:dyDescent="0.25">
      <c r="A768" s="12" t="s">
        <v>1521</v>
      </c>
      <c r="B768" s="13" t="s">
        <v>1522</v>
      </c>
      <c r="C768" s="14">
        <v>45238</v>
      </c>
      <c r="D768" s="13">
        <v>2023</v>
      </c>
      <c r="E768" s="13" t="s">
        <v>14</v>
      </c>
      <c r="F768" s="13" t="s">
        <v>34</v>
      </c>
      <c r="G768" s="15">
        <v>1738.59</v>
      </c>
      <c r="H768" s="15">
        <v>1738.59</v>
      </c>
      <c r="I768" s="13">
        <v>2</v>
      </c>
      <c r="J768" s="13">
        <v>2</v>
      </c>
      <c r="K768" s="13" t="s">
        <v>35</v>
      </c>
      <c r="L768" s="15">
        <v>869.29499999999996</v>
      </c>
      <c r="M768" s="16">
        <v>869.29499999999996</v>
      </c>
    </row>
    <row r="769" spans="1:13" s="5" customFormat="1" x14ac:dyDescent="0.25">
      <c r="A769" s="12" t="s">
        <v>1523</v>
      </c>
      <c r="B769" s="13" t="s">
        <v>1524</v>
      </c>
      <c r="C769" s="14">
        <v>44949</v>
      </c>
      <c r="D769" s="13">
        <v>2023</v>
      </c>
      <c r="E769" s="13" t="s">
        <v>14</v>
      </c>
      <c r="F769" s="13" t="s">
        <v>22</v>
      </c>
      <c r="G769" s="15">
        <v>971.47</v>
      </c>
      <c r="H769" s="15">
        <v>971.47</v>
      </c>
      <c r="I769" s="13">
        <v>1</v>
      </c>
      <c r="J769" s="13">
        <v>1</v>
      </c>
      <c r="K769" s="13" t="s">
        <v>3348</v>
      </c>
      <c r="L769" s="15">
        <v>971.47</v>
      </c>
      <c r="M769" s="16">
        <v>971.47</v>
      </c>
    </row>
    <row r="770" spans="1:13" s="5" customFormat="1" x14ac:dyDescent="0.25">
      <c r="A770" s="12" t="s">
        <v>1525</v>
      </c>
      <c r="B770" s="13" t="s">
        <v>1526</v>
      </c>
      <c r="C770" s="14">
        <v>44982</v>
      </c>
      <c r="D770" s="13">
        <v>2023</v>
      </c>
      <c r="E770" s="13" t="s">
        <v>10</v>
      </c>
      <c r="F770" s="13" t="s">
        <v>34</v>
      </c>
      <c r="G770" s="15">
        <v>1405.93</v>
      </c>
      <c r="H770" s="15">
        <v>1405.93</v>
      </c>
      <c r="I770" s="13">
        <v>7</v>
      </c>
      <c r="J770" s="13">
        <v>7</v>
      </c>
      <c r="K770" s="13" t="s">
        <v>18</v>
      </c>
      <c r="L770" s="15">
        <v>200.84714285714287</v>
      </c>
      <c r="M770" s="16">
        <v>200.84714285714287</v>
      </c>
    </row>
    <row r="771" spans="1:13" s="5" customFormat="1" x14ac:dyDescent="0.25">
      <c r="A771" s="12" t="s">
        <v>1527</v>
      </c>
      <c r="B771" s="13" t="s">
        <v>1528</v>
      </c>
      <c r="C771" s="14">
        <v>45290</v>
      </c>
      <c r="D771" s="13">
        <v>2023</v>
      </c>
      <c r="E771" s="13" t="s">
        <v>14</v>
      </c>
      <c r="F771" s="13" t="s">
        <v>25</v>
      </c>
      <c r="G771" s="15">
        <v>1752.57</v>
      </c>
      <c r="H771" s="15">
        <v>1752.57</v>
      </c>
      <c r="I771" s="13">
        <v>1</v>
      </c>
      <c r="J771" s="13">
        <v>1</v>
      </c>
      <c r="K771" s="13" t="s">
        <v>15</v>
      </c>
      <c r="L771" s="15">
        <v>1752.57</v>
      </c>
      <c r="M771" s="16">
        <v>1752.57</v>
      </c>
    </row>
    <row r="772" spans="1:13" s="5" customFormat="1" x14ac:dyDescent="0.25">
      <c r="A772" s="12" t="s">
        <v>1529</v>
      </c>
      <c r="B772" s="13" t="s">
        <v>1530</v>
      </c>
      <c r="C772" s="14">
        <v>45081</v>
      </c>
      <c r="D772" s="13">
        <v>2023</v>
      </c>
      <c r="E772" s="13" t="s">
        <v>14</v>
      </c>
      <c r="F772" s="13" t="s">
        <v>25</v>
      </c>
      <c r="G772" s="15">
        <v>50.02</v>
      </c>
      <c r="H772" s="15">
        <v>50.02</v>
      </c>
      <c r="I772" s="13">
        <v>9</v>
      </c>
      <c r="J772" s="13">
        <v>9</v>
      </c>
      <c r="K772" s="13" t="s">
        <v>3348</v>
      </c>
      <c r="L772" s="15">
        <v>5.5577777777777779</v>
      </c>
      <c r="M772" s="16">
        <v>5.5577777777777779</v>
      </c>
    </row>
    <row r="773" spans="1:13" s="5" customFormat="1" x14ac:dyDescent="0.25">
      <c r="A773" s="12" t="s">
        <v>1531</v>
      </c>
      <c r="B773" s="13" t="s">
        <v>1532</v>
      </c>
      <c r="C773" s="14">
        <v>45049</v>
      </c>
      <c r="D773" s="13">
        <v>2023</v>
      </c>
      <c r="E773" s="13" t="s">
        <v>14</v>
      </c>
      <c r="F773" s="13" t="s">
        <v>11</v>
      </c>
      <c r="G773" s="15">
        <v>1698.51</v>
      </c>
      <c r="H773" s="15">
        <v>1698.51</v>
      </c>
      <c r="I773" s="13">
        <v>6</v>
      </c>
      <c r="J773" s="13">
        <v>6</v>
      </c>
      <c r="K773" s="13" t="s">
        <v>18</v>
      </c>
      <c r="L773" s="15">
        <v>283.08499999999998</v>
      </c>
      <c r="M773" s="16">
        <v>283.08499999999998</v>
      </c>
    </row>
    <row r="774" spans="1:13" s="5" customFormat="1" x14ac:dyDescent="0.25">
      <c r="A774" s="12" t="s">
        <v>1533</v>
      </c>
      <c r="B774" s="13" t="s">
        <v>498</v>
      </c>
      <c r="C774" s="14">
        <v>45516</v>
      </c>
      <c r="D774" s="13">
        <v>2024</v>
      </c>
      <c r="E774" s="13" t="s">
        <v>10</v>
      </c>
      <c r="F774" s="13" t="s">
        <v>34</v>
      </c>
      <c r="G774" s="15">
        <v>1712.62</v>
      </c>
      <c r="H774" s="15">
        <v>1712.62</v>
      </c>
      <c r="I774" s="13">
        <v>2</v>
      </c>
      <c r="J774" s="13">
        <v>2</v>
      </c>
      <c r="K774" s="13" t="s">
        <v>18</v>
      </c>
      <c r="L774" s="15">
        <v>856.31</v>
      </c>
      <c r="M774" s="16">
        <v>856.31</v>
      </c>
    </row>
    <row r="775" spans="1:13" s="5" customFormat="1" x14ac:dyDescent="0.25">
      <c r="A775" s="12" t="s">
        <v>1534</v>
      </c>
      <c r="B775" s="13" t="s">
        <v>1535</v>
      </c>
      <c r="C775" s="14">
        <v>44923</v>
      </c>
      <c r="D775" s="13">
        <v>2022</v>
      </c>
      <c r="E775" s="13" t="s">
        <v>21</v>
      </c>
      <c r="F775" s="13" t="s">
        <v>11</v>
      </c>
      <c r="G775" s="15"/>
      <c r="H775" s="15">
        <v>3476.4492063492066</v>
      </c>
      <c r="I775" s="13">
        <v>10</v>
      </c>
      <c r="J775" s="13">
        <v>10</v>
      </c>
      <c r="K775" s="13" t="s">
        <v>3348</v>
      </c>
      <c r="L775" s="15">
        <v>347.64492063492065</v>
      </c>
      <c r="M775" s="16">
        <v>347.64492063492065</v>
      </c>
    </row>
    <row r="776" spans="1:13" s="5" customFormat="1" x14ac:dyDescent="0.25">
      <c r="A776" s="12" t="s">
        <v>1536</v>
      </c>
      <c r="B776" s="13" t="s">
        <v>1537</v>
      </c>
      <c r="C776" s="14">
        <v>45871</v>
      </c>
      <c r="D776" s="13">
        <v>2025</v>
      </c>
      <c r="E776" s="13" t="s">
        <v>14</v>
      </c>
      <c r="F776" s="13" t="s">
        <v>22</v>
      </c>
      <c r="G776" s="15">
        <v>1926.64</v>
      </c>
      <c r="H776" s="15">
        <v>1926.64</v>
      </c>
      <c r="I776" s="13">
        <v>2</v>
      </c>
      <c r="J776" s="13">
        <v>2</v>
      </c>
      <c r="K776" s="13" t="s">
        <v>15</v>
      </c>
      <c r="L776" s="15">
        <v>963.32</v>
      </c>
      <c r="M776" s="16">
        <v>963.32</v>
      </c>
    </row>
    <row r="777" spans="1:13" s="5" customFormat="1" x14ac:dyDescent="0.25">
      <c r="A777" s="12" t="s">
        <v>1538</v>
      </c>
      <c r="B777" s="13" t="s">
        <v>1539</v>
      </c>
      <c r="C777" s="14">
        <v>45343</v>
      </c>
      <c r="D777" s="13">
        <v>2024</v>
      </c>
      <c r="E777" s="13" t="s">
        <v>14</v>
      </c>
      <c r="F777" s="13" t="s">
        <v>22</v>
      </c>
      <c r="G777" s="15">
        <v>772.65</v>
      </c>
      <c r="H777" s="15">
        <v>772.65</v>
      </c>
      <c r="I777" s="13">
        <v>6</v>
      </c>
      <c r="J777" s="13">
        <v>6</v>
      </c>
      <c r="K777" s="13" t="s">
        <v>3346</v>
      </c>
      <c r="L777" s="15">
        <v>128.77500000000001</v>
      </c>
      <c r="M777" s="16">
        <v>128.77500000000001</v>
      </c>
    </row>
    <row r="778" spans="1:13" s="5" customFormat="1" x14ac:dyDescent="0.25">
      <c r="A778" s="12" t="s">
        <v>1540</v>
      </c>
      <c r="B778" s="13" t="s">
        <v>1541</v>
      </c>
      <c r="C778" s="14">
        <v>44865</v>
      </c>
      <c r="D778" s="13">
        <v>2022</v>
      </c>
      <c r="E778" s="13" t="s">
        <v>3347</v>
      </c>
      <c r="F778" s="13" t="s">
        <v>34</v>
      </c>
      <c r="G778" s="15">
        <v>81.12</v>
      </c>
      <c r="H778" s="15">
        <v>81.12</v>
      </c>
      <c r="I778" s="13">
        <v>9</v>
      </c>
      <c r="J778" s="13">
        <v>9</v>
      </c>
      <c r="K778" s="13" t="s">
        <v>3348</v>
      </c>
      <c r="L778" s="15">
        <v>9.0133333333333336</v>
      </c>
      <c r="M778" s="16">
        <v>9.0133333333333336</v>
      </c>
    </row>
    <row r="779" spans="1:13" s="5" customFormat="1" x14ac:dyDescent="0.25">
      <c r="A779" s="12" t="s">
        <v>1542</v>
      </c>
      <c r="B779" s="13" t="s">
        <v>1543</v>
      </c>
      <c r="C779" s="14">
        <v>45631</v>
      </c>
      <c r="D779" s="13">
        <v>2024</v>
      </c>
      <c r="E779" s="13" t="s">
        <v>10</v>
      </c>
      <c r="F779" s="13" t="s">
        <v>34</v>
      </c>
      <c r="G779" s="15">
        <v>5.21</v>
      </c>
      <c r="H779" s="15">
        <v>5.21</v>
      </c>
      <c r="I779" s="13">
        <v>2</v>
      </c>
      <c r="J779" s="13">
        <v>2</v>
      </c>
      <c r="K779" s="13" t="s">
        <v>18</v>
      </c>
      <c r="L779" s="15">
        <v>2.605</v>
      </c>
      <c r="M779" s="16">
        <v>2.605</v>
      </c>
    </row>
    <row r="780" spans="1:13" s="5" customFormat="1" x14ac:dyDescent="0.25">
      <c r="A780" s="12" t="s">
        <v>1544</v>
      </c>
      <c r="B780" s="13" t="s">
        <v>1545</v>
      </c>
      <c r="C780" s="14">
        <v>45536</v>
      </c>
      <c r="D780" s="13">
        <v>2024</v>
      </c>
      <c r="E780" s="13" t="s">
        <v>21</v>
      </c>
      <c r="F780" s="13" t="s">
        <v>11</v>
      </c>
      <c r="G780" s="15">
        <v>691.33</v>
      </c>
      <c r="H780" s="15">
        <v>691.33</v>
      </c>
      <c r="I780" s="13">
        <v>9</v>
      </c>
      <c r="J780" s="13">
        <v>9</v>
      </c>
      <c r="K780" s="13" t="s">
        <v>15</v>
      </c>
      <c r="L780" s="15">
        <v>76.814444444444447</v>
      </c>
      <c r="M780" s="16">
        <v>76.814444444444447</v>
      </c>
    </row>
    <row r="781" spans="1:13" s="5" customFormat="1" x14ac:dyDescent="0.25">
      <c r="A781" s="12" t="s">
        <v>1546</v>
      </c>
      <c r="B781" s="13" t="s">
        <v>1547</v>
      </c>
      <c r="C781" s="14">
        <v>45718</v>
      </c>
      <c r="D781" s="13">
        <v>2025</v>
      </c>
      <c r="E781" s="13" t="s">
        <v>10</v>
      </c>
      <c r="F781" s="13" t="s">
        <v>34</v>
      </c>
      <c r="G781" s="15">
        <v>197.79</v>
      </c>
      <c r="H781" s="15">
        <v>197.79</v>
      </c>
      <c r="I781" s="13">
        <v>9</v>
      </c>
      <c r="J781" s="13">
        <v>9</v>
      </c>
      <c r="K781" s="13" t="s">
        <v>3346</v>
      </c>
      <c r="L781" s="15">
        <v>21.976666666666667</v>
      </c>
      <c r="M781" s="16">
        <v>21.976666666666667</v>
      </c>
    </row>
    <row r="782" spans="1:13" s="5" customFormat="1" x14ac:dyDescent="0.25">
      <c r="A782" s="12" t="s">
        <v>1548</v>
      </c>
      <c r="B782" s="13" t="s">
        <v>1549</v>
      </c>
      <c r="C782" s="14">
        <v>45684</v>
      </c>
      <c r="D782" s="13">
        <v>2025</v>
      </c>
      <c r="E782" s="13" t="s">
        <v>21</v>
      </c>
      <c r="F782" s="13" t="s">
        <v>34</v>
      </c>
      <c r="G782" s="15">
        <v>1676.71</v>
      </c>
      <c r="H782" s="15">
        <v>1676.71</v>
      </c>
      <c r="I782" s="13">
        <v>8</v>
      </c>
      <c r="J782" s="13">
        <v>8</v>
      </c>
      <c r="K782" s="13" t="s">
        <v>35</v>
      </c>
      <c r="L782" s="15">
        <v>209.58875</v>
      </c>
      <c r="M782" s="16">
        <v>209.58875</v>
      </c>
    </row>
    <row r="783" spans="1:13" s="5" customFormat="1" x14ac:dyDescent="0.25">
      <c r="A783" s="12" t="s">
        <v>1550</v>
      </c>
      <c r="B783" s="13" t="s">
        <v>1551</v>
      </c>
      <c r="C783" s="14">
        <v>45050</v>
      </c>
      <c r="D783" s="13">
        <v>2023</v>
      </c>
      <c r="E783" s="13" t="s">
        <v>21</v>
      </c>
      <c r="F783" s="13" t="s">
        <v>22</v>
      </c>
      <c r="G783" s="15">
        <v>374.6</v>
      </c>
      <c r="H783" s="15">
        <v>374.6</v>
      </c>
      <c r="I783" s="13">
        <v>6</v>
      </c>
      <c r="J783" s="13">
        <v>6</v>
      </c>
      <c r="K783" s="13" t="s">
        <v>15</v>
      </c>
      <c r="L783" s="15">
        <v>62.433333333333337</v>
      </c>
      <c r="M783" s="16">
        <v>62.433333333333337</v>
      </c>
    </row>
    <row r="784" spans="1:13" s="5" customFormat="1" x14ac:dyDescent="0.25">
      <c r="A784" s="12" t="s">
        <v>1552</v>
      </c>
      <c r="B784" s="13" t="s">
        <v>1553</v>
      </c>
      <c r="C784" s="14">
        <v>45611</v>
      </c>
      <c r="D784" s="13">
        <v>2024</v>
      </c>
      <c r="E784" s="13" t="s">
        <v>21</v>
      </c>
      <c r="F784" s="13" t="s">
        <v>11</v>
      </c>
      <c r="G784" s="15">
        <v>220.23</v>
      </c>
      <c r="H784" s="15">
        <v>220.23</v>
      </c>
      <c r="I784" s="13">
        <v>6</v>
      </c>
      <c r="J784" s="13">
        <v>6</v>
      </c>
      <c r="K784" s="13" t="s">
        <v>3346</v>
      </c>
      <c r="L784" s="15">
        <v>36.704999999999998</v>
      </c>
      <c r="M784" s="16">
        <v>36.704999999999998</v>
      </c>
    </row>
    <row r="785" spans="1:13" s="5" customFormat="1" x14ac:dyDescent="0.25">
      <c r="A785" s="12" t="s">
        <v>1554</v>
      </c>
      <c r="B785" s="13" t="s">
        <v>344</v>
      </c>
      <c r="C785" s="14">
        <v>44968</v>
      </c>
      <c r="D785" s="13">
        <v>2023</v>
      </c>
      <c r="E785" s="13" t="s">
        <v>10</v>
      </c>
      <c r="F785" s="13" t="s">
        <v>25</v>
      </c>
      <c r="G785" s="15">
        <v>246.91</v>
      </c>
      <c r="H785" s="15">
        <v>246.91</v>
      </c>
      <c r="I785" s="13">
        <v>2</v>
      </c>
      <c r="J785" s="13">
        <v>2</v>
      </c>
      <c r="K785" s="13" t="s">
        <v>3348</v>
      </c>
      <c r="L785" s="15">
        <v>123.455</v>
      </c>
      <c r="M785" s="16">
        <v>123.455</v>
      </c>
    </row>
    <row r="786" spans="1:13" s="5" customFormat="1" x14ac:dyDescent="0.25">
      <c r="A786" s="12" t="s">
        <v>1555</v>
      </c>
      <c r="B786" s="13" t="s">
        <v>1556</v>
      </c>
      <c r="C786" s="14">
        <v>45146</v>
      </c>
      <c r="D786" s="13">
        <v>2023</v>
      </c>
      <c r="E786" s="13" t="s">
        <v>10</v>
      </c>
      <c r="F786" s="13" t="s">
        <v>11</v>
      </c>
      <c r="G786" s="15">
        <v>1323.42</v>
      </c>
      <c r="H786" s="15">
        <v>1323.42</v>
      </c>
      <c r="I786" s="13">
        <v>8</v>
      </c>
      <c r="J786" s="13">
        <v>8</v>
      </c>
      <c r="K786" s="13" t="s">
        <v>3348</v>
      </c>
      <c r="L786" s="15">
        <v>165.42750000000001</v>
      </c>
      <c r="M786" s="16">
        <v>165.42750000000001</v>
      </c>
    </row>
    <row r="787" spans="1:13" s="5" customFormat="1" x14ac:dyDescent="0.25">
      <c r="A787" s="12" t="s">
        <v>1557</v>
      </c>
      <c r="B787" s="13" t="s">
        <v>1558</v>
      </c>
      <c r="C787" s="14">
        <v>45661</v>
      </c>
      <c r="D787" s="13">
        <v>2025</v>
      </c>
      <c r="E787" s="13" t="s">
        <v>14</v>
      </c>
      <c r="F787" s="13" t="s">
        <v>22</v>
      </c>
      <c r="G787" s="15"/>
      <c r="H787" s="15">
        <v>2801.938364197531</v>
      </c>
      <c r="I787" s="13">
        <v>7</v>
      </c>
      <c r="J787" s="13">
        <v>7</v>
      </c>
      <c r="K787" s="13" t="s">
        <v>3348</v>
      </c>
      <c r="L787" s="15">
        <v>400.27690917107583</v>
      </c>
      <c r="M787" s="16">
        <v>400.27690917107583</v>
      </c>
    </row>
    <row r="788" spans="1:13" s="5" customFormat="1" x14ac:dyDescent="0.25">
      <c r="A788" s="12" t="s">
        <v>1559</v>
      </c>
      <c r="B788" s="13" t="s">
        <v>1560</v>
      </c>
      <c r="C788" s="14">
        <v>45724</v>
      </c>
      <c r="D788" s="13">
        <v>2025</v>
      </c>
      <c r="E788" s="13" t="s">
        <v>10</v>
      </c>
      <c r="F788" s="13" t="s">
        <v>34</v>
      </c>
      <c r="G788" s="15">
        <v>519.04</v>
      </c>
      <c r="H788" s="15">
        <v>519.04</v>
      </c>
      <c r="I788" s="13">
        <v>8</v>
      </c>
      <c r="J788" s="13">
        <v>8</v>
      </c>
      <c r="K788" s="13" t="s">
        <v>18</v>
      </c>
      <c r="L788" s="15">
        <v>64.88</v>
      </c>
      <c r="M788" s="16">
        <v>64.88</v>
      </c>
    </row>
    <row r="789" spans="1:13" s="5" customFormat="1" x14ac:dyDescent="0.25">
      <c r="A789" s="12" t="s">
        <v>1561</v>
      </c>
      <c r="B789" s="13" t="s">
        <v>1562</v>
      </c>
      <c r="C789" s="14">
        <v>45769</v>
      </c>
      <c r="D789" s="13">
        <v>2025</v>
      </c>
      <c r="E789" s="13" t="s">
        <v>14</v>
      </c>
      <c r="F789" s="13" t="s">
        <v>22</v>
      </c>
      <c r="G789" s="15">
        <v>1926.01</v>
      </c>
      <c r="H789" s="15">
        <v>1926.01</v>
      </c>
      <c r="I789" s="13">
        <v>9</v>
      </c>
      <c r="J789" s="13">
        <v>9</v>
      </c>
      <c r="K789" s="13" t="s">
        <v>3348</v>
      </c>
      <c r="L789" s="15">
        <v>214.0011111111111</v>
      </c>
      <c r="M789" s="16">
        <v>214.0011111111111</v>
      </c>
    </row>
    <row r="790" spans="1:13" s="5" customFormat="1" x14ac:dyDescent="0.25">
      <c r="A790" s="12" t="s">
        <v>1563</v>
      </c>
      <c r="B790" s="13" t="s">
        <v>1564</v>
      </c>
      <c r="C790" s="14">
        <v>44948</v>
      </c>
      <c r="D790" s="13">
        <v>2023</v>
      </c>
      <c r="E790" s="13" t="s">
        <v>3347</v>
      </c>
      <c r="F790" s="13" t="s">
        <v>25</v>
      </c>
      <c r="G790" s="15">
        <v>611.1</v>
      </c>
      <c r="H790" s="15">
        <v>611.1</v>
      </c>
      <c r="I790" s="13">
        <v>1</v>
      </c>
      <c r="J790" s="13">
        <v>1</v>
      </c>
      <c r="K790" s="13" t="s">
        <v>15</v>
      </c>
      <c r="L790" s="15">
        <v>611.1</v>
      </c>
      <c r="M790" s="16">
        <v>611.1</v>
      </c>
    </row>
    <row r="791" spans="1:13" s="5" customFormat="1" x14ac:dyDescent="0.25">
      <c r="A791" s="12" t="s">
        <v>1565</v>
      </c>
      <c r="B791" s="13" t="s">
        <v>1566</v>
      </c>
      <c r="C791" s="14">
        <v>45432</v>
      </c>
      <c r="D791" s="13">
        <v>2024</v>
      </c>
      <c r="E791" s="13" t="s">
        <v>3347</v>
      </c>
      <c r="F791" s="13" t="s">
        <v>11</v>
      </c>
      <c r="G791" s="15">
        <v>1713.12</v>
      </c>
      <c r="H791" s="15">
        <v>1713.12</v>
      </c>
      <c r="I791" s="13">
        <v>5</v>
      </c>
      <c r="J791" s="13">
        <v>5</v>
      </c>
      <c r="K791" s="13" t="s">
        <v>3346</v>
      </c>
      <c r="L791" s="15">
        <v>342.62399999999997</v>
      </c>
      <c r="M791" s="16">
        <v>342.62399999999997</v>
      </c>
    </row>
    <row r="792" spans="1:13" s="5" customFormat="1" x14ac:dyDescent="0.25">
      <c r="A792" s="12" t="s">
        <v>1567</v>
      </c>
      <c r="B792" s="13" t="s">
        <v>417</v>
      </c>
      <c r="C792" s="14">
        <v>45211</v>
      </c>
      <c r="D792" s="13">
        <v>2023</v>
      </c>
      <c r="E792" s="13" t="s">
        <v>14</v>
      </c>
      <c r="F792" s="13" t="s">
        <v>25</v>
      </c>
      <c r="G792" s="15">
        <v>989.88</v>
      </c>
      <c r="H792" s="15">
        <v>989.88</v>
      </c>
      <c r="I792" s="13">
        <v>1</v>
      </c>
      <c r="J792" s="13">
        <v>1</v>
      </c>
      <c r="K792" s="13" t="s">
        <v>18</v>
      </c>
      <c r="L792" s="15">
        <v>989.88</v>
      </c>
      <c r="M792" s="16">
        <v>989.88</v>
      </c>
    </row>
    <row r="793" spans="1:13" s="5" customFormat="1" x14ac:dyDescent="0.25">
      <c r="A793" s="12" t="s">
        <v>1568</v>
      </c>
      <c r="B793" s="13" t="s">
        <v>1569</v>
      </c>
      <c r="C793" s="14">
        <v>45497</v>
      </c>
      <c r="D793" s="13">
        <v>2024</v>
      </c>
      <c r="E793" s="13" t="s">
        <v>3347</v>
      </c>
      <c r="F793" s="13" t="s">
        <v>34</v>
      </c>
      <c r="G793" s="15">
        <v>1032.3</v>
      </c>
      <c r="H793" s="15">
        <v>1032.3</v>
      </c>
      <c r="I793" s="13">
        <v>5</v>
      </c>
      <c r="J793" s="13">
        <v>5</v>
      </c>
      <c r="K793" s="13" t="s">
        <v>35</v>
      </c>
      <c r="L793" s="15">
        <v>206.45999999999998</v>
      </c>
      <c r="M793" s="16">
        <v>206.45999999999998</v>
      </c>
    </row>
    <row r="794" spans="1:13" s="5" customFormat="1" x14ac:dyDescent="0.25">
      <c r="A794" s="12" t="s">
        <v>1570</v>
      </c>
      <c r="B794" s="13" t="s">
        <v>1571</v>
      </c>
      <c r="C794" s="14">
        <v>45331</v>
      </c>
      <c r="D794" s="13">
        <v>2024</v>
      </c>
      <c r="E794" s="13" t="s">
        <v>3347</v>
      </c>
      <c r="F794" s="13" t="s">
        <v>11</v>
      </c>
      <c r="G794" s="15">
        <v>637.92999999999995</v>
      </c>
      <c r="H794" s="15">
        <v>637.92999999999995</v>
      </c>
      <c r="I794" s="13"/>
      <c r="J794" s="13">
        <v>3</v>
      </c>
      <c r="K794" s="13" t="s">
        <v>18</v>
      </c>
      <c r="L794" s="15">
        <v>212.64333333333332</v>
      </c>
      <c r="M794" s="16">
        <v>241.08188888888887</v>
      </c>
    </row>
    <row r="795" spans="1:13" s="5" customFormat="1" x14ac:dyDescent="0.25">
      <c r="A795" s="12" t="s">
        <v>1572</v>
      </c>
      <c r="B795" s="13" t="s">
        <v>1573</v>
      </c>
      <c r="C795" s="14">
        <v>45043</v>
      </c>
      <c r="D795" s="13">
        <v>2023</v>
      </c>
      <c r="E795" s="13" t="s">
        <v>3347</v>
      </c>
      <c r="F795" s="13" t="s">
        <v>34</v>
      </c>
      <c r="G795" s="15">
        <v>1507.25</v>
      </c>
      <c r="H795" s="15">
        <v>1507.25</v>
      </c>
      <c r="I795" s="13">
        <v>3</v>
      </c>
      <c r="J795" s="13">
        <v>3</v>
      </c>
      <c r="K795" s="13" t="s">
        <v>3348</v>
      </c>
      <c r="L795" s="15">
        <v>502.41666666666669</v>
      </c>
      <c r="M795" s="16">
        <v>502.41666666666669</v>
      </c>
    </row>
    <row r="796" spans="1:13" s="5" customFormat="1" x14ac:dyDescent="0.25">
      <c r="A796" s="12" t="s">
        <v>1574</v>
      </c>
      <c r="B796" s="13" t="s">
        <v>1575</v>
      </c>
      <c r="C796" s="14">
        <v>45789</v>
      </c>
      <c r="D796" s="13">
        <v>2025</v>
      </c>
      <c r="E796" s="13" t="s">
        <v>14</v>
      </c>
      <c r="F796" s="13" t="s">
        <v>22</v>
      </c>
      <c r="G796" s="15">
        <v>422.76</v>
      </c>
      <c r="H796" s="15">
        <v>422.76</v>
      </c>
      <c r="I796" s="13"/>
      <c r="J796" s="13">
        <v>2</v>
      </c>
      <c r="K796" s="13" t="s">
        <v>15</v>
      </c>
      <c r="L796" s="15">
        <v>211.38</v>
      </c>
      <c r="M796" s="16">
        <v>248.23302083333337</v>
      </c>
    </row>
    <row r="797" spans="1:13" s="5" customFormat="1" x14ac:dyDescent="0.25">
      <c r="A797" s="12" t="s">
        <v>1576</v>
      </c>
      <c r="B797" s="13" t="s">
        <v>1577</v>
      </c>
      <c r="C797" s="14">
        <v>45497</v>
      </c>
      <c r="D797" s="13">
        <v>2024</v>
      </c>
      <c r="E797" s="13" t="s">
        <v>10</v>
      </c>
      <c r="F797" s="13" t="s">
        <v>25</v>
      </c>
      <c r="G797" s="15">
        <v>1852.01</v>
      </c>
      <c r="H797" s="15">
        <v>1852.01</v>
      </c>
      <c r="I797" s="13">
        <v>4</v>
      </c>
      <c r="J797" s="13">
        <v>4</v>
      </c>
      <c r="K797" s="13" t="s">
        <v>3346</v>
      </c>
      <c r="L797" s="15">
        <v>463.0025</v>
      </c>
      <c r="M797" s="16">
        <v>463.0025</v>
      </c>
    </row>
    <row r="798" spans="1:13" s="5" customFormat="1" x14ac:dyDescent="0.25">
      <c r="A798" s="12" t="s">
        <v>1578</v>
      </c>
      <c r="B798" s="13" t="s">
        <v>500</v>
      </c>
      <c r="C798" s="14">
        <v>45824</v>
      </c>
      <c r="D798" s="13">
        <v>2025</v>
      </c>
      <c r="E798" s="13" t="s">
        <v>21</v>
      </c>
      <c r="F798" s="13" t="s">
        <v>22</v>
      </c>
      <c r="G798" s="15"/>
      <c r="H798" s="15">
        <v>566.1393333333333</v>
      </c>
      <c r="I798" s="13">
        <v>1</v>
      </c>
      <c r="J798" s="13">
        <v>1</v>
      </c>
      <c r="K798" s="13" t="s">
        <v>15</v>
      </c>
      <c r="L798" s="15">
        <v>566.1393333333333</v>
      </c>
      <c r="M798" s="16">
        <v>566.1393333333333</v>
      </c>
    </row>
    <row r="799" spans="1:13" s="5" customFormat="1" x14ac:dyDescent="0.25">
      <c r="A799" s="12" t="s">
        <v>1579</v>
      </c>
      <c r="B799" s="13" t="s">
        <v>1580</v>
      </c>
      <c r="C799" s="14">
        <v>44958</v>
      </c>
      <c r="D799" s="13">
        <v>2023</v>
      </c>
      <c r="E799" s="13" t="s">
        <v>21</v>
      </c>
      <c r="F799" s="13" t="s">
        <v>25</v>
      </c>
      <c r="G799" s="15">
        <v>1493.73</v>
      </c>
      <c r="H799" s="15">
        <v>1493.73</v>
      </c>
      <c r="I799" s="13">
        <v>9</v>
      </c>
      <c r="J799" s="13">
        <v>9</v>
      </c>
      <c r="K799" s="13" t="s">
        <v>3346</v>
      </c>
      <c r="L799" s="15">
        <v>165.97</v>
      </c>
      <c r="M799" s="16">
        <v>165.97</v>
      </c>
    </row>
    <row r="800" spans="1:13" s="5" customFormat="1" x14ac:dyDescent="0.25">
      <c r="A800" s="12" t="s">
        <v>1581</v>
      </c>
      <c r="B800" s="13" t="s">
        <v>1582</v>
      </c>
      <c r="C800" s="14">
        <v>44928</v>
      </c>
      <c r="D800" s="13">
        <v>2023</v>
      </c>
      <c r="E800" s="13" t="s">
        <v>3347</v>
      </c>
      <c r="F800" s="13" t="s">
        <v>25</v>
      </c>
      <c r="G800" s="15">
        <v>956.25</v>
      </c>
      <c r="H800" s="15">
        <v>956.25</v>
      </c>
      <c r="I800" s="13"/>
      <c r="J800" s="13">
        <v>4</v>
      </c>
      <c r="K800" s="13" t="s">
        <v>3348</v>
      </c>
      <c r="L800" s="15">
        <v>239.0625</v>
      </c>
      <c r="M800" s="16">
        <v>249.72749999999999</v>
      </c>
    </row>
    <row r="801" spans="1:13" s="5" customFormat="1" x14ac:dyDescent="0.25">
      <c r="A801" s="12" t="s">
        <v>1583</v>
      </c>
      <c r="B801" s="13" t="s">
        <v>1584</v>
      </c>
      <c r="C801" s="14">
        <v>45184</v>
      </c>
      <c r="D801" s="13">
        <v>2023</v>
      </c>
      <c r="E801" s="13" t="s">
        <v>21</v>
      </c>
      <c r="F801" s="13" t="s">
        <v>34</v>
      </c>
      <c r="G801" s="15">
        <v>684.43</v>
      </c>
      <c r="H801" s="15">
        <v>684.43</v>
      </c>
      <c r="I801" s="13">
        <v>4</v>
      </c>
      <c r="J801" s="13">
        <v>4</v>
      </c>
      <c r="K801" s="13" t="s">
        <v>18</v>
      </c>
      <c r="L801" s="15">
        <v>171.10749999999999</v>
      </c>
      <c r="M801" s="16">
        <v>171.10749999999999</v>
      </c>
    </row>
    <row r="802" spans="1:13" s="5" customFormat="1" x14ac:dyDescent="0.25">
      <c r="A802" s="12" t="s">
        <v>1585</v>
      </c>
      <c r="B802" s="13" t="s">
        <v>1586</v>
      </c>
      <c r="C802" s="14">
        <v>45880</v>
      </c>
      <c r="D802" s="13">
        <v>2025</v>
      </c>
      <c r="E802" s="13" t="s">
        <v>3347</v>
      </c>
      <c r="F802" s="13" t="s">
        <v>22</v>
      </c>
      <c r="G802" s="15">
        <v>895.96</v>
      </c>
      <c r="H802" s="15">
        <v>895.96</v>
      </c>
      <c r="I802" s="13">
        <v>4</v>
      </c>
      <c r="J802" s="13">
        <v>4</v>
      </c>
      <c r="K802" s="13" t="s">
        <v>15</v>
      </c>
      <c r="L802" s="15">
        <v>223.99</v>
      </c>
      <c r="M802" s="16">
        <v>223.99</v>
      </c>
    </row>
    <row r="803" spans="1:13" s="5" customFormat="1" x14ac:dyDescent="0.25">
      <c r="A803" s="12" t="s">
        <v>1587</v>
      </c>
      <c r="B803" s="13" t="s">
        <v>1588</v>
      </c>
      <c r="C803" s="14">
        <v>45094</v>
      </c>
      <c r="D803" s="13">
        <v>2023</v>
      </c>
      <c r="E803" s="13" t="s">
        <v>14</v>
      </c>
      <c r="F803" s="13" t="s">
        <v>11</v>
      </c>
      <c r="G803" s="15">
        <v>1824.68</v>
      </c>
      <c r="H803" s="15">
        <v>1824.68</v>
      </c>
      <c r="I803" s="13">
        <v>3</v>
      </c>
      <c r="J803" s="13">
        <v>3</v>
      </c>
      <c r="K803" s="13" t="s">
        <v>15</v>
      </c>
      <c r="L803" s="15">
        <v>608.22666666666669</v>
      </c>
      <c r="M803" s="16">
        <v>608.22666666666669</v>
      </c>
    </row>
    <row r="804" spans="1:13" s="5" customFormat="1" x14ac:dyDescent="0.25">
      <c r="A804" s="12" t="s">
        <v>1589</v>
      </c>
      <c r="B804" s="13" t="s">
        <v>1590</v>
      </c>
      <c r="C804" s="14">
        <v>45171</v>
      </c>
      <c r="D804" s="13">
        <v>2023</v>
      </c>
      <c r="E804" s="13" t="s">
        <v>10</v>
      </c>
      <c r="F804" s="13" t="s">
        <v>11</v>
      </c>
      <c r="G804" s="15">
        <v>656.62</v>
      </c>
      <c r="H804" s="15">
        <v>656.62</v>
      </c>
      <c r="I804" s="13">
        <v>9</v>
      </c>
      <c r="J804" s="13">
        <v>9</v>
      </c>
      <c r="K804" s="13" t="s">
        <v>35</v>
      </c>
      <c r="L804" s="15">
        <v>72.957777777777778</v>
      </c>
      <c r="M804" s="16">
        <v>72.957777777777778</v>
      </c>
    </row>
    <row r="805" spans="1:13" s="5" customFormat="1" x14ac:dyDescent="0.25">
      <c r="A805" s="12" t="s">
        <v>1591</v>
      </c>
      <c r="B805" s="13" t="s">
        <v>1592</v>
      </c>
      <c r="C805" s="14">
        <v>45900</v>
      </c>
      <c r="D805" s="13">
        <v>2025</v>
      </c>
      <c r="E805" s="13" t="s">
        <v>3347</v>
      </c>
      <c r="F805" s="13" t="s">
        <v>34</v>
      </c>
      <c r="G805" s="15">
        <v>1498.45</v>
      </c>
      <c r="H805" s="15">
        <v>1498.45</v>
      </c>
      <c r="I805" s="13">
        <v>8</v>
      </c>
      <c r="J805" s="13">
        <v>8</v>
      </c>
      <c r="K805" s="13" t="s">
        <v>15</v>
      </c>
      <c r="L805" s="15">
        <v>187.30625000000001</v>
      </c>
      <c r="M805" s="16">
        <v>187.30625000000001</v>
      </c>
    </row>
    <row r="806" spans="1:13" s="5" customFormat="1" x14ac:dyDescent="0.25">
      <c r="A806" s="12" t="s">
        <v>1593</v>
      </c>
      <c r="B806" s="13" t="s">
        <v>1594</v>
      </c>
      <c r="C806" s="14">
        <v>45553</v>
      </c>
      <c r="D806" s="13">
        <v>2024</v>
      </c>
      <c r="E806" s="13" t="s">
        <v>3347</v>
      </c>
      <c r="F806" s="13" t="s">
        <v>22</v>
      </c>
      <c r="G806" s="15"/>
      <c r="H806" s="15">
        <v>340.9203843537415</v>
      </c>
      <c r="I806" s="13">
        <v>1</v>
      </c>
      <c r="J806" s="13">
        <v>1</v>
      </c>
      <c r="K806" s="13" t="s">
        <v>3346</v>
      </c>
      <c r="L806" s="15">
        <v>340.9203843537415</v>
      </c>
      <c r="M806" s="16">
        <v>340.9203843537415</v>
      </c>
    </row>
    <row r="807" spans="1:13" s="5" customFormat="1" x14ac:dyDescent="0.25">
      <c r="A807" s="12" t="s">
        <v>1595</v>
      </c>
      <c r="B807" s="13" t="s">
        <v>1596</v>
      </c>
      <c r="C807" s="14">
        <v>45035</v>
      </c>
      <c r="D807" s="13">
        <v>2023</v>
      </c>
      <c r="E807" s="13" t="s">
        <v>14</v>
      </c>
      <c r="F807" s="13" t="s">
        <v>34</v>
      </c>
      <c r="G807" s="15">
        <v>1142.7</v>
      </c>
      <c r="H807" s="15">
        <v>1142.7</v>
      </c>
      <c r="I807" s="13">
        <v>1</v>
      </c>
      <c r="J807" s="13">
        <v>1</v>
      </c>
      <c r="K807" s="13" t="s">
        <v>15</v>
      </c>
      <c r="L807" s="15">
        <v>1142.7</v>
      </c>
      <c r="M807" s="16">
        <v>1142.7</v>
      </c>
    </row>
    <row r="808" spans="1:13" s="5" customFormat="1" x14ac:dyDescent="0.25">
      <c r="A808" s="12" t="s">
        <v>1597</v>
      </c>
      <c r="B808" s="13" t="s">
        <v>1598</v>
      </c>
      <c r="C808" s="14">
        <v>45863</v>
      </c>
      <c r="D808" s="13">
        <v>2025</v>
      </c>
      <c r="E808" s="13" t="s">
        <v>3347</v>
      </c>
      <c r="F808" s="13" t="s">
        <v>22</v>
      </c>
      <c r="G808" s="15">
        <v>1295.6400000000001</v>
      </c>
      <c r="H808" s="15">
        <v>1295.6400000000001</v>
      </c>
      <c r="I808" s="13">
        <v>4</v>
      </c>
      <c r="J808" s="13">
        <v>4</v>
      </c>
      <c r="K808" s="13" t="s">
        <v>15</v>
      </c>
      <c r="L808" s="15">
        <v>323.91000000000003</v>
      </c>
      <c r="M808" s="16">
        <v>323.91000000000003</v>
      </c>
    </row>
    <row r="809" spans="1:13" s="5" customFormat="1" x14ac:dyDescent="0.25">
      <c r="A809" s="12" t="s">
        <v>1599</v>
      </c>
      <c r="B809" s="13" t="s">
        <v>1600</v>
      </c>
      <c r="C809" s="14">
        <v>45050</v>
      </c>
      <c r="D809" s="13">
        <v>2023</v>
      </c>
      <c r="E809" s="13" t="s">
        <v>21</v>
      </c>
      <c r="F809" s="13" t="s">
        <v>34</v>
      </c>
      <c r="G809" s="15"/>
      <c r="H809" s="15">
        <v>645.3180932539683</v>
      </c>
      <c r="I809" s="13">
        <v>3</v>
      </c>
      <c r="J809" s="13">
        <v>3</v>
      </c>
      <c r="K809" s="13" t="s">
        <v>3346</v>
      </c>
      <c r="L809" s="15">
        <v>215.10603108465611</v>
      </c>
      <c r="M809" s="16">
        <v>215.10603108465611</v>
      </c>
    </row>
    <row r="810" spans="1:13" s="5" customFormat="1" x14ac:dyDescent="0.25">
      <c r="A810" s="12" t="s">
        <v>1601</v>
      </c>
      <c r="B810" s="13" t="s">
        <v>1602</v>
      </c>
      <c r="C810" s="14">
        <v>45129</v>
      </c>
      <c r="D810" s="13">
        <v>2023</v>
      </c>
      <c r="E810" s="13" t="s">
        <v>10</v>
      </c>
      <c r="F810" s="13" t="s">
        <v>34</v>
      </c>
      <c r="G810" s="15">
        <v>379.19</v>
      </c>
      <c r="H810" s="15">
        <v>379.19</v>
      </c>
      <c r="I810" s="13">
        <v>4</v>
      </c>
      <c r="J810" s="13">
        <v>4</v>
      </c>
      <c r="K810" s="13" t="s">
        <v>15</v>
      </c>
      <c r="L810" s="15">
        <v>94.797499999999999</v>
      </c>
      <c r="M810" s="16">
        <v>94.797499999999999</v>
      </c>
    </row>
    <row r="811" spans="1:13" s="5" customFormat="1" x14ac:dyDescent="0.25">
      <c r="A811" s="12" t="s">
        <v>1603</v>
      </c>
      <c r="B811" s="13" t="s">
        <v>1604</v>
      </c>
      <c r="C811" s="14">
        <v>45667</v>
      </c>
      <c r="D811" s="13">
        <v>2025</v>
      </c>
      <c r="E811" s="13" t="s">
        <v>14</v>
      </c>
      <c r="F811" s="13" t="s">
        <v>34</v>
      </c>
      <c r="G811" s="15">
        <v>241.46</v>
      </c>
      <c r="H811" s="15">
        <v>241.46</v>
      </c>
      <c r="I811" s="13">
        <v>6</v>
      </c>
      <c r="J811" s="13">
        <v>6</v>
      </c>
      <c r="K811" s="13" t="s">
        <v>3346</v>
      </c>
      <c r="L811" s="15">
        <v>40.243333333333332</v>
      </c>
      <c r="M811" s="16">
        <v>40.243333333333332</v>
      </c>
    </row>
    <row r="812" spans="1:13" s="5" customFormat="1" x14ac:dyDescent="0.25">
      <c r="A812" s="12" t="s">
        <v>1605</v>
      </c>
      <c r="B812" s="13" t="s">
        <v>1606</v>
      </c>
      <c r="C812" s="14">
        <v>45017</v>
      </c>
      <c r="D812" s="13">
        <v>2023</v>
      </c>
      <c r="E812" s="13" t="s">
        <v>3347</v>
      </c>
      <c r="F812" s="13" t="s">
        <v>22</v>
      </c>
      <c r="G812" s="15"/>
      <c r="H812" s="15">
        <v>3548.2821388888883</v>
      </c>
      <c r="I812" s="13">
        <v>10</v>
      </c>
      <c r="J812" s="13">
        <v>10</v>
      </c>
      <c r="K812" s="13" t="s">
        <v>3348</v>
      </c>
      <c r="L812" s="15">
        <v>577.44316534391533</v>
      </c>
      <c r="M812" s="16">
        <v>577.44316534391533</v>
      </c>
    </row>
    <row r="813" spans="1:13" s="5" customFormat="1" x14ac:dyDescent="0.25">
      <c r="A813" s="12" t="s">
        <v>1607</v>
      </c>
      <c r="B813" s="13" t="s">
        <v>1608</v>
      </c>
      <c r="C813" s="14">
        <v>45836</v>
      </c>
      <c r="D813" s="13">
        <v>2025</v>
      </c>
      <c r="E813" s="13" t="s">
        <v>21</v>
      </c>
      <c r="F813" s="13" t="s">
        <v>34</v>
      </c>
      <c r="G813" s="15">
        <v>37.869999999999997</v>
      </c>
      <c r="H813" s="15">
        <v>37.869999999999997</v>
      </c>
      <c r="I813" s="13">
        <v>3</v>
      </c>
      <c r="J813" s="13">
        <v>3</v>
      </c>
      <c r="K813" s="13" t="s">
        <v>3348</v>
      </c>
      <c r="L813" s="15">
        <v>12.623333333333333</v>
      </c>
      <c r="M813" s="16">
        <v>12.623333333333333</v>
      </c>
    </row>
    <row r="814" spans="1:13" s="5" customFormat="1" x14ac:dyDescent="0.25">
      <c r="A814" s="12" t="s">
        <v>1609</v>
      </c>
      <c r="B814" s="13" t="s">
        <v>828</v>
      </c>
      <c r="C814" s="14">
        <v>45361</v>
      </c>
      <c r="D814" s="13">
        <v>2024</v>
      </c>
      <c r="E814" s="13" t="s">
        <v>3347</v>
      </c>
      <c r="F814" s="13" t="s">
        <v>25</v>
      </c>
      <c r="G814" s="15">
        <v>563.9</v>
      </c>
      <c r="H814" s="15">
        <v>563.9</v>
      </c>
      <c r="I814" s="13">
        <v>8</v>
      </c>
      <c r="J814" s="13">
        <v>8</v>
      </c>
      <c r="K814" s="13" t="s">
        <v>15</v>
      </c>
      <c r="L814" s="15">
        <v>70.487499999999997</v>
      </c>
      <c r="M814" s="16">
        <v>70.487499999999997</v>
      </c>
    </row>
    <row r="815" spans="1:13" s="5" customFormat="1" x14ac:dyDescent="0.25">
      <c r="A815" s="12" t="s">
        <v>1610</v>
      </c>
      <c r="B815" s="13" t="s">
        <v>1611</v>
      </c>
      <c r="C815" s="14">
        <v>45307</v>
      </c>
      <c r="D815" s="13">
        <v>2024</v>
      </c>
      <c r="E815" s="13" t="s">
        <v>21</v>
      </c>
      <c r="F815" s="13" t="s">
        <v>34</v>
      </c>
      <c r="G815" s="15">
        <v>133.06</v>
      </c>
      <c r="H815" s="15">
        <v>133.06</v>
      </c>
      <c r="I815" s="13">
        <v>1</v>
      </c>
      <c r="J815" s="13">
        <v>1</v>
      </c>
      <c r="K815" s="13" t="s">
        <v>3348</v>
      </c>
      <c r="L815" s="15">
        <v>133.06</v>
      </c>
      <c r="M815" s="16">
        <v>133.06</v>
      </c>
    </row>
    <row r="816" spans="1:13" s="5" customFormat="1" x14ac:dyDescent="0.25">
      <c r="A816" s="12" t="s">
        <v>1612</v>
      </c>
      <c r="B816" s="13" t="s">
        <v>1613</v>
      </c>
      <c r="C816" s="14">
        <v>44858</v>
      </c>
      <c r="D816" s="13">
        <v>2022</v>
      </c>
      <c r="E816" s="13" t="s">
        <v>21</v>
      </c>
      <c r="F816" s="13" t="s">
        <v>34</v>
      </c>
      <c r="G816" s="15">
        <v>715.74</v>
      </c>
      <c r="H816" s="15">
        <v>715.74</v>
      </c>
      <c r="I816" s="13">
        <v>10</v>
      </c>
      <c r="J816" s="13">
        <v>10</v>
      </c>
      <c r="K816" s="13" t="s">
        <v>35</v>
      </c>
      <c r="L816" s="15">
        <v>71.573999999999998</v>
      </c>
      <c r="M816" s="16">
        <v>71.573999999999998</v>
      </c>
    </row>
    <row r="817" spans="1:13" s="5" customFormat="1" x14ac:dyDescent="0.25">
      <c r="A817" s="12" t="s">
        <v>1614</v>
      </c>
      <c r="B817" s="13" t="s">
        <v>1615</v>
      </c>
      <c r="C817" s="14">
        <v>45214</v>
      </c>
      <c r="D817" s="13">
        <v>2023</v>
      </c>
      <c r="E817" s="13" t="s">
        <v>14</v>
      </c>
      <c r="F817" s="13" t="s">
        <v>11</v>
      </c>
      <c r="G817" s="15">
        <v>570.88</v>
      </c>
      <c r="H817" s="15">
        <v>570.88</v>
      </c>
      <c r="I817" s="13"/>
      <c r="J817" s="13">
        <v>2</v>
      </c>
      <c r="K817" s="13" t="s">
        <v>35</v>
      </c>
      <c r="L817" s="15">
        <v>285.44</v>
      </c>
      <c r="M817" s="16">
        <v>275.56111111111113</v>
      </c>
    </row>
    <row r="818" spans="1:13" s="5" customFormat="1" x14ac:dyDescent="0.25">
      <c r="A818" s="12" t="s">
        <v>1616</v>
      </c>
      <c r="B818" s="13" t="s">
        <v>1617</v>
      </c>
      <c r="C818" s="14">
        <v>44941</v>
      </c>
      <c r="D818" s="13">
        <v>2023</v>
      </c>
      <c r="E818" s="13" t="s">
        <v>10</v>
      </c>
      <c r="F818" s="13" t="s">
        <v>25</v>
      </c>
      <c r="G818" s="15">
        <v>1339.33</v>
      </c>
      <c r="H818" s="15">
        <v>1339.33</v>
      </c>
      <c r="I818" s="13">
        <v>4</v>
      </c>
      <c r="J818" s="13">
        <v>4</v>
      </c>
      <c r="K818" s="13" t="s">
        <v>3348</v>
      </c>
      <c r="L818" s="15">
        <v>334.83249999999998</v>
      </c>
      <c r="M818" s="16">
        <v>334.83249999999998</v>
      </c>
    </row>
    <row r="819" spans="1:13" s="5" customFormat="1" x14ac:dyDescent="0.25">
      <c r="A819" s="12" t="s">
        <v>1618</v>
      </c>
      <c r="B819" s="13" t="s">
        <v>1619</v>
      </c>
      <c r="C819" s="14">
        <v>45013</v>
      </c>
      <c r="D819" s="13">
        <v>2023</v>
      </c>
      <c r="E819" s="13" t="s">
        <v>10</v>
      </c>
      <c r="F819" s="13" t="s">
        <v>22</v>
      </c>
      <c r="G819" s="15">
        <v>1489.74</v>
      </c>
      <c r="H819" s="15">
        <v>1489.74</v>
      </c>
      <c r="I819" s="13">
        <v>4</v>
      </c>
      <c r="J819" s="13">
        <v>4</v>
      </c>
      <c r="K819" s="13" t="s">
        <v>35</v>
      </c>
      <c r="L819" s="15">
        <v>372.435</v>
      </c>
      <c r="M819" s="16">
        <v>372.435</v>
      </c>
    </row>
    <row r="820" spans="1:13" s="5" customFormat="1" x14ac:dyDescent="0.25">
      <c r="A820" s="12" t="s">
        <v>1620</v>
      </c>
      <c r="B820" s="13" t="s">
        <v>1621</v>
      </c>
      <c r="C820" s="14">
        <v>45119</v>
      </c>
      <c r="D820" s="13">
        <v>2023</v>
      </c>
      <c r="E820" s="13" t="s">
        <v>10</v>
      </c>
      <c r="F820" s="13" t="s">
        <v>11</v>
      </c>
      <c r="G820" s="15">
        <v>1698.86</v>
      </c>
      <c r="H820" s="15">
        <v>1698.86</v>
      </c>
      <c r="I820" s="13">
        <v>6</v>
      </c>
      <c r="J820" s="13">
        <v>6</v>
      </c>
      <c r="K820" s="13" t="s">
        <v>3348</v>
      </c>
      <c r="L820" s="15">
        <v>283.14333333333332</v>
      </c>
      <c r="M820" s="16">
        <v>283.14333333333332</v>
      </c>
    </row>
    <row r="821" spans="1:13" s="5" customFormat="1" x14ac:dyDescent="0.25">
      <c r="A821" s="12" t="s">
        <v>1622</v>
      </c>
      <c r="B821" s="13" t="s">
        <v>1623</v>
      </c>
      <c r="C821" s="14">
        <v>45118</v>
      </c>
      <c r="D821" s="13">
        <v>2023</v>
      </c>
      <c r="E821" s="13" t="s">
        <v>14</v>
      </c>
      <c r="F821" s="13" t="s">
        <v>11</v>
      </c>
      <c r="G821" s="15">
        <v>1741.67</v>
      </c>
      <c r="H821" s="15">
        <v>1741.67</v>
      </c>
      <c r="I821" s="13">
        <v>10</v>
      </c>
      <c r="J821" s="13">
        <v>10</v>
      </c>
      <c r="K821" s="13" t="s">
        <v>3348</v>
      </c>
      <c r="L821" s="15">
        <v>174.167</v>
      </c>
      <c r="M821" s="16">
        <v>174.167</v>
      </c>
    </row>
    <row r="822" spans="1:13" s="5" customFormat="1" x14ac:dyDescent="0.25">
      <c r="A822" s="12" t="s">
        <v>1624</v>
      </c>
      <c r="B822" s="13" t="s">
        <v>1625</v>
      </c>
      <c r="C822" s="14">
        <v>45239</v>
      </c>
      <c r="D822" s="13">
        <v>2023</v>
      </c>
      <c r="E822" s="13" t="s">
        <v>10</v>
      </c>
      <c r="F822" s="13" t="s">
        <v>11</v>
      </c>
      <c r="G822" s="15">
        <v>1035.95</v>
      </c>
      <c r="H822" s="15">
        <v>1035.95</v>
      </c>
      <c r="I822" s="13"/>
      <c r="J822" s="13">
        <v>3</v>
      </c>
      <c r="K822" s="13" t="s">
        <v>3348</v>
      </c>
      <c r="L822" s="15">
        <v>345.31666666666666</v>
      </c>
      <c r="M822" s="16">
        <v>383.74898148148145</v>
      </c>
    </row>
    <row r="823" spans="1:13" s="5" customFormat="1" x14ac:dyDescent="0.25">
      <c r="A823" s="12" t="s">
        <v>1626</v>
      </c>
      <c r="B823" s="13" t="s">
        <v>1627</v>
      </c>
      <c r="C823" s="14">
        <v>45886</v>
      </c>
      <c r="D823" s="13">
        <v>2025</v>
      </c>
      <c r="E823" s="13" t="s">
        <v>14</v>
      </c>
      <c r="F823" s="13" t="s">
        <v>22</v>
      </c>
      <c r="G823" s="15">
        <v>365.3</v>
      </c>
      <c r="H823" s="15">
        <v>365.3</v>
      </c>
      <c r="I823" s="13">
        <v>9</v>
      </c>
      <c r="J823" s="13">
        <v>9</v>
      </c>
      <c r="K823" s="13" t="s">
        <v>3346</v>
      </c>
      <c r="L823" s="15">
        <v>40.588888888888889</v>
      </c>
      <c r="M823" s="16">
        <v>40.588888888888889</v>
      </c>
    </row>
    <row r="824" spans="1:13" s="5" customFormat="1" x14ac:dyDescent="0.25">
      <c r="A824" s="12" t="s">
        <v>1628</v>
      </c>
      <c r="B824" s="13" t="s">
        <v>1629</v>
      </c>
      <c r="C824" s="14">
        <v>45643</v>
      </c>
      <c r="D824" s="13">
        <v>2024</v>
      </c>
      <c r="E824" s="13" t="s">
        <v>21</v>
      </c>
      <c r="F824" s="13" t="s">
        <v>22</v>
      </c>
      <c r="G824" s="15">
        <v>251.88</v>
      </c>
      <c r="H824" s="15">
        <v>251.88</v>
      </c>
      <c r="I824" s="13">
        <v>8</v>
      </c>
      <c r="J824" s="13">
        <v>8</v>
      </c>
      <c r="K824" s="13" t="s">
        <v>15</v>
      </c>
      <c r="L824" s="15">
        <v>31.484999999999999</v>
      </c>
      <c r="M824" s="16">
        <v>31.484999999999999</v>
      </c>
    </row>
    <row r="825" spans="1:13" s="5" customFormat="1" x14ac:dyDescent="0.25">
      <c r="A825" s="12" t="s">
        <v>1630</v>
      </c>
      <c r="B825" s="13" t="s">
        <v>1631</v>
      </c>
      <c r="C825" s="14">
        <v>45496</v>
      </c>
      <c r="D825" s="13">
        <v>2024</v>
      </c>
      <c r="E825" s="13" t="s">
        <v>10</v>
      </c>
      <c r="F825" s="13" t="s">
        <v>34</v>
      </c>
      <c r="G825" s="15">
        <v>182.82</v>
      </c>
      <c r="H825" s="15">
        <v>182.82</v>
      </c>
      <c r="I825" s="13">
        <v>4</v>
      </c>
      <c r="J825" s="13">
        <v>4</v>
      </c>
      <c r="K825" s="13" t="s">
        <v>3348</v>
      </c>
      <c r="L825" s="15">
        <v>45.704999999999998</v>
      </c>
      <c r="M825" s="16">
        <v>45.704999999999998</v>
      </c>
    </row>
    <row r="826" spans="1:13" s="5" customFormat="1" x14ac:dyDescent="0.25">
      <c r="A826" s="12" t="s">
        <v>1632</v>
      </c>
      <c r="B826" s="13" t="s">
        <v>1633</v>
      </c>
      <c r="C826" s="14">
        <v>44934</v>
      </c>
      <c r="D826" s="13">
        <v>2023</v>
      </c>
      <c r="E826" s="13" t="s">
        <v>10</v>
      </c>
      <c r="F826" s="13" t="s">
        <v>22</v>
      </c>
      <c r="G826" s="15">
        <v>842.61</v>
      </c>
      <c r="H826" s="15">
        <v>842.61</v>
      </c>
      <c r="I826" s="13">
        <v>4</v>
      </c>
      <c r="J826" s="13">
        <v>4</v>
      </c>
      <c r="K826" s="13" t="s">
        <v>3346</v>
      </c>
      <c r="L826" s="15">
        <v>210.6525</v>
      </c>
      <c r="M826" s="16">
        <v>210.6525</v>
      </c>
    </row>
    <row r="827" spans="1:13" s="5" customFormat="1" x14ac:dyDescent="0.25">
      <c r="A827" s="12" t="s">
        <v>1634</v>
      </c>
      <c r="B827" s="13" t="s">
        <v>1635</v>
      </c>
      <c r="C827" s="14">
        <v>45413</v>
      </c>
      <c r="D827" s="13">
        <v>2024</v>
      </c>
      <c r="E827" s="13" t="s">
        <v>14</v>
      </c>
      <c r="F827" s="13" t="s">
        <v>11</v>
      </c>
      <c r="G827" s="15"/>
      <c r="H827" s="15">
        <v>1301.3488214285715</v>
      </c>
      <c r="I827" s="13">
        <v>8</v>
      </c>
      <c r="J827" s="13">
        <v>8</v>
      </c>
      <c r="K827" s="13" t="s">
        <v>3346</v>
      </c>
      <c r="L827" s="15">
        <v>162.66860267857143</v>
      </c>
      <c r="M827" s="16">
        <v>162.66860267857143</v>
      </c>
    </row>
    <row r="828" spans="1:13" s="5" customFormat="1" x14ac:dyDescent="0.25">
      <c r="A828" s="12" t="s">
        <v>1636</v>
      </c>
      <c r="B828" s="13" t="s">
        <v>1637</v>
      </c>
      <c r="C828" s="14">
        <v>45105</v>
      </c>
      <c r="D828" s="13">
        <v>2023</v>
      </c>
      <c r="E828" s="13" t="s">
        <v>14</v>
      </c>
      <c r="F828" s="13" t="s">
        <v>22</v>
      </c>
      <c r="G828" s="15">
        <v>89.64</v>
      </c>
      <c r="H828" s="15">
        <v>89.64</v>
      </c>
      <c r="I828" s="13">
        <v>9</v>
      </c>
      <c r="J828" s="13">
        <v>9</v>
      </c>
      <c r="K828" s="13" t="s">
        <v>3348</v>
      </c>
      <c r="L828" s="15">
        <v>9.9600000000000009</v>
      </c>
      <c r="M828" s="16">
        <v>9.9600000000000009</v>
      </c>
    </row>
    <row r="829" spans="1:13" s="5" customFormat="1" x14ac:dyDescent="0.25">
      <c r="A829" s="12" t="s">
        <v>1638</v>
      </c>
      <c r="B829" s="13" t="s">
        <v>1639</v>
      </c>
      <c r="C829" s="14">
        <v>45272</v>
      </c>
      <c r="D829" s="13">
        <v>2023</v>
      </c>
      <c r="E829" s="13" t="s">
        <v>10</v>
      </c>
      <c r="F829" s="13" t="s">
        <v>22</v>
      </c>
      <c r="G829" s="15">
        <v>1476.62</v>
      </c>
      <c r="H829" s="15">
        <v>1476.62</v>
      </c>
      <c r="I829" s="13">
        <v>2</v>
      </c>
      <c r="J829" s="13">
        <v>2</v>
      </c>
      <c r="K829" s="13" t="s">
        <v>15</v>
      </c>
      <c r="L829" s="15">
        <v>738.31</v>
      </c>
      <c r="M829" s="16">
        <v>738.31</v>
      </c>
    </row>
    <row r="830" spans="1:13" s="5" customFormat="1" x14ac:dyDescent="0.25">
      <c r="A830" s="12" t="s">
        <v>1640</v>
      </c>
      <c r="B830" s="13" t="s">
        <v>1641</v>
      </c>
      <c r="C830" s="14">
        <v>44971</v>
      </c>
      <c r="D830" s="13">
        <v>2023</v>
      </c>
      <c r="E830" s="13" t="s">
        <v>3347</v>
      </c>
      <c r="F830" s="13" t="s">
        <v>25</v>
      </c>
      <c r="G830" s="15">
        <v>947.3</v>
      </c>
      <c r="H830" s="15">
        <v>947.3</v>
      </c>
      <c r="I830" s="13">
        <v>10</v>
      </c>
      <c r="J830" s="13">
        <v>10</v>
      </c>
      <c r="K830" s="13" t="s">
        <v>3348</v>
      </c>
      <c r="L830" s="15">
        <v>94.72999999999999</v>
      </c>
      <c r="M830" s="16">
        <v>94.72999999999999</v>
      </c>
    </row>
    <row r="831" spans="1:13" s="5" customFormat="1" x14ac:dyDescent="0.25">
      <c r="A831" s="12" t="s">
        <v>1642</v>
      </c>
      <c r="B831" s="13" t="s">
        <v>1269</v>
      </c>
      <c r="C831" s="14">
        <v>45352</v>
      </c>
      <c r="D831" s="13">
        <v>2024</v>
      </c>
      <c r="E831" s="13" t="s">
        <v>3347</v>
      </c>
      <c r="F831" s="13" t="s">
        <v>11</v>
      </c>
      <c r="G831" s="15">
        <v>1332</v>
      </c>
      <c r="H831" s="15">
        <v>1332</v>
      </c>
      <c r="I831" s="13">
        <v>3</v>
      </c>
      <c r="J831" s="13">
        <v>3</v>
      </c>
      <c r="K831" s="13" t="s">
        <v>3348</v>
      </c>
      <c r="L831" s="15">
        <v>444</v>
      </c>
      <c r="M831" s="16">
        <v>444</v>
      </c>
    </row>
    <row r="832" spans="1:13" s="5" customFormat="1" x14ac:dyDescent="0.25">
      <c r="A832" s="12" t="s">
        <v>1643</v>
      </c>
      <c r="B832" s="13" t="s">
        <v>1644</v>
      </c>
      <c r="C832" s="14">
        <v>45947</v>
      </c>
      <c r="D832" s="13">
        <v>2025</v>
      </c>
      <c r="E832" s="13" t="s">
        <v>10</v>
      </c>
      <c r="F832" s="13" t="s">
        <v>25</v>
      </c>
      <c r="G832" s="15">
        <v>1405.99</v>
      </c>
      <c r="H832" s="15">
        <v>1405.99</v>
      </c>
      <c r="I832" s="13">
        <v>4</v>
      </c>
      <c r="J832" s="13">
        <v>4</v>
      </c>
      <c r="K832" s="13" t="s">
        <v>15</v>
      </c>
      <c r="L832" s="15">
        <v>351.4975</v>
      </c>
      <c r="M832" s="16">
        <v>351.4975</v>
      </c>
    </row>
    <row r="833" spans="1:13" s="5" customFormat="1" x14ac:dyDescent="0.25">
      <c r="A833" s="12" t="s">
        <v>1645</v>
      </c>
      <c r="B833" s="13" t="s">
        <v>1646</v>
      </c>
      <c r="C833" s="14">
        <v>45878</v>
      </c>
      <c r="D833" s="13">
        <v>2025</v>
      </c>
      <c r="E833" s="13" t="s">
        <v>3347</v>
      </c>
      <c r="F833" s="13" t="s">
        <v>25</v>
      </c>
      <c r="G833" s="15">
        <v>1259.3599999999999</v>
      </c>
      <c r="H833" s="15">
        <v>1259.3599999999999</v>
      </c>
      <c r="I833" s="13">
        <v>4</v>
      </c>
      <c r="J833" s="13">
        <v>4</v>
      </c>
      <c r="K833" s="13" t="s">
        <v>15</v>
      </c>
      <c r="L833" s="15">
        <v>314.83999999999997</v>
      </c>
      <c r="M833" s="16">
        <v>314.83999999999997</v>
      </c>
    </row>
    <row r="834" spans="1:13" s="5" customFormat="1" x14ac:dyDescent="0.25">
      <c r="A834" s="12" t="s">
        <v>1647</v>
      </c>
      <c r="B834" s="13" t="s">
        <v>1648</v>
      </c>
      <c r="C834" s="14">
        <v>44932</v>
      </c>
      <c r="D834" s="13">
        <v>2023</v>
      </c>
      <c r="E834" s="13" t="s">
        <v>14</v>
      </c>
      <c r="F834" s="13" t="s">
        <v>22</v>
      </c>
      <c r="G834" s="15">
        <v>1962.98</v>
      </c>
      <c r="H834" s="15">
        <v>1962.98</v>
      </c>
      <c r="I834" s="13">
        <v>5</v>
      </c>
      <c r="J834" s="13">
        <v>5</v>
      </c>
      <c r="K834" s="13" t="s">
        <v>15</v>
      </c>
      <c r="L834" s="15">
        <v>392.596</v>
      </c>
      <c r="M834" s="16">
        <v>392.596</v>
      </c>
    </row>
    <row r="835" spans="1:13" s="5" customFormat="1" x14ac:dyDescent="0.25">
      <c r="A835" s="12" t="s">
        <v>1649</v>
      </c>
      <c r="B835" s="13" t="s">
        <v>1650</v>
      </c>
      <c r="C835" s="14">
        <v>45755</v>
      </c>
      <c r="D835" s="13">
        <v>2025</v>
      </c>
      <c r="E835" s="13" t="s">
        <v>21</v>
      </c>
      <c r="F835" s="13" t="s">
        <v>34</v>
      </c>
      <c r="G835" s="15">
        <v>227.39</v>
      </c>
      <c r="H835" s="15">
        <v>227.39</v>
      </c>
      <c r="I835" s="13"/>
      <c r="J835" s="13">
        <v>1</v>
      </c>
      <c r="K835" s="13" t="s">
        <v>35</v>
      </c>
      <c r="L835" s="15">
        <v>227.39</v>
      </c>
      <c r="M835" s="16">
        <v>402.94178535353529</v>
      </c>
    </row>
    <row r="836" spans="1:13" s="5" customFormat="1" x14ac:dyDescent="0.25">
      <c r="A836" s="12" t="s">
        <v>1651</v>
      </c>
      <c r="B836" s="13" t="s">
        <v>1652</v>
      </c>
      <c r="C836" s="14">
        <v>45399</v>
      </c>
      <c r="D836" s="13">
        <v>2024</v>
      </c>
      <c r="E836" s="13" t="s">
        <v>21</v>
      </c>
      <c r="F836" s="13" t="s">
        <v>22</v>
      </c>
      <c r="G836" s="15">
        <v>709.15</v>
      </c>
      <c r="H836" s="15">
        <v>709.15</v>
      </c>
      <c r="I836" s="13">
        <v>1</v>
      </c>
      <c r="J836" s="13">
        <v>1</v>
      </c>
      <c r="K836" s="13" t="s">
        <v>15</v>
      </c>
      <c r="L836" s="15">
        <v>709.15</v>
      </c>
      <c r="M836" s="16">
        <v>709.15</v>
      </c>
    </row>
    <row r="837" spans="1:13" s="5" customFormat="1" x14ac:dyDescent="0.25">
      <c r="A837" s="12" t="s">
        <v>1653</v>
      </c>
      <c r="B837" s="13" t="s">
        <v>1654</v>
      </c>
      <c r="C837" s="14">
        <v>45300</v>
      </c>
      <c r="D837" s="13">
        <v>2024</v>
      </c>
      <c r="E837" s="13" t="s">
        <v>3347</v>
      </c>
      <c r="F837" s="13" t="s">
        <v>22</v>
      </c>
      <c r="G837" s="15">
        <v>1168.48</v>
      </c>
      <c r="H837" s="15">
        <v>1168.48</v>
      </c>
      <c r="I837" s="13">
        <v>4</v>
      </c>
      <c r="J837" s="13">
        <v>4</v>
      </c>
      <c r="K837" s="13" t="s">
        <v>3346</v>
      </c>
      <c r="L837" s="15">
        <v>292.12</v>
      </c>
      <c r="M837" s="16">
        <v>292.12</v>
      </c>
    </row>
    <row r="838" spans="1:13" s="5" customFormat="1" x14ac:dyDescent="0.25">
      <c r="A838" s="12" t="s">
        <v>1655</v>
      </c>
      <c r="B838" s="13" t="s">
        <v>321</v>
      </c>
      <c r="C838" s="14">
        <v>45262</v>
      </c>
      <c r="D838" s="13">
        <v>2023</v>
      </c>
      <c r="E838" s="13" t="s">
        <v>3347</v>
      </c>
      <c r="F838" s="13" t="s">
        <v>11</v>
      </c>
      <c r="G838" s="15">
        <v>511.25</v>
      </c>
      <c r="H838" s="15">
        <v>511.25</v>
      </c>
      <c r="I838" s="13">
        <v>9</v>
      </c>
      <c r="J838" s="13">
        <v>9</v>
      </c>
      <c r="K838" s="13" t="s">
        <v>18</v>
      </c>
      <c r="L838" s="15">
        <v>56.805555555555557</v>
      </c>
      <c r="M838" s="16">
        <v>56.805555555555557</v>
      </c>
    </row>
    <row r="839" spans="1:13" s="5" customFormat="1" x14ac:dyDescent="0.25">
      <c r="A839" s="12" t="s">
        <v>1656</v>
      </c>
      <c r="B839" s="13" t="s">
        <v>1657</v>
      </c>
      <c r="C839" s="14">
        <v>45483</v>
      </c>
      <c r="D839" s="13">
        <v>2024</v>
      </c>
      <c r="E839" s="13" t="s">
        <v>10</v>
      </c>
      <c r="F839" s="13" t="s">
        <v>34</v>
      </c>
      <c r="G839" s="15">
        <v>989.73</v>
      </c>
      <c r="H839" s="15">
        <v>989.73</v>
      </c>
      <c r="I839" s="13">
        <v>8</v>
      </c>
      <c r="J839" s="13">
        <v>8</v>
      </c>
      <c r="K839" s="13" t="s">
        <v>35</v>
      </c>
      <c r="L839" s="15">
        <v>123.71625</v>
      </c>
      <c r="M839" s="16">
        <v>123.71625</v>
      </c>
    </row>
    <row r="840" spans="1:13" s="5" customFormat="1" x14ac:dyDescent="0.25">
      <c r="A840" s="12" t="s">
        <v>1658</v>
      </c>
      <c r="B840" s="13" t="s">
        <v>1659</v>
      </c>
      <c r="C840" s="14">
        <v>45792</v>
      </c>
      <c r="D840" s="13">
        <v>2025</v>
      </c>
      <c r="E840" s="13" t="s">
        <v>21</v>
      </c>
      <c r="F840" s="13" t="s">
        <v>34</v>
      </c>
      <c r="G840" s="15">
        <v>1390.1</v>
      </c>
      <c r="H840" s="15">
        <v>1390.1</v>
      </c>
      <c r="I840" s="13">
        <v>2</v>
      </c>
      <c r="J840" s="13">
        <v>2</v>
      </c>
      <c r="K840" s="13" t="s">
        <v>3348</v>
      </c>
      <c r="L840" s="15">
        <v>695.05</v>
      </c>
      <c r="M840" s="16">
        <v>695.05</v>
      </c>
    </row>
    <row r="841" spans="1:13" s="5" customFormat="1" x14ac:dyDescent="0.25">
      <c r="A841" s="12" t="s">
        <v>1660</v>
      </c>
      <c r="B841" s="13" t="s">
        <v>1661</v>
      </c>
      <c r="C841" s="14">
        <v>45664</v>
      </c>
      <c r="D841" s="13">
        <v>2025</v>
      </c>
      <c r="E841" s="13" t="s">
        <v>14</v>
      </c>
      <c r="F841" s="13" t="s">
        <v>11</v>
      </c>
      <c r="G841" s="15">
        <v>231.17</v>
      </c>
      <c r="H841" s="15">
        <v>231.17</v>
      </c>
      <c r="I841" s="13">
        <v>10</v>
      </c>
      <c r="J841" s="13">
        <v>10</v>
      </c>
      <c r="K841" s="13" t="s">
        <v>3348</v>
      </c>
      <c r="L841" s="15">
        <v>23.116999999999997</v>
      </c>
      <c r="M841" s="16">
        <v>23.116999999999997</v>
      </c>
    </row>
    <row r="842" spans="1:13" s="5" customFormat="1" x14ac:dyDescent="0.25">
      <c r="A842" s="12" t="s">
        <v>1662</v>
      </c>
      <c r="B842" s="13" t="s">
        <v>1663</v>
      </c>
      <c r="C842" s="14">
        <v>45751</v>
      </c>
      <c r="D842" s="13">
        <v>2025</v>
      </c>
      <c r="E842" s="13" t="s">
        <v>3347</v>
      </c>
      <c r="F842" s="13" t="s">
        <v>34</v>
      </c>
      <c r="G842" s="15">
        <v>908.86</v>
      </c>
      <c r="H842" s="15">
        <v>908.86</v>
      </c>
      <c r="I842" s="13">
        <v>4</v>
      </c>
      <c r="J842" s="13">
        <v>4</v>
      </c>
      <c r="K842" s="13" t="s">
        <v>15</v>
      </c>
      <c r="L842" s="15">
        <v>227.215</v>
      </c>
      <c r="M842" s="16">
        <v>227.215</v>
      </c>
    </row>
    <row r="843" spans="1:13" s="5" customFormat="1" x14ac:dyDescent="0.25">
      <c r="A843" s="12" t="s">
        <v>1664</v>
      </c>
      <c r="B843" s="13" t="s">
        <v>1665</v>
      </c>
      <c r="C843" s="14">
        <v>45594</v>
      </c>
      <c r="D843" s="13">
        <v>2024</v>
      </c>
      <c r="E843" s="13" t="s">
        <v>21</v>
      </c>
      <c r="F843" s="13" t="s">
        <v>25</v>
      </c>
      <c r="G843" s="15">
        <v>177.06</v>
      </c>
      <c r="H843" s="15">
        <v>177.06</v>
      </c>
      <c r="I843" s="13">
        <v>7</v>
      </c>
      <c r="J843" s="13">
        <v>7</v>
      </c>
      <c r="K843" s="13" t="s">
        <v>18</v>
      </c>
      <c r="L843" s="15">
        <v>25.294285714285714</v>
      </c>
      <c r="M843" s="16">
        <v>25.294285714285714</v>
      </c>
    </row>
    <row r="844" spans="1:13" s="5" customFormat="1" x14ac:dyDescent="0.25">
      <c r="A844" s="12" t="s">
        <v>1666</v>
      </c>
      <c r="B844" s="13" t="s">
        <v>1667</v>
      </c>
      <c r="C844" s="14">
        <v>45907</v>
      </c>
      <c r="D844" s="13">
        <v>2025</v>
      </c>
      <c r="E844" s="13" t="s">
        <v>10</v>
      </c>
      <c r="F844" s="13" t="s">
        <v>22</v>
      </c>
      <c r="G844" s="15">
        <v>1138.22</v>
      </c>
      <c r="H844" s="15">
        <v>1138.22</v>
      </c>
      <c r="I844" s="13">
        <v>9</v>
      </c>
      <c r="J844" s="13">
        <v>9</v>
      </c>
      <c r="K844" s="13" t="s">
        <v>15</v>
      </c>
      <c r="L844" s="15">
        <v>126.4688888888889</v>
      </c>
      <c r="M844" s="16">
        <v>126.4688888888889</v>
      </c>
    </row>
    <row r="845" spans="1:13" s="5" customFormat="1" x14ac:dyDescent="0.25">
      <c r="A845" s="12" t="s">
        <v>1668</v>
      </c>
      <c r="B845" s="13" t="s">
        <v>1669</v>
      </c>
      <c r="C845" s="14">
        <v>45109</v>
      </c>
      <c r="D845" s="13">
        <v>2023</v>
      </c>
      <c r="E845" s="13" t="s">
        <v>10</v>
      </c>
      <c r="F845" s="13" t="s">
        <v>22</v>
      </c>
      <c r="G845" s="15">
        <v>892.82</v>
      </c>
      <c r="H845" s="15">
        <v>892.82</v>
      </c>
      <c r="I845" s="13">
        <v>6</v>
      </c>
      <c r="J845" s="13">
        <v>6</v>
      </c>
      <c r="K845" s="13" t="s">
        <v>35</v>
      </c>
      <c r="L845" s="15">
        <v>148.80333333333334</v>
      </c>
      <c r="M845" s="16">
        <v>148.80333333333334</v>
      </c>
    </row>
    <row r="846" spans="1:13" s="5" customFormat="1" x14ac:dyDescent="0.25">
      <c r="A846" s="12" t="s">
        <v>1670</v>
      </c>
      <c r="B846" s="13" t="s">
        <v>1671</v>
      </c>
      <c r="C846" s="14">
        <v>45376</v>
      </c>
      <c r="D846" s="13">
        <v>2024</v>
      </c>
      <c r="E846" s="13" t="s">
        <v>14</v>
      </c>
      <c r="F846" s="13" t="s">
        <v>34</v>
      </c>
      <c r="G846" s="15">
        <v>541.20000000000005</v>
      </c>
      <c r="H846" s="15">
        <v>541.20000000000005</v>
      </c>
      <c r="I846" s="13">
        <v>8</v>
      </c>
      <c r="J846" s="13">
        <v>8</v>
      </c>
      <c r="K846" s="13" t="s">
        <v>18</v>
      </c>
      <c r="L846" s="15">
        <v>67.650000000000006</v>
      </c>
      <c r="M846" s="16">
        <v>67.650000000000006</v>
      </c>
    </row>
    <row r="847" spans="1:13" s="5" customFormat="1" x14ac:dyDescent="0.25">
      <c r="A847" s="12" t="s">
        <v>1672</v>
      </c>
      <c r="B847" s="13" t="s">
        <v>1673</v>
      </c>
      <c r="C847" s="14">
        <v>44881</v>
      </c>
      <c r="D847" s="13">
        <v>2022</v>
      </c>
      <c r="E847" s="13" t="s">
        <v>10</v>
      </c>
      <c r="F847" s="13" t="s">
        <v>34</v>
      </c>
      <c r="G847" s="15"/>
      <c r="H847" s="15">
        <v>2280.7866666666669</v>
      </c>
      <c r="I847" s="13">
        <v>4</v>
      </c>
      <c r="J847" s="13">
        <v>4</v>
      </c>
      <c r="K847" s="13" t="s">
        <v>35</v>
      </c>
      <c r="L847" s="15">
        <v>570.19666666666672</v>
      </c>
      <c r="M847" s="16">
        <v>570.19666666666672</v>
      </c>
    </row>
    <row r="848" spans="1:13" s="5" customFormat="1" x14ac:dyDescent="0.25">
      <c r="A848" s="12" t="s">
        <v>1674</v>
      </c>
      <c r="B848" s="13" t="s">
        <v>1675</v>
      </c>
      <c r="C848" s="14">
        <v>45843</v>
      </c>
      <c r="D848" s="13">
        <v>2025</v>
      </c>
      <c r="E848" s="13" t="s">
        <v>14</v>
      </c>
      <c r="F848" s="13" t="s">
        <v>11</v>
      </c>
      <c r="G848" s="15"/>
      <c r="H848" s="15">
        <v>303.22800000000001</v>
      </c>
      <c r="I848" s="13">
        <v>9</v>
      </c>
      <c r="J848" s="13">
        <v>9</v>
      </c>
      <c r="K848" s="13" t="s">
        <v>15</v>
      </c>
      <c r="L848" s="15">
        <v>33.692</v>
      </c>
      <c r="M848" s="16">
        <v>33.692</v>
      </c>
    </row>
    <row r="849" spans="1:13" s="5" customFormat="1" x14ac:dyDescent="0.25">
      <c r="A849" s="12" t="s">
        <v>1676</v>
      </c>
      <c r="B849" s="13" t="s">
        <v>1677</v>
      </c>
      <c r="C849" s="14">
        <v>45391</v>
      </c>
      <c r="D849" s="13">
        <v>2024</v>
      </c>
      <c r="E849" s="13" t="s">
        <v>3347</v>
      </c>
      <c r="F849" s="13" t="s">
        <v>25</v>
      </c>
      <c r="G849" s="15"/>
      <c r="H849" s="15">
        <v>695.4059166666666</v>
      </c>
      <c r="I849" s="13">
        <v>3</v>
      </c>
      <c r="J849" s="13">
        <v>3</v>
      </c>
      <c r="K849" s="13" t="s">
        <v>15</v>
      </c>
      <c r="L849" s="15">
        <v>231.80197222222219</v>
      </c>
      <c r="M849" s="16">
        <v>231.80197222222222</v>
      </c>
    </row>
    <row r="850" spans="1:13" s="5" customFormat="1" x14ac:dyDescent="0.25">
      <c r="A850" s="12" t="s">
        <v>1678</v>
      </c>
      <c r="B850" s="13" t="s">
        <v>1679</v>
      </c>
      <c r="C850" s="14">
        <v>45448</v>
      </c>
      <c r="D850" s="13">
        <v>2024</v>
      </c>
      <c r="E850" s="13" t="s">
        <v>10</v>
      </c>
      <c r="F850" s="13" t="s">
        <v>34</v>
      </c>
      <c r="G850" s="15">
        <v>1172.17</v>
      </c>
      <c r="H850" s="15">
        <v>1172.17</v>
      </c>
      <c r="I850" s="13">
        <v>6</v>
      </c>
      <c r="J850" s="13">
        <v>6</v>
      </c>
      <c r="K850" s="13" t="s">
        <v>35</v>
      </c>
      <c r="L850" s="15">
        <v>195.36166666666668</v>
      </c>
      <c r="M850" s="16">
        <v>195.36166666666668</v>
      </c>
    </row>
    <row r="851" spans="1:13" s="5" customFormat="1" x14ac:dyDescent="0.25">
      <c r="A851" s="12" t="s">
        <v>1680</v>
      </c>
      <c r="B851" s="13" t="s">
        <v>773</v>
      </c>
      <c r="C851" s="14">
        <v>45063</v>
      </c>
      <c r="D851" s="13">
        <v>2023</v>
      </c>
      <c r="E851" s="13" t="s">
        <v>14</v>
      </c>
      <c r="F851" s="13" t="s">
        <v>11</v>
      </c>
      <c r="G851" s="15">
        <v>1635.2</v>
      </c>
      <c r="H851" s="15">
        <v>1635.2</v>
      </c>
      <c r="I851" s="13">
        <v>5</v>
      </c>
      <c r="J851" s="13">
        <v>5</v>
      </c>
      <c r="K851" s="13" t="s">
        <v>3346</v>
      </c>
      <c r="L851" s="15">
        <v>327.04000000000002</v>
      </c>
      <c r="M851" s="16">
        <v>327.04000000000002</v>
      </c>
    </row>
    <row r="852" spans="1:13" s="5" customFormat="1" x14ac:dyDescent="0.25">
      <c r="A852" s="12" t="s">
        <v>1681</v>
      </c>
      <c r="B852" s="13" t="s">
        <v>1682</v>
      </c>
      <c r="C852" s="14">
        <v>45638</v>
      </c>
      <c r="D852" s="13">
        <v>2024</v>
      </c>
      <c r="E852" s="13" t="s">
        <v>14</v>
      </c>
      <c r="F852" s="13" t="s">
        <v>11</v>
      </c>
      <c r="G852" s="15"/>
      <c r="H852" s="15">
        <v>2066.7682777777777</v>
      </c>
      <c r="I852" s="13">
        <v>7</v>
      </c>
      <c r="J852" s="13">
        <v>7</v>
      </c>
      <c r="K852" s="13" t="s">
        <v>15</v>
      </c>
      <c r="L852" s="15">
        <v>295.25261111111109</v>
      </c>
      <c r="M852" s="16">
        <v>295.25261111111109</v>
      </c>
    </row>
    <row r="853" spans="1:13" s="5" customFormat="1" x14ac:dyDescent="0.25">
      <c r="A853" s="12" t="s">
        <v>1683</v>
      </c>
      <c r="B853" s="13" t="s">
        <v>1684</v>
      </c>
      <c r="C853" s="14">
        <v>45434</v>
      </c>
      <c r="D853" s="13">
        <v>2024</v>
      </c>
      <c r="E853" s="13" t="s">
        <v>14</v>
      </c>
      <c r="F853" s="13" t="s">
        <v>25</v>
      </c>
      <c r="G853" s="15">
        <v>1118.6600000000001</v>
      </c>
      <c r="H853" s="15">
        <v>1118.6600000000001</v>
      </c>
      <c r="I853" s="13"/>
      <c r="J853" s="13">
        <v>2</v>
      </c>
      <c r="K853" s="13" t="s">
        <v>35</v>
      </c>
      <c r="L853" s="15">
        <v>559.33000000000004</v>
      </c>
      <c r="M853" s="16">
        <v>470.84481944444445</v>
      </c>
    </row>
    <row r="854" spans="1:13" s="5" customFormat="1" x14ac:dyDescent="0.25">
      <c r="A854" s="12" t="s">
        <v>1685</v>
      </c>
      <c r="B854" s="13" t="s">
        <v>1686</v>
      </c>
      <c r="C854" s="14">
        <v>45753</v>
      </c>
      <c r="D854" s="13">
        <v>2025</v>
      </c>
      <c r="E854" s="13" t="s">
        <v>21</v>
      </c>
      <c r="F854" s="13" t="s">
        <v>22</v>
      </c>
      <c r="G854" s="15">
        <v>1695.06</v>
      </c>
      <c r="H854" s="15">
        <v>1695.06</v>
      </c>
      <c r="I854" s="13">
        <v>8</v>
      </c>
      <c r="J854" s="13">
        <v>8</v>
      </c>
      <c r="K854" s="13" t="s">
        <v>3346</v>
      </c>
      <c r="L854" s="15">
        <v>211.88249999999999</v>
      </c>
      <c r="M854" s="16">
        <v>211.88249999999999</v>
      </c>
    </row>
    <row r="855" spans="1:13" s="5" customFormat="1" x14ac:dyDescent="0.25">
      <c r="A855" s="12" t="s">
        <v>1687</v>
      </c>
      <c r="B855" s="13" t="s">
        <v>1688</v>
      </c>
      <c r="C855" s="14">
        <v>45443</v>
      </c>
      <c r="D855" s="13">
        <v>2024</v>
      </c>
      <c r="E855" s="13" t="s">
        <v>10</v>
      </c>
      <c r="F855" s="13" t="s">
        <v>34</v>
      </c>
      <c r="G855" s="15">
        <v>1375.9</v>
      </c>
      <c r="H855" s="15">
        <v>1375.9</v>
      </c>
      <c r="I855" s="13">
        <v>10</v>
      </c>
      <c r="J855" s="13">
        <v>10</v>
      </c>
      <c r="K855" s="13" t="s">
        <v>35</v>
      </c>
      <c r="L855" s="15">
        <v>137.59</v>
      </c>
      <c r="M855" s="16">
        <v>137.59</v>
      </c>
    </row>
    <row r="856" spans="1:13" s="5" customFormat="1" x14ac:dyDescent="0.25">
      <c r="A856" s="12" t="s">
        <v>1689</v>
      </c>
      <c r="B856" s="13" t="s">
        <v>1690</v>
      </c>
      <c r="C856" s="14">
        <v>45723</v>
      </c>
      <c r="D856" s="13">
        <v>2025</v>
      </c>
      <c r="E856" s="13" t="s">
        <v>14</v>
      </c>
      <c r="F856" s="13" t="s">
        <v>34</v>
      </c>
      <c r="G856" s="15">
        <v>809.35</v>
      </c>
      <c r="H856" s="15">
        <v>809.35</v>
      </c>
      <c r="I856" s="13">
        <v>9</v>
      </c>
      <c r="J856" s="13">
        <v>9</v>
      </c>
      <c r="K856" s="13" t="s">
        <v>3346</v>
      </c>
      <c r="L856" s="15">
        <v>89.927777777777777</v>
      </c>
      <c r="M856" s="16">
        <v>89.927777777777777</v>
      </c>
    </row>
    <row r="857" spans="1:13" s="5" customFormat="1" x14ac:dyDescent="0.25">
      <c r="A857" s="12" t="s">
        <v>1691</v>
      </c>
      <c r="B857" s="13" t="s">
        <v>1692</v>
      </c>
      <c r="C857" s="14">
        <v>45935</v>
      </c>
      <c r="D857" s="13">
        <v>2025</v>
      </c>
      <c r="E857" s="13" t="s">
        <v>3347</v>
      </c>
      <c r="F857" s="13" t="s">
        <v>34</v>
      </c>
      <c r="G857" s="15">
        <v>1908.17</v>
      </c>
      <c r="H857" s="15">
        <v>1908.17</v>
      </c>
      <c r="I857" s="13">
        <v>1</v>
      </c>
      <c r="J857" s="13">
        <v>1</v>
      </c>
      <c r="K857" s="13" t="s">
        <v>18</v>
      </c>
      <c r="L857" s="15">
        <v>1908.17</v>
      </c>
      <c r="M857" s="16">
        <v>1908.17</v>
      </c>
    </row>
    <row r="858" spans="1:13" s="5" customFormat="1" x14ac:dyDescent="0.25">
      <c r="A858" s="12" t="s">
        <v>1693</v>
      </c>
      <c r="B858" s="13" t="s">
        <v>1694</v>
      </c>
      <c r="C858" s="14">
        <v>45741</v>
      </c>
      <c r="D858" s="13">
        <v>2025</v>
      </c>
      <c r="E858" s="13" t="s">
        <v>3347</v>
      </c>
      <c r="F858" s="13" t="s">
        <v>25</v>
      </c>
      <c r="G858" s="15"/>
      <c r="H858" s="15">
        <v>473.38577551020404</v>
      </c>
      <c r="I858" s="13">
        <v>1</v>
      </c>
      <c r="J858" s="13">
        <v>1</v>
      </c>
      <c r="K858" s="13" t="s">
        <v>15</v>
      </c>
      <c r="L858" s="15">
        <v>473.38577551020404</v>
      </c>
      <c r="M858" s="16">
        <v>473.38577551020404</v>
      </c>
    </row>
    <row r="859" spans="1:13" s="5" customFormat="1" x14ac:dyDescent="0.25">
      <c r="A859" s="12" t="s">
        <v>1695</v>
      </c>
      <c r="B859" s="13" t="s">
        <v>1306</v>
      </c>
      <c r="C859" s="14">
        <v>45640</v>
      </c>
      <c r="D859" s="13">
        <v>2024</v>
      </c>
      <c r="E859" s="13" t="s">
        <v>14</v>
      </c>
      <c r="F859" s="13" t="s">
        <v>25</v>
      </c>
      <c r="G859" s="15">
        <v>1171.6199999999999</v>
      </c>
      <c r="H859" s="15">
        <v>1171.6199999999999</v>
      </c>
      <c r="I859" s="13">
        <v>7</v>
      </c>
      <c r="J859" s="13">
        <v>7</v>
      </c>
      <c r="K859" s="13" t="s">
        <v>15</v>
      </c>
      <c r="L859" s="15">
        <v>167.37428571428569</v>
      </c>
      <c r="M859" s="16">
        <v>167.37428571428569</v>
      </c>
    </row>
    <row r="860" spans="1:13" s="5" customFormat="1" x14ac:dyDescent="0.25">
      <c r="A860" s="12" t="s">
        <v>1696</v>
      </c>
      <c r="B860" s="13" t="s">
        <v>1697</v>
      </c>
      <c r="C860" s="14">
        <v>45831</v>
      </c>
      <c r="D860" s="13">
        <v>2025</v>
      </c>
      <c r="E860" s="13" t="s">
        <v>14</v>
      </c>
      <c r="F860" s="13" t="s">
        <v>34</v>
      </c>
      <c r="G860" s="15">
        <v>1714.46</v>
      </c>
      <c r="H860" s="15">
        <v>1714.46</v>
      </c>
      <c r="I860" s="13">
        <v>8</v>
      </c>
      <c r="J860" s="13">
        <v>8</v>
      </c>
      <c r="K860" s="13" t="s">
        <v>3346</v>
      </c>
      <c r="L860" s="15">
        <v>214.3075</v>
      </c>
      <c r="M860" s="16">
        <v>214.3075</v>
      </c>
    </row>
    <row r="861" spans="1:13" s="5" customFormat="1" x14ac:dyDescent="0.25">
      <c r="A861" s="12" t="s">
        <v>1698</v>
      </c>
      <c r="B861" s="13" t="s">
        <v>1699</v>
      </c>
      <c r="C861" s="14">
        <v>45797</v>
      </c>
      <c r="D861" s="13">
        <v>2025</v>
      </c>
      <c r="E861" s="13" t="s">
        <v>3347</v>
      </c>
      <c r="F861" s="13" t="s">
        <v>25</v>
      </c>
      <c r="G861" s="15">
        <v>508</v>
      </c>
      <c r="H861" s="15">
        <v>508</v>
      </c>
      <c r="I861" s="13">
        <v>7</v>
      </c>
      <c r="J861" s="13">
        <v>7</v>
      </c>
      <c r="K861" s="13" t="s">
        <v>15</v>
      </c>
      <c r="L861" s="15">
        <v>72.571428571428569</v>
      </c>
      <c r="M861" s="16">
        <v>72.571428571428569</v>
      </c>
    </row>
    <row r="862" spans="1:13" s="5" customFormat="1" x14ac:dyDescent="0.25">
      <c r="A862" s="12" t="s">
        <v>1700</v>
      </c>
      <c r="B862" s="13" t="s">
        <v>1701</v>
      </c>
      <c r="C862" s="14">
        <v>45307</v>
      </c>
      <c r="D862" s="13">
        <v>2024</v>
      </c>
      <c r="E862" s="13" t="s">
        <v>14</v>
      </c>
      <c r="F862" s="13" t="s">
        <v>22</v>
      </c>
      <c r="G862" s="15">
        <v>1709.73</v>
      </c>
      <c r="H862" s="15">
        <v>1709.73</v>
      </c>
      <c r="I862" s="13">
        <v>5</v>
      </c>
      <c r="J862" s="13">
        <v>5</v>
      </c>
      <c r="K862" s="13" t="s">
        <v>3348</v>
      </c>
      <c r="L862" s="15">
        <v>341.94600000000003</v>
      </c>
      <c r="M862" s="16">
        <v>341.94600000000003</v>
      </c>
    </row>
    <row r="863" spans="1:13" s="5" customFormat="1" x14ac:dyDescent="0.25">
      <c r="A863" s="12" t="s">
        <v>1702</v>
      </c>
      <c r="B863" s="13" t="s">
        <v>1703</v>
      </c>
      <c r="C863" s="14">
        <v>45701</v>
      </c>
      <c r="D863" s="13">
        <v>2025</v>
      </c>
      <c r="E863" s="13" t="s">
        <v>21</v>
      </c>
      <c r="F863" s="13" t="s">
        <v>11</v>
      </c>
      <c r="G863" s="15">
        <v>637.77</v>
      </c>
      <c r="H863" s="15">
        <v>637.77</v>
      </c>
      <c r="I863" s="13"/>
      <c r="J863" s="13">
        <v>2</v>
      </c>
      <c r="K863" s="13" t="s">
        <v>35</v>
      </c>
      <c r="L863" s="15">
        <v>318.88499999999999</v>
      </c>
      <c r="M863" s="16">
        <v>274.60970833333334</v>
      </c>
    </row>
    <row r="864" spans="1:13" s="5" customFormat="1" x14ac:dyDescent="0.25">
      <c r="A864" s="12" t="s">
        <v>1704</v>
      </c>
      <c r="B864" s="13" t="s">
        <v>1705</v>
      </c>
      <c r="C864" s="14">
        <v>44881</v>
      </c>
      <c r="D864" s="13">
        <v>2022</v>
      </c>
      <c r="E864" s="13" t="s">
        <v>14</v>
      </c>
      <c r="F864" s="13" t="s">
        <v>22</v>
      </c>
      <c r="G864" s="15"/>
      <c r="H864" s="15">
        <v>996.26760084033629</v>
      </c>
      <c r="I864" s="13">
        <v>6</v>
      </c>
      <c r="J864" s="13">
        <v>6</v>
      </c>
      <c r="K864" s="13" t="s">
        <v>18</v>
      </c>
      <c r="L864" s="15">
        <v>166.04460014005605</v>
      </c>
      <c r="M864" s="16">
        <v>166.04460014005605</v>
      </c>
    </row>
    <row r="865" spans="1:13" s="5" customFormat="1" x14ac:dyDescent="0.25">
      <c r="A865" s="12" t="s">
        <v>1706</v>
      </c>
      <c r="B865" s="13" t="s">
        <v>1707</v>
      </c>
      <c r="C865" s="14">
        <v>45736</v>
      </c>
      <c r="D865" s="13">
        <v>2025</v>
      </c>
      <c r="E865" s="13" t="s">
        <v>10</v>
      </c>
      <c r="F865" s="13" t="s">
        <v>22</v>
      </c>
      <c r="G865" s="15">
        <v>275.75</v>
      </c>
      <c r="H865" s="15">
        <v>275.75</v>
      </c>
      <c r="I865" s="13">
        <v>4</v>
      </c>
      <c r="J865" s="13">
        <v>4</v>
      </c>
      <c r="K865" s="13" t="s">
        <v>18</v>
      </c>
      <c r="L865" s="15">
        <v>68.9375</v>
      </c>
      <c r="M865" s="16">
        <v>68.9375</v>
      </c>
    </row>
    <row r="866" spans="1:13" s="5" customFormat="1" x14ac:dyDescent="0.25">
      <c r="A866" s="12" t="s">
        <v>1708</v>
      </c>
      <c r="B866" s="13" t="s">
        <v>1709</v>
      </c>
      <c r="C866" s="14">
        <v>45772</v>
      </c>
      <c r="D866" s="13">
        <v>2025</v>
      </c>
      <c r="E866" s="13" t="s">
        <v>14</v>
      </c>
      <c r="F866" s="13" t="s">
        <v>22</v>
      </c>
      <c r="G866" s="15">
        <v>848.14</v>
      </c>
      <c r="H866" s="15">
        <v>848.14</v>
      </c>
      <c r="I866" s="13">
        <v>4</v>
      </c>
      <c r="J866" s="13">
        <v>4</v>
      </c>
      <c r="K866" s="13" t="s">
        <v>15</v>
      </c>
      <c r="L866" s="15">
        <v>212.035</v>
      </c>
      <c r="M866" s="16">
        <v>212.035</v>
      </c>
    </row>
    <row r="867" spans="1:13" s="5" customFormat="1" x14ac:dyDescent="0.25">
      <c r="A867" s="12" t="s">
        <v>1710</v>
      </c>
      <c r="B867" s="13" t="s">
        <v>1711</v>
      </c>
      <c r="C867" s="14">
        <v>45553</v>
      </c>
      <c r="D867" s="13">
        <v>2024</v>
      </c>
      <c r="E867" s="13" t="s">
        <v>3347</v>
      </c>
      <c r="F867" s="13" t="s">
        <v>25</v>
      </c>
      <c r="G867" s="15">
        <v>487.15</v>
      </c>
      <c r="H867" s="15">
        <v>487.15</v>
      </c>
      <c r="I867" s="13">
        <v>4</v>
      </c>
      <c r="J867" s="13">
        <v>4</v>
      </c>
      <c r="K867" s="13" t="s">
        <v>3346</v>
      </c>
      <c r="L867" s="15">
        <v>121.78749999999999</v>
      </c>
      <c r="M867" s="16">
        <v>121.78749999999999</v>
      </c>
    </row>
    <row r="868" spans="1:13" s="5" customFormat="1" x14ac:dyDescent="0.25">
      <c r="A868" s="12" t="s">
        <v>1712</v>
      </c>
      <c r="B868" s="13" t="s">
        <v>1713</v>
      </c>
      <c r="C868" s="14">
        <v>45586</v>
      </c>
      <c r="D868" s="13">
        <v>2024</v>
      </c>
      <c r="E868" s="13" t="s">
        <v>14</v>
      </c>
      <c r="F868" s="13" t="s">
        <v>25</v>
      </c>
      <c r="G868" s="15">
        <v>1806.62</v>
      </c>
      <c r="H868" s="15">
        <v>1806.62</v>
      </c>
      <c r="I868" s="13"/>
      <c r="J868" s="13">
        <v>3</v>
      </c>
      <c r="K868" s="13" t="s">
        <v>18</v>
      </c>
      <c r="L868" s="15">
        <v>602.20666666666659</v>
      </c>
      <c r="M868" s="16">
        <v>517.42422222222228</v>
      </c>
    </row>
    <row r="869" spans="1:13" s="5" customFormat="1" x14ac:dyDescent="0.25">
      <c r="A869" s="12" t="s">
        <v>1714</v>
      </c>
      <c r="B869" s="13" t="s">
        <v>1715</v>
      </c>
      <c r="C869" s="14">
        <v>45496</v>
      </c>
      <c r="D869" s="13">
        <v>2024</v>
      </c>
      <c r="E869" s="13" t="s">
        <v>3347</v>
      </c>
      <c r="F869" s="13" t="s">
        <v>22</v>
      </c>
      <c r="G869" s="15">
        <v>1688.11</v>
      </c>
      <c r="H869" s="15">
        <v>1688.11</v>
      </c>
      <c r="I869" s="13">
        <v>3</v>
      </c>
      <c r="J869" s="13">
        <v>3</v>
      </c>
      <c r="K869" s="13" t="s">
        <v>35</v>
      </c>
      <c r="L869" s="15">
        <v>562.70333333333326</v>
      </c>
      <c r="M869" s="16">
        <v>562.70333333333326</v>
      </c>
    </row>
    <row r="870" spans="1:13" s="5" customFormat="1" x14ac:dyDescent="0.25">
      <c r="A870" s="12" t="s">
        <v>1716</v>
      </c>
      <c r="B870" s="13" t="s">
        <v>1717</v>
      </c>
      <c r="C870" s="14">
        <v>45091</v>
      </c>
      <c r="D870" s="13">
        <v>2023</v>
      </c>
      <c r="E870" s="13" t="s">
        <v>3347</v>
      </c>
      <c r="F870" s="13" t="s">
        <v>34</v>
      </c>
      <c r="G870" s="15">
        <v>1437.43</v>
      </c>
      <c r="H870" s="15">
        <v>1437.43</v>
      </c>
      <c r="I870" s="13">
        <v>8</v>
      </c>
      <c r="J870" s="13">
        <v>8</v>
      </c>
      <c r="K870" s="13" t="s">
        <v>3348</v>
      </c>
      <c r="L870" s="15">
        <v>179.67875000000001</v>
      </c>
      <c r="M870" s="16">
        <v>179.67875000000001</v>
      </c>
    </row>
    <row r="871" spans="1:13" s="5" customFormat="1" x14ac:dyDescent="0.25">
      <c r="A871" s="12" t="s">
        <v>1718</v>
      </c>
      <c r="B871" s="13" t="s">
        <v>1719</v>
      </c>
      <c r="C871" s="14">
        <v>45290</v>
      </c>
      <c r="D871" s="13">
        <v>2023</v>
      </c>
      <c r="E871" s="13" t="s">
        <v>14</v>
      </c>
      <c r="F871" s="13" t="s">
        <v>25</v>
      </c>
      <c r="G871" s="15">
        <v>1794.93</v>
      </c>
      <c r="H871" s="15">
        <v>1794.93</v>
      </c>
      <c r="I871" s="13">
        <v>9</v>
      </c>
      <c r="J871" s="13">
        <v>9</v>
      </c>
      <c r="K871" s="13" t="s">
        <v>15</v>
      </c>
      <c r="L871" s="15">
        <v>199.43666666666667</v>
      </c>
      <c r="M871" s="16">
        <v>199.43666666666667</v>
      </c>
    </row>
    <row r="872" spans="1:13" s="5" customFormat="1" x14ac:dyDescent="0.25">
      <c r="A872" s="12" t="s">
        <v>1720</v>
      </c>
      <c r="B872" s="13" t="s">
        <v>1721</v>
      </c>
      <c r="C872" s="14">
        <v>45095</v>
      </c>
      <c r="D872" s="13">
        <v>2023</v>
      </c>
      <c r="E872" s="13" t="s">
        <v>14</v>
      </c>
      <c r="F872" s="13" t="s">
        <v>34</v>
      </c>
      <c r="G872" s="15">
        <v>299.58</v>
      </c>
      <c r="H872" s="15">
        <v>299.58</v>
      </c>
      <c r="I872" s="13">
        <v>9</v>
      </c>
      <c r="J872" s="13">
        <v>9</v>
      </c>
      <c r="K872" s="13" t="s">
        <v>3346</v>
      </c>
      <c r="L872" s="15">
        <v>33.286666666666662</v>
      </c>
      <c r="M872" s="16">
        <v>33.286666666666662</v>
      </c>
    </row>
    <row r="873" spans="1:13" s="5" customFormat="1" x14ac:dyDescent="0.25">
      <c r="A873" s="12" t="s">
        <v>1722</v>
      </c>
      <c r="B873" s="13" t="s">
        <v>1723</v>
      </c>
      <c r="C873" s="14">
        <v>45794</v>
      </c>
      <c r="D873" s="13">
        <v>2025</v>
      </c>
      <c r="E873" s="13" t="s">
        <v>21</v>
      </c>
      <c r="F873" s="13" t="s">
        <v>22</v>
      </c>
      <c r="G873" s="15">
        <v>1563.43</v>
      </c>
      <c r="H873" s="15">
        <v>1563.43</v>
      </c>
      <c r="I873" s="13">
        <v>8</v>
      </c>
      <c r="J873" s="13">
        <v>8</v>
      </c>
      <c r="K873" s="13" t="s">
        <v>3346</v>
      </c>
      <c r="L873" s="15">
        <v>195.42875000000001</v>
      </c>
      <c r="M873" s="16">
        <v>195.42875000000001</v>
      </c>
    </row>
    <row r="874" spans="1:13" s="5" customFormat="1" x14ac:dyDescent="0.25">
      <c r="A874" s="12" t="s">
        <v>1724</v>
      </c>
      <c r="B874" s="13" t="s">
        <v>1725</v>
      </c>
      <c r="C874" s="14">
        <v>45149</v>
      </c>
      <c r="D874" s="13">
        <v>2023</v>
      </c>
      <c r="E874" s="13" t="s">
        <v>3347</v>
      </c>
      <c r="F874" s="13" t="s">
        <v>22</v>
      </c>
      <c r="G874" s="15">
        <v>823.58</v>
      </c>
      <c r="H874" s="15">
        <v>823.58</v>
      </c>
      <c r="I874" s="13"/>
      <c r="J874" s="13">
        <v>4</v>
      </c>
      <c r="K874" s="13" t="s">
        <v>18</v>
      </c>
      <c r="L874" s="15">
        <v>205.89500000000001</v>
      </c>
      <c r="M874" s="16">
        <v>184.21653108465605</v>
      </c>
    </row>
    <row r="875" spans="1:13" s="5" customFormat="1" x14ac:dyDescent="0.25">
      <c r="A875" s="12" t="s">
        <v>1726</v>
      </c>
      <c r="B875" s="13" t="s">
        <v>1727</v>
      </c>
      <c r="C875" s="14">
        <v>45845</v>
      </c>
      <c r="D875" s="13">
        <v>2025</v>
      </c>
      <c r="E875" s="13" t="s">
        <v>21</v>
      </c>
      <c r="F875" s="13" t="s">
        <v>34</v>
      </c>
      <c r="G875" s="15">
        <v>1744.83</v>
      </c>
      <c r="H875" s="15">
        <v>1744.83</v>
      </c>
      <c r="I875" s="13">
        <v>8</v>
      </c>
      <c r="J875" s="13">
        <v>8</v>
      </c>
      <c r="K875" s="13" t="s">
        <v>35</v>
      </c>
      <c r="L875" s="15">
        <v>218.10374999999999</v>
      </c>
      <c r="M875" s="16">
        <v>218.10374999999999</v>
      </c>
    </row>
    <row r="876" spans="1:13" s="5" customFormat="1" x14ac:dyDescent="0.25">
      <c r="A876" s="12" t="s">
        <v>1728</v>
      </c>
      <c r="B876" s="13" t="s">
        <v>1729</v>
      </c>
      <c r="C876" s="14">
        <v>44894</v>
      </c>
      <c r="D876" s="13">
        <v>2022</v>
      </c>
      <c r="E876" s="13" t="s">
        <v>14</v>
      </c>
      <c r="F876" s="13" t="s">
        <v>34</v>
      </c>
      <c r="G876" s="15">
        <v>216.2</v>
      </c>
      <c r="H876" s="15">
        <v>216.2</v>
      </c>
      <c r="I876" s="13">
        <v>5</v>
      </c>
      <c r="J876" s="13">
        <v>5</v>
      </c>
      <c r="K876" s="13" t="s">
        <v>15</v>
      </c>
      <c r="L876" s="15">
        <v>43.239999999999995</v>
      </c>
      <c r="M876" s="16">
        <v>43.239999999999995</v>
      </c>
    </row>
    <row r="877" spans="1:13" s="5" customFormat="1" x14ac:dyDescent="0.25">
      <c r="A877" s="12" t="s">
        <v>1730</v>
      </c>
      <c r="B877" s="13" t="s">
        <v>1731</v>
      </c>
      <c r="C877" s="14">
        <v>45712</v>
      </c>
      <c r="D877" s="13">
        <v>2025</v>
      </c>
      <c r="E877" s="13" t="s">
        <v>14</v>
      </c>
      <c r="F877" s="13" t="s">
        <v>25</v>
      </c>
      <c r="G877" s="15">
        <v>790.05</v>
      </c>
      <c r="H877" s="15">
        <v>790.05</v>
      </c>
      <c r="I877" s="13">
        <v>9</v>
      </c>
      <c r="J877" s="13">
        <v>9</v>
      </c>
      <c r="K877" s="13" t="s">
        <v>15</v>
      </c>
      <c r="L877" s="15">
        <v>87.783333333333331</v>
      </c>
      <c r="M877" s="16">
        <v>87.783333333333331</v>
      </c>
    </row>
    <row r="878" spans="1:13" s="5" customFormat="1" x14ac:dyDescent="0.25">
      <c r="A878" s="12" t="s">
        <v>1732</v>
      </c>
      <c r="B878" s="13" t="s">
        <v>1733</v>
      </c>
      <c r="C878" s="14">
        <v>44976</v>
      </c>
      <c r="D878" s="13">
        <v>2023</v>
      </c>
      <c r="E878" s="13" t="s">
        <v>14</v>
      </c>
      <c r="F878" s="13" t="s">
        <v>11</v>
      </c>
      <c r="G878" s="15">
        <v>1943.42</v>
      </c>
      <c r="H878" s="15">
        <v>1943.42</v>
      </c>
      <c r="I878" s="13">
        <v>6</v>
      </c>
      <c r="J878" s="13">
        <v>6</v>
      </c>
      <c r="K878" s="13" t="s">
        <v>3346</v>
      </c>
      <c r="L878" s="15">
        <v>323.90333333333336</v>
      </c>
      <c r="M878" s="16">
        <v>323.90333333333336</v>
      </c>
    </row>
    <row r="879" spans="1:13" s="5" customFormat="1" x14ac:dyDescent="0.25">
      <c r="A879" s="12" t="s">
        <v>1734</v>
      </c>
      <c r="B879" s="13" t="s">
        <v>1735</v>
      </c>
      <c r="C879" s="14">
        <v>45876</v>
      </c>
      <c r="D879" s="13">
        <v>2025</v>
      </c>
      <c r="E879" s="13" t="s">
        <v>14</v>
      </c>
      <c r="F879" s="13" t="s">
        <v>11</v>
      </c>
      <c r="G879" s="15">
        <v>408.39</v>
      </c>
      <c r="H879" s="15">
        <v>408.39</v>
      </c>
      <c r="I879" s="13">
        <v>1</v>
      </c>
      <c r="J879" s="13">
        <v>1</v>
      </c>
      <c r="K879" s="13" t="s">
        <v>3348</v>
      </c>
      <c r="L879" s="15">
        <v>408.39</v>
      </c>
      <c r="M879" s="16">
        <v>408.39</v>
      </c>
    </row>
    <row r="880" spans="1:13" s="5" customFormat="1" x14ac:dyDescent="0.25">
      <c r="A880" s="12" t="s">
        <v>1736</v>
      </c>
      <c r="B880" s="13" t="s">
        <v>1737</v>
      </c>
      <c r="C880" s="14">
        <v>45378</v>
      </c>
      <c r="D880" s="13">
        <v>2024</v>
      </c>
      <c r="E880" s="13" t="s">
        <v>3347</v>
      </c>
      <c r="F880" s="13" t="s">
        <v>34</v>
      </c>
      <c r="G880" s="15">
        <v>115.79</v>
      </c>
      <c r="H880" s="15">
        <v>115.79</v>
      </c>
      <c r="I880" s="13">
        <v>1</v>
      </c>
      <c r="J880" s="13">
        <v>1</v>
      </c>
      <c r="K880" s="13" t="s">
        <v>3348</v>
      </c>
      <c r="L880" s="15">
        <v>115.79</v>
      </c>
      <c r="M880" s="16">
        <v>115.79</v>
      </c>
    </row>
    <row r="881" spans="1:13" s="5" customFormat="1" x14ac:dyDescent="0.25">
      <c r="A881" s="12" t="s">
        <v>1738</v>
      </c>
      <c r="B881" s="13" t="s">
        <v>1739</v>
      </c>
      <c r="C881" s="14">
        <v>44989</v>
      </c>
      <c r="D881" s="13">
        <v>2023</v>
      </c>
      <c r="E881" s="13" t="s">
        <v>14</v>
      </c>
      <c r="F881" s="13" t="s">
        <v>11</v>
      </c>
      <c r="G881" s="15">
        <v>263.47000000000003</v>
      </c>
      <c r="H881" s="15">
        <v>263.47000000000003</v>
      </c>
      <c r="I881" s="13">
        <v>9</v>
      </c>
      <c r="J881" s="13">
        <v>9</v>
      </c>
      <c r="K881" s="13" t="s">
        <v>3348</v>
      </c>
      <c r="L881" s="15">
        <v>29.274444444444448</v>
      </c>
      <c r="M881" s="16">
        <v>29.274444444444448</v>
      </c>
    </row>
    <row r="882" spans="1:13" s="5" customFormat="1" x14ac:dyDescent="0.25">
      <c r="A882" s="12" t="s">
        <v>1740</v>
      </c>
      <c r="B882" s="13" t="s">
        <v>1741</v>
      </c>
      <c r="C882" s="14">
        <v>45136</v>
      </c>
      <c r="D882" s="13">
        <v>2023</v>
      </c>
      <c r="E882" s="13" t="s">
        <v>14</v>
      </c>
      <c r="F882" s="13" t="s">
        <v>34</v>
      </c>
      <c r="G882" s="15">
        <v>1923.52</v>
      </c>
      <c r="H882" s="15">
        <v>1923.52</v>
      </c>
      <c r="I882" s="13">
        <v>7</v>
      </c>
      <c r="J882" s="13">
        <v>7</v>
      </c>
      <c r="K882" s="13" t="s">
        <v>15</v>
      </c>
      <c r="L882" s="15">
        <v>274.7885714285714</v>
      </c>
      <c r="M882" s="16">
        <v>274.7885714285714</v>
      </c>
    </row>
    <row r="883" spans="1:13" s="5" customFormat="1" x14ac:dyDescent="0.25">
      <c r="A883" s="12" t="s">
        <v>1742</v>
      </c>
      <c r="B883" s="13" t="s">
        <v>1743</v>
      </c>
      <c r="C883" s="14">
        <v>45562</v>
      </c>
      <c r="D883" s="13">
        <v>2024</v>
      </c>
      <c r="E883" s="13" t="s">
        <v>21</v>
      </c>
      <c r="F883" s="13" t="s">
        <v>34</v>
      </c>
      <c r="G883" s="15">
        <v>709.03</v>
      </c>
      <c r="H883" s="15">
        <v>709.03</v>
      </c>
      <c r="I883" s="13">
        <v>4</v>
      </c>
      <c r="J883" s="13">
        <v>4</v>
      </c>
      <c r="K883" s="13" t="s">
        <v>3346</v>
      </c>
      <c r="L883" s="15">
        <v>177.25749999999999</v>
      </c>
      <c r="M883" s="16">
        <v>177.25749999999999</v>
      </c>
    </row>
    <row r="884" spans="1:13" s="5" customFormat="1" x14ac:dyDescent="0.25">
      <c r="A884" s="12" t="s">
        <v>1744</v>
      </c>
      <c r="B884" s="13" t="s">
        <v>117</v>
      </c>
      <c r="C884" s="14">
        <v>44915</v>
      </c>
      <c r="D884" s="13">
        <v>2022</v>
      </c>
      <c r="E884" s="13" t="s">
        <v>3347</v>
      </c>
      <c r="F884" s="13" t="s">
        <v>22</v>
      </c>
      <c r="G884" s="15"/>
      <c r="H884" s="15">
        <v>1191.196943452381</v>
      </c>
      <c r="I884" s="13">
        <v>5</v>
      </c>
      <c r="J884" s="13">
        <v>5</v>
      </c>
      <c r="K884" s="13" t="s">
        <v>35</v>
      </c>
      <c r="L884" s="15">
        <v>238.2393886904762</v>
      </c>
      <c r="M884" s="16">
        <v>238.2393886904762</v>
      </c>
    </row>
    <row r="885" spans="1:13" s="5" customFormat="1" x14ac:dyDescent="0.25">
      <c r="A885" s="12" t="s">
        <v>1745</v>
      </c>
      <c r="B885" s="13" t="s">
        <v>1746</v>
      </c>
      <c r="C885" s="14">
        <v>45694</v>
      </c>
      <c r="D885" s="13">
        <v>2025</v>
      </c>
      <c r="E885" s="13" t="s">
        <v>21</v>
      </c>
      <c r="F885" s="13" t="s">
        <v>22</v>
      </c>
      <c r="G885" s="15">
        <v>988.28</v>
      </c>
      <c r="H885" s="15">
        <v>988.28</v>
      </c>
      <c r="I885" s="13">
        <v>7</v>
      </c>
      <c r="J885" s="13">
        <v>7</v>
      </c>
      <c r="K885" s="13" t="s">
        <v>35</v>
      </c>
      <c r="L885" s="15">
        <v>141.18285714285713</v>
      </c>
      <c r="M885" s="16">
        <v>141.18285714285713</v>
      </c>
    </row>
    <row r="886" spans="1:13" s="5" customFormat="1" x14ac:dyDescent="0.25">
      <c r="A886" s="12" t="s">
        <v>1747</v>
      </c>
      <c r="B886" s="13" t="s">
        <v>1748</v>
      </c>
      <c r="C886" s="14">
        <v>45854</v>
      </c>
      <c r="D886" s="13">
        <v>2025</v>
      </c>
      <c r="E886" s="13" t="s">
        <v>10</v>
      </c>
      <c r="F886" s="13" t="s">
        <v>25</v>
      </c>
      <c r="G886" s="15">
        <v>658.42</v>
      </c>
      <c r="H886" s="15">
        <v>658.42</v>
      </c>
      <c r="I886" s="13">
        <v>3</v>
      </c>
      <c r="J886" s="13">
        <v>3</v>
      </c>
      <c r="K886" s="13" t="s">
        <v>18</v>
      </c>
      <c r="L886" s="15">
        <v>219.47333333333333</v>
      </c>
      <c r="M886" s="16">
        <v>219.47333333333333</v>
      </c>
    </row>
    <row r="887" spans="1:13" s="5" customFormat="1" x14ac:dyDescent="0.25">
      <c r="A887" s="12" t="s">
        <v>1749</v>
      </c>
      <c r="B887" s="13" t="s">
        <v>1750</v>
      </c>
      <c r="C887" s="14">
        <v>45227</v>
      </c>
      <c r="D887" s="13">
        <v>2023</v>
      </c>
      <c r="E887" s="13" t="s">
        <v>10</v>
      </c>
      <c r="F887" s="13" t="s">
        <v>22</v>
      </c>
      <c r="G887" s="15">
        <v>1484.18</v>
      </c>
      <c r="H887" s="15">
        <v>1484.18</v>
      </c>
      <c r="I887" s="13">
        <v>2</v>
      </c>
      <c r="J887" s="13">
        <v>2</v>
      </c>
      <c r="K887" s="13" t="s">
        <v>18</v>
      </c>
      <c r="L887" s="15">
        <v>742.09</v>
      </c>
      <c r="M887" s="16">
        <v>742.09</v>
      </c>
    </row>
    <row r="888" spans="1:13" s="5" customFormat="1" x14ac:dyDescent="0.25">
      <c r="A888" s="12" t="s">
        <v>1751</v>
      </c>
      <c r="B888" s="13" t="s">
        <v>1752</v>
      </c>
      <c r="C888" s="14">
        <v>44973</v>
      </c>
      <c r="D888" s="13">
        <v>2023</v>
      </c>
      <c r="E888" s="13" t="s">
        <v>14</v>
      </c>
      <c r="F888" s="13" t="s">
        <v>22</v>
      </c>
      <c r="G888" s="15">
        <v>759.25</v>
      </c>
      <c r="H888" s="15">
        <v>759.25</v>
      </c>
      <c r="I888" s="13"/>
      <c r="J888" s="13">
        <v>3</v>
      </c>
      <c r="K888" s="13" t="s">
        <v>35</v>
      </c>
      <c r="L888" s="15">
        <v>253.08333333333334</v>
      </c>
      <c r="M888" s="16">
        <v>221.71176530612249</v>
      </c>
    </row>
    <row r="889" spans="1:13" s="5" customFormat="1" x14ac:dyDescent="0.25">
      <c r="A889" s="12" t="s">
        <v>1753</v>
      </c>
      <c r="B889" s="13" t="s">
        <v>1754</v>
      </c>
      <c r="C889" s="14">
        <v>44905</v>
      </c>
      <c r="D889" s="13">
        <v>2022</v>
      </c>
      <c r="E889" s="13" t="s">
        <v>10</v>
      </c>
      <c r="F889" s="13" t="s">
        <v>11</v>
      </c>
      <c r="G889" s="15">
        <v>1186.01</v>
      </c>
      <c r="H889" s="15">
        <v>1186.01</v>
      </c>
      <c r="I889" s="13">
        <v>8</v>
      </c>
      <c r="J889" s="13">
        <v>8</v>
      </c>
      <c r="K889" s="13" t="s">
        <v>18</v>
      </c>
      <c r="L889" s="15">
        <v>148.25125</v>
      </c>
      <c r="M889" s="16">
        <v>148.25125</v>
      </c>
    </row>
    <row r="890" spans="1:13" s="5" customFormat="1" x14ac:dyDescent="0.25">
      <c r="A890" s="12" t="s">
        <v>1755</v>
      </c>
      <c r="B890" s="13" t="s">
        <v>1756</v>
      </c>
      <c r="C890" s="14">
        <v>44916</v>
      </c>
      <c r="D890" s="13">
        <v>2022</v>
      </c>
      <c r="E890" s="13" t="s">
        <v>10</v>
      </c>
      <c r="F890" s="13" t="s">
        <v>11</v>
      </c>
      <c r="G890" s="15">
        <v>1217.02</v>
      </c>
      <c r="H890" s="15">
        <v>1217.02</v>
      </c>
      <c r="I890" s="13">
        <v>1</v>
      </c>
      <c r="J890" s="13">
        <v>1</v>
      </c>
      <c r="K890" s="13" t="s">
        <v>3348</v>
      </c>
      <c r="L890" s="15">
        <v>1217.02</v>
      </c>
      <c r="M890" s="16">
        <v>1217.02</v>
      </c>
    </row>
    <row r="891" spans="1:13" s="5" customFormat="1" x14ac:dyDescent="0.25">
      <c r="A891" s="12" t="s">
        <v>1757</v>
      </c>
      <c r="B891" s="13" t="s">
        <v>1758</v>
      </c>
      <c r="C891" s="14">
        <v>45640</v>
      </c>
      <c r="D891" s="13">
        <v>2024</v>
      </c>
      <c r="E891" s="13" t="s">
        <v>14</v>
      </c>
      <c r="F891" s="13" t="s">
        <v>25</v>
      </c>
      <c r="G891" s="15">
        <v>860.98</v>
      </c>
      <c r="H891" s="15">
        <v>860.98</v>
      </c>
      <c r="I891" s="13">
        <v>7</v>
      </c>
      <c r="J891" s="13">
        <v>7</v>
      </c>
      <c r="K891" s="13" t="s">
        <v>3348</v>
      </c>
      <c r="L891" s="15">
        <v>122.99714285714286</v>
      </c>
      <c r="M891" s="16">
        <v>122.99714285714286</v>
      </c>
    </row>
    <row r="892" spans="1:13" s="5" customFormat="1" x14ac:dyDescent="0.25">
      <c r="A892" s="12" t="s">
        <v>1759</v>
      </c>
      <c r="B892" s="13" t="s">
        <v>1760</v>
      </c>
      <c r="C892" s="14">
        <v>45228</v>
      </c>
      <c r="D892" s="13">
        <v>2023</v>
      </c>
      <c r="E892" s="13" t="s">
        <v>10</v>
      </c>
      <c r="F892" s="13" t="s">
        <v>25</v>
      </c>
      <c r="G892" s="15">
        <v>945.16</v>
      </c>
      <c r="H892" s="15">
        <v>945.16</v>
      </c>
      <c r="I892" s="13">
        <v>4</v>
      </c>
      <c r="J892" s="13">
        <v>4</v>
      </c>
      <c r="K892" s="13" t="s">
        <v>15</v>
      </c>
      <c r="L892" s="15">
        <v>236.29</v>
      </c>
      <c r="M892" s="16">
        <v>236.29</v>
      </c>
    </row>
    <row r="893" spans="1:13" s="5" customFormat="1" x14ac:dyDescent="0.25">
      <c r="A893" s="12" t="s">
        <v>1761</v>
      </c>
      <c r="B893" s="13" t="s">
        <v>1762</v>
      </c>
      <c r="C893" s="14">
        <v>45282</v>
      </c>
      <c r="D893" s="13">
        <v>2023</v>
      </c>
      <c r="E893" s="13" t="s">
        <v>21</v>
      </c>
      <c r="F893" s="13" t="s">
        <v>25</v>
      </c>
      <c r="G893" s="15">
        <v>1626.69</v>
      </c>
      <c r="H893" s="15">
        <v>1626.69</v>
      </c>
      <c r="I893" s="13">
        <v>8</v>
      </c>
      <c r="J893" s="13">
        <v>8</v>
      </c>
      <c r="K893" s="13" t="s">
        <v>3346</v>
      </c>
      <c r="L893" s="15">
        <v>203.33625000000001</v>
      </c>
      <c r="M893" s="16">
        <v>203.33625000000001</v>
      </c>
    </row>
    <row r="894" spans="1:13" s="5" customFormat="1" x14ac:dyDescent="0.25">
      <c r="A894" s="12" t="s">
        <v>1763</v>
      </c>
      <c r="B894" s="13" t="s">
        <v>1764</v>
      </c>
      <c r="C894" s="14">
        <v>44981</v>
      </c>
      <c r="D894" s="13">
        <v>2023</v>
      </c>
      <c r="E894" s="13" t="s">
        <v>14</v>
      </c>
      <c r="F894" s="13" t="s">
        <v>11</v>
      </c>
      <c r="G894" s="15"/>
      <c r="H894" s="15">
        <v>322.79416666666668</v>
      </c>
      <c r="I894" s="13">
        <v>1</v>
      </c>
      <c r="J894" s="13">
        <v>1</v>
      </c>
      <c r="K894" s="13" t="s">
        <v>15</v>
      </c>
      <c r="L894" s="15">
        <v>322.79416666666668</v>
      </c>
      <c r="M894" s="16">
        <v>322.79416666666668</v>
      </c>
    </row>
    <row r="895" spans="1:13" s="5" customFormat="1" x14ac:dyDescent="0.25">
      <c r="A895" s="12" t="s">
        <v>1765</v>
      </c>
      <c r="B895" s="13" t="s">
        <v>1766</v>
      </c>
      <c r="C895" s="14">
        <v>45250</v>
      </c>
      <c r="D895" s="13">
        <v>2023</v>
      </c>
      <c r="E895" s="13" t="s">
        <v>3347</v>
      </c>
      <c r="F895" s="13" t="s">
        <v>25</v>
      </c>
      <c r="G895" s="15">
        <v>1918.64</v>
      </c>
      <c r="H895" s="15">
        <v>1918.64</v>
      </c>
      <c r="I895" s="13">
        <v>3</v>
      </c>
      <c r="J895" s="13">
        <v>3</v>
      </c>
      <c r="K895" s="13" t="s">
        <v>3346</v>
      </c>
      <c r="L895" s="15">
        <v>639.54666666666674</v>
      </c>
      <c r="M895" s="16">
        <v>639.54666666666674</v>
      </c>
    </row>
    <row r="896" spans="1:13" s="5" customFormat="1" x14ac:dyDescent="0.25">
      <c r="A896" s="12" t="s">
        <v>1767</v>
      </c>
      <c r="B896" s="13" t="s">
        <v>1768</v>
      </c>
      <c r="C896" s="14">
        <v>45341</v>
      </c>
      <c r="D896" s="13">
        <v>2024</v>
      </c>
      <c r="E896" s="13" t="s">
        <v>3347</v>
      </c>
      <c r="F896" s="13" t="s">
        <v>11</v>
      </c>
      <c r="G896" s="15">
        <v>597.42999999999995</v>
      </c>
      <c r="H896" s="15">
        <v>597.42999999999995</v>
      </c>
      <c r="I896" s="13">
        <v>4</v>
      </c>
      <c r="J896" s="13">
        <v>4</v>
      </c>
      <c r="K896" s="13" t="s">
        <v>3348</v>
      </c>
      <c r="L896" s="15">
        <v>149.35749999999999</v>
      </c>
      <c r="M896" s="16">
        <v>149.35749999999999</v>
      </c>
    </row>
    <row r="897" spans="1:13" s="5" customFormat="1" x14ac:dyDescent="0.25">
      <c r="A897" s="12" t="s">
        <v>1769</v>
      </c>
      <c r="B897" s="13" t="s">
        <v>1770</v>
      </c>
      <c r="C897" s="14">
        <v>45216</v>
      </c>
      <c r="D897" s="13">
        <v>2023</v>
      </c>
      <c r="E897" s="13" t="s">
        <v>3347</v>
      </c>
      <c r="F897" s="13" t="s">
        <v>25</v>
      </c>
      <c r="G897" s="15">
        <v>96.75</v>
      </c>
      <c r="H897" s="15">
        <v>96.75</v>
      </c>
      <c r="I897" s="13">
        <v>2</v>
      </c>
      <c r="J897" s="13">
        <v>2</v>
      </c>
      <c r="K897" s="13" t="s">
        <v>18</v>
      </c>
      <c r="L897" s="15">
        <v>48.375</v>
      </c>
      <c r="M897" s="16">
        <v>48.375</v>
      </c>
    </row>
    <row r="898" spans="1:13" s="5" customFormat="1" x14ac:dyDescent="0.25">
      <c r="A898" s="12" t="s">
        <v>1771</v>
      </c>
      <c r="B898" s="13" t="s">
        <v>1772</v>
      </c>
      <c r="C898" s="14">
        <v>45205</v>
      </c>
      <c r="D898" s="13">
        <v>2023</v>
      </c>
      <c r="E898" s="13" t="s">
        <v>21</v>
      </c>
      <c r="F898" s="13" t="s">
        <v>22</v>
      </c>
      <c r="G898" s="15">
        <v>1529.33</v>
      </c>
      <c r="H898" s="15">
        <v>1529.33</v>
      </c>
      <c r="I898" s="13">
        <v>7</v>
      </c>
      <c r="J898" s="13">
        <v>7</v>
      </c>
      <c r="K898" s="13" t="s">
        <v>15</v>
      </c>
      <c r="L898" s="15">
        <v>218.47571428571428</v>
      </c>
      <c r="M898" s="16">
        <v>218.47571428571428</v>
      </c>
    </row>
    <row r="899" spans="1:13" s="5" customFormat="1" x14ac:dyDescent="0.25">
      <c r="A899" s="12" t="s">
        <v>1773</v>
      </c>
      <c r="B899" s="13" t="s">
        <v>1623</v>
      </c>
      <c r="C899" s="14">
        <v>45646</v>
      </c>
      <c r="D899" s="13">
        <v>2024</v>
      </c>
      <c r="E899" s="13" t="s">
        <v>3347</v>
      </c>
      <c r="F899" s="13" t="s">
        <v>34</v>
      </c>
      <c r="G899" s="15">
        <v>889.74</v>
      </c>
      <c r="H899" s="15">
        <v>889.74</v>
      </c>
      <c r="I899" s="13">
        <v>4</v>
      </c>
      <c r="J899" s="13">
        <v>4</v>
      </c>
      <c r="K899" s="13" t="s">
        <v>3346</v>
      </c>
      <c r="L899" s="15">
        <v>222.435</v>
      </c>
      <c r="M899" s="16">
        <v>222.435</v>
      </c>
    </row>
    <row r="900" spans="1:13" s="5" customFormat="1" x14ac:dyDescent="0.25">
      <c r="A900" s="12" t="s">
        <v>1774</v>
      </c>
      <c r="B900" s="13" t="s">
        <v>1766</v>
      </c>
      <c r="C900" s="14">
        <v>45543</v>
      </c>
      <c r="D900" s="13">
        <v>2024</v>
      </c>
      <c r="E900" s="13" t="s">
        <v>3347</v>
      </c>
      <c r="F900" s="13" t="s">
        <v>22</v>
      </c>
      <c r="G900" s="15">
        <v>1551.72</v>
      </c>
      <c r="H900" s="15">
        <v>1551.72</v>
      </c>
      <c r="I900" s="13">
        <v>9</v>
      </c>
      <c r="J900" s="13">
        <v>9</v>
      </c>
      <c r="K900" s="13" t="s">
        <v>18</v>
      </c>
      <c r="L900" s="15">
        <v>172.41333333333333</v>
      </c>
      <c r="M900" s="16">
        <v>172.41333333333333</v>
      </c>
    </row>
    <row r="901" spans="1:13" s="5" customFormat="1" x14ac:dyDescent="0.25">
      <c r="A901" s="12" t="s">
        <v>1775</v>
      </c>
      <c r="B901" s="13" t="s">
        <v>1776</v>
      </c>
      <c r="C901" s="14">
        <v>45716</v>
      </c>
      <c r="D901" s="13">
        <v>2025</v>
      </c>
      <c r="E901" s="13" t="s">
        <v>21</v>
      </c>
      <c r="F901" s="13" t="s">
        <v>11</v>
      </c>
      <c r="G901" s="15">
        <v>217.59</v>
      </c>
      <c r="H901" s="15">
        <v>217.59</v>
      </c>
      <c r="I901" s="13">
        <v>4</v>
      </c>
      <c r="J901" s="13">
        <v>4</v>
      </c>
      <c r="K901" s="13" t="s">
        <v>35</v>
      </c>
      <c r="L901" s="15">
        <v>54.397500000000001</v>
      </c>
      <c r="M901" s="16">
        <v>54.397500000000001</v>
      </c>
    </row>
    <row r="902" spans="1:13" s="5" customFormat="1" x14ac:dyDescent="0.25">
      <c r="A902" s="12" t="s">
        <v>1777</v>
      </c>
      <c r="B902" s="13" t="s">
        <v>1778</v>
      </c>
      <c r="C902" s="14">
        <v>45182</v>
      </c>
      <c r="D902" s="13">
        <v>2023</v>
      </c>
      <c r="E902" s="13" t="s">
        <v>10</v>
      </c>
      <c r="F902" s="13" t="s">
        <v>34</v>
      </c>
      <c r="G902" s="15">
        <v>866.62</v>
      </c>
      <c r="H902" s="15">
        <v>866.62</v>
      </c>
      <c r="I902" s="13">
        <v>6</v>
      </c>
      <c r="J902" s="13">
        <v>6</v>
      </c>
      <c r="K902" s="13" t="s">
        <v>3348</v>
      </c>
      <c r="L902" s="15">
        <v>144.43666666666667</v>
      </c>
      <c r="M902" s="16">
        <v>144.43666666666667</v>
      </c>
    </row>
    <row r="903" spans="1:13" s="5" customFormat="1" x14ac:dyDescent="0.25">
      <c r="A903" s="12" t="s">
        <v>1779</v>
      </c>
      <c r="B903" s="13" t="s">
        <v>1780</v>
      </c>
      <c r="C903" s="14">
        <v>45083</v>
      </c>
      <c r="D903" s="13">
        <v>2023</v>
      </c>
      <c r="E903" s="13" t="s">
        <v>21</v>
      </c>
      <c r="F903" s="13" t="s">
        <v>22</v>
      </c>
      <c r="G903" s="15">
        <v>1380.5</v>
      </c>
      <c r="H903" s="15">
        <v>1380.5</v>
      </c>
      <c r="I903" s="13">
        <v>8</v>
      </c>
      <c r="J903" s="13">
        <v>8</v>
      </c>
      <c r="K903" s="13" t="s">
        <v>15</v>
      </c>
      <c r="L903" s="15">
        <v>172.5625</v>
      </c>
      <c r="M903" s="16">
        <v>172.5625</v>
      </c>
    </row>
    <row r="904" spans="1:13" s="5" customFormat="1" x14ac:dyDescent="0.25">
      <c r="A904" s="12" t="s">
        <v>1781</v>
      </c>
      <c r="B904" s="13" t="s">
        <v>1782</v>
      </c>
      <c r="C904" s="14">
        <v>45282</v>
      </c>
      <c r="D904" s="13">
        <v>2023</v>
      </c>
      <c r="E904" s="13" t="s">
        <v>3347</v>
      </c>
      <c r="F904" s="13" t="s">
        <v>25</v>
      </c>
      <c r="G904" s="15">
        <v>453.77</v>
      </c>
      <c r="H904" s="15">
        <v>453.77</v>
      </c>
      <c r="I904" s="13">
        <v>1</v>
      </c>
      <c r="J904" s="13">
        <v>1</v>
      </c>
      <c r="K904" s="13" t="s">
        <v>3348</v>
      </c>
      <c r="L904" s="15">
        <v>453.77</v>
      </c>
      <c r="M904" s="16">
        <v>453.77</v>
      </c>
    </row>
    <row r="905" spans="1:13" s="5" customFormat="1" x14ac:dyDescent="0.25">
      <c r="A905" s="12" t="s">
        <v>1783</v>
      </c>
      <c r="B905" s="13" t="s">
        <v>1784</v>
      </c>
      <c r="C905" s="14">
        <v>45938</v>
      </c>
      <c r="D905" s="13">
        <v>2025</v>
      </c>
      <c r="E905" s="13" t="s">
        <v>3347</v>
      </c>
      <c r="F905" s="13" t="s">
        <v>11</v>
      </c>
      <c r="G905" s="15">
        <v>515.86</v>
      </c>
      <c r="H905" s="15">
        <v>515.86</v>
      </c>
      <c r="I905" s="13">
        <v>8</v>
      </c>
      <c r="J905" s="13">
        <v>8</v>
      </c>
      <c r="K905" s="13" t="s">
        <v>15</v>
      </c>
      <c r="L905" s="15">
        <v>64.482500000000002</v>
      </c>
      <c r="M905" s="16">
        <v>64.482500000000002</v>
      </c>
    </row>
    <row r="906" spans="1:13" s="5" customFormat="1" x14ac:dyDescent="0.25">
      <c r="A906" s="12" t="s">
        <v>1785</v>
      </c>
      <c r="B906" s="13" t="s">
        <v>1786</v>
      </c>
      <c r="C906" s="14">
        <v>45648</v>
      </c>
      <c r="D906" s="13">
        <v>2024</v>
      </c>
      <c r="E906" s="13" t="s">
        <v>14</v>
      </c>
      <c r="F906" s="13" t="s">
        <v>22</v>
      </c>
      <c r="G906" s="15">
        <v>480.92</v>
      </c>
      <c r="H906" s="15">
        <v>480.92</v>
      </c>
      <c r="I906" s="13">
        <v>5</v>
      </c>
      <c r="J906" s="13">
        <v>5</v>
      </c>
      <c r="K906" s="13" t="s">
        <v>35</v>
      </c>
      <c r="L906" s="15">
        <v>96.183999999999997</v>
      </c>
      <c r="M906" s="16">
        <v>96.183999999999997</v>
      </c>
    </row>
    <row r="907" spans="1:13" s="5" customFormat="1" x14ac:dyDescent="0.25">
      <c r="A907" s="12" t="s">
        <v>1787</v>
      </c>
      <c r="B907" s="13" t="s">
        <v>634</v>
      </c>
      <c r="C907" s="14">
        <v>45319</v>
      </c>
      <c r="D907" s="13">
        <v>2024</v>
      </c>
      <c r="E907" s="13" t="s">
        <v>10</v>
      </c>
      <c r="F907" s="13" t="s">
        <v>25</v>
      </c>
      <c r="G907" s="15"/>
      <c r="H907" s="15">
        <v>2579.6274999999996</v>
      </c>
      <c r="I907" s="13">
        <v>10</v>
      </c>
      <c r="J907" s="13">
        <v>10</v>
      </c>
      <c r="K907" s="13" t="s">
        <v>18</v>
      </c>
      <c r="L907" s="15">
        <v>257.96274999999997</v>
      </c>
      <c r="M907" s="16">
        <v>257.96274999999997</v>
      </c>
    </row>
    <row r="908" spans="1:13" s="5" customFormat="1" x14ac:dyDescent="0.25">
      <c r="A908" s="12" t="s">
        <v>1788</v>
      </c>
      <c r="B908" s="13" t="s">
        <v>1789</v>
      </c>
      <c r="C908" s="14">
        <v>45814</v>
      </c>
      <c r="D908" s="13">
        <v>2025</v>
      </c>
      <c r="E908" s="13" t="s">
        <v>21</v>
      </c>
      <c r="F908" s="13" t="s">
        <v>34</v>
      </c>
      <c r="G908" s="15">
        <v>1830.3</v>
      </c>
      <c r="H908" s="15">
        <v>1830.3</v>
      </c>
      <c r="I908" s="13">
        <v>1</v>
      </c>
      <c r="J908" s="13">
        <v>1</v>
      </c>
      <c r="K908" s="13" t="s">
        <v>35</v>
      </c>
      <c r="L908" s="15">
        <v>1830.3</v>
      </c>
      <c r="M908" s="16">
        <v>1830.3</v>
      </c>
    </row>
    <row r="909" spans="1:13" s="5" customFormat="1" x14ac:dyDescent="0.25">
      <c r="A909" s="12" t="s">
        <v>1790</v>
      </c>
      <c r="B909" s="13" t="s">
        <v>1791</v>
      </c>
      <c r="C909" s="14">
        <v>44958</v>
      </c>
      <c r="D909" s="13">
        <v>2023</v>
      </c>
      <c r="E909" s="13" t="s">
        <v>3347</v>
      </c>
      <c r="F909" s="13" t="s">
        <v>25</v>
      </c>
      <c r="G909" s="15">
        <v>1224.1400000000001</v>
      </c>
      <c r="H909" s="15">
        <v>1224.1400000000001</v>
      </c>
      <c r="I909" s="13">
        <v>10</v>
      </c>
      <c r="J909" s="13">
        <v>10</v>
      </c>
      <c r="K909" s="13" t="s">
        <v>3346</v>
      </c>
      <c r="L909" s="15">
        <v>122.41400000000002</v>
      </c>
      <c r="M909" s="16">
        <v>122.41400000000002</v>
      </c>
    </row>
    <row r="910" spans="1:13" s="5" customFormat="1" x14ac:dyDescent="0.25">
      <c r="A910" s="12" t="s">
        <v>1792</v>
      </c>
      <c r="B910" s="13" t="s">
        <v>1793</v>
      </c>
      <c r="C910" s="14">
        <v>45939</v>
      </c>
      <c r="D910" s="13">
        <v>2025</v>
      </c>
      <c r="E910" s="13" t="s">
        <v>10</v>
      </c>
      <c r="F910" s="13" t="s">
        <v>22</v>
      </c>
      <c r="G910" s="15">
        <v>1311.79</v>
      </c>
      <c r="H910" s="15">
        <v>1311.79</v>
      </c>
      <c r="I910" s="13">
        <v>5</v>
      </c>
      <c r="J910" s="13">
        <v>5</v>
      </c>
      <c r="K910" s="13" t="s">
        <v>18</v>
      </c>
      <c r="L910" s="15">
        <v>262.358</v>
      </c>
      <c r="M910" s="16">
        <v>262.358</v>
      </c>
    </row>
    <row r="911" spans="1:13" s="5" customFormat="1" x14ac:dyDescent="0.25">
      <c r="A911" s="12" t="s">
        <v>1794</v>
      </c>
      <c r="B911" s="13" t="s">
        <v>1795</v>
      </c>
      <c r="C911" s="14">
        <v>45558</v>
      </c>
      <c r="D911" s="13">
        <v>2024</v>
      </c>
      <c r="E911" s="13" t="s">
        <v>21</v>
      </c>
      <c r="F911" s="13" t="s">
        <v>22</v>
      </c>
      <c r="G911" s="15">
        <v>1056.9100000000001</v>
      </c>
      <c r="H911" s="15">
        <v>1056.9100000000001</v>
      </c>
      <c r="I911" s="13">
        <v>4</v>
      </c>
      <c r="J911" s="13">
        <v>4</v>
      </c>
      <c r="K911" s="13" t="s">
        <v>15</v>
      </c>
      <c r="L911" s="15">
        <v>264.22750000000002</v>
      </c>
      <c r="M911" s="16">
        <v>264.22750000000002</v>
      </c>
    </row>
    <row r="912" spans="1:13" s="5" customFormat="1" x14ac:dyDescent="0.25">
      <c r="A912" s="12" t="s">
        <v>1796</v>
      </c>
      <c r="B912" s="13" t="s">
        <v>1797</v>
      </c>
      <c r="C912" s="14">
        <v>45315</v>
      </c>
      <c r="D912" s="13">
        <v>2024</v>
      </c>
      <c r="E912" s="13" t="s">
        <v>10</v>
      </c>
      <c r="F912" s="13" t="s">
        <v>34</v>
      </c>
      <c r="G912" s="15">
        <v>858.61</v>
      </c>
      <c r="H912" s="15">
        <v>858.61</v>
      </c>
      <c r="I912" s="13">
        <v>4</v>
      </c>
      <c r="J912" s="13">
        <v>4</v>
      </c>
      <c r="K912" s="13" t="s">
        <v>15</v>
      </c>
      <c r="L912" s="15">
        <v>214.6525</v>
      </c>
      <c r="M912" s="16">
        <v>214.6525</v>
      </c>
    </row>
    <row r="913" spans="1:13" s="5" customFormat="1" x14ac:dyDescent="0.25">
      <c r="A913" s="12" t="s">
        <v>1798</v>
      </c>
      <c r="B913" s="13" t="s">
        <v>1799</v>
      </c>
      <c r="C913" s="14">
        <v>45353</v>
      </c>
      <c r="D913" s="13">
        <v>2024</v>
      </c>
      <c r="E913" s="13" t="s">
        <v>10</v>
      </c>
      <c r="F913" s="13" t="s">
        <v>22</v>
      </c>
      <c r="G913" s="15"/>
      <c r="H913" s="15">
        <v>580.90060000000005</v>
      </c>
      <c r="I913" s="13">
        <v>4</v>
      </c>
      <c r="J913" s="13">
        <v>4</v>
      </c>
      <c r="K913" s="13" t="s">
        <v>18</v>
      </c>
      <c r="L913" s="15">
        <v>145.22515000000001</v>
      </c>
      <c r="M913" s="16">
        <v>145.22515000000001</v>
      </c>
    </row>
    <row r="914" spans="1:13" s="5" customFormat="1" x14ac:dyDescent="0.25">
      <c r="A914" s="12" t="s">
        <v>1800</v>
      </c>
      <c r="B914" s="13" t="s">
        <v>1801</v>
      </c>
      <c r="C914" s="14">
        <v>44945</v>
      </c>
      <c r="D914" s="13">
        <v>2023</v>
      </c>
      <c r="E914" s="13" t="s">
        <v>10</v>
      </c>
      <c r="F914" s="13" t="s">
        <v>22</v>
      </c>
      <c r="G914" s="15">
        <v>17.850000000000001</v>
      </c>
      <c r="H914" s="15">
        <v>17.850000000000001</v>
      </c>
      <c r="I914" s="13">
        <v>9</v>
      </c>
      <c r="J914" s="13">
        <v>9</v>
      </c>
      <c r="K914" s="13" t="s">
        <v>35</v>
      </c>
      <c r="L914" s="15">
        <v>1.9833333333333334</v>
      </c>
      <c r="M914" s="16">
        <v>1.9833333333333334</v>
      </c>
    </row>
    <row r="915" spans="1:13" s="5" customFormat="1" x14ac:dyDescent="0.25">
      <c r="A915" s="12" t="s">
        <v>1802</v>
      </c>
      <c r="B915" s="13" t="s">
        <v>1803</v>
      </c>
      <c r="C915" s="14">
        <v>45434</v>
      </c>
      <c r="D915" s="13">
        <v>2024</v>
      </c>
      <c r="E915" s="13" t="s">
        <v>14</v>
      </c>
      <c r="F915" s="13" t="s">
        <v>22</v>
      </c>
      <c r="G915" s="15">
        <v>1404.93</v>
      </c>
      <c r="H915" s="15">
        <v>1404.93</v>
      </c>
      <c r="I915" s="13">
        <v>2</v>
      </c>
      <c r="J915" s="13">
        <v>2</v>
      </c>
      <c r="K915" s="13" t="s">
        <v>15</v>
      </c>
      <c r="L915" s="15">
        <v>702.46500000000003</v>
      </c>
      <c r="M915" s="16">
        <v>702.46500000000003</v>
      </c>
    </row>
    <row r="916" spans="1:13" s="5" customFormat="1" x14ac:dyDescent="0.25">
      <c r="A916" s="12" t="s">
        <v>1804</v>
      </c>
      <c r="B916" s="13" t="s">
        <v>799</v>
      </c>
      <c r="C916" s="14">
        <v>45331</v>
      </c>
      <c r="D916" s="13">
        <v>2024</v>
      </c>
      <c r="E916" s="13" t="s">
        <v>10</v>
      </c>
      <c r="F916" s="13" t="s">
        <v>22</v>
      </c>
      <c r="G916" s="15">
        <v>1564.04</v>
      </c>
      <c r="H916" s="15">
        <v>1564.04</v>
      </c>
      <c r="I916" s="13">
        <v>10</v>
      </c>
      <c r="J916" s="13">
        <v>10</v>
      </c>
      <c r="K916" s="13" t="s">
        <v>18</v>
      </c>
      <c r="L916" s="15">
        <v>156.404</v>
      </c>
      <c r="M916" s="16">
        <v>156.404</v>
      </c>
    </row>
    <row r="917" spans="1:13" s="5" customFormat="1" x14ac:dyDescent="0.25">
      <c r="A917" s="12" t="s">
        <v>1805</v>
      </c>
      <c r="B917" s="13" t="s">
        <v>1806</v>
      </c>
      <c r="C917" s="14">
        <v>45025</v>
      </c>
      <c r="D917" s="13">
        <v>2023</v>
      </c>
      <c r="E917" s="13" t="s">
        <v>3347</v>
      </c>
      <c r="F917" s="13" t="s">
        <v>34</v>
      </c>
      <c r="G917" s="15">
        <v>1846.59</v>
      </c>
      <c r="H917" s="15">
        <v>1846.59</v>
      </c>
      <c r="I917" s="13">
        <v>10</v>
      </c>
      <c r="J917" s="13">
        <v>10</v>
      </c>
      <c r="K917" s="13" t="s">
        <v>18</v>
      </c>
      <c r="L917" s="15">
        <v>184.65899999999999</v>
      </c>
      <c r="M917" s="16">
        <v>184.65899999999999</v>
      </c>
    </row>
    <row r="918" spans="1:13" s="5" customFormat="1" x14ac:dyDescent="0.25">
      <c r="A918" s="12" t="s">
        <v>1807</v>
      </c>
      <c r="B918" s="13" t="s">
        <v>1808</v>
      </c>
      <c r="C918" s="14">
        <v>45622</v>
      </c>
      <c r="D918" s="13">
        <v>2024</v>
      </c>
      <c r="E918" s="13" t="s">
        <v>21</v>
      </c>
      <c r="F918" s="13" t="s">
        <v>34</v>
      </c>
      <c r="G918" s="15">
        <v>371.79</v>
      </c>
      <c r="H918" s="15">
        <v>371.79</v>
      </c>
      <c r="I918" s="13"/>
      <c r="J918" s="13">
        <v>2</v>
      </c>
      <c r="K918" s="13" t="s">
        <v>35</v>
      </c>
      <c r="L918" s="15">
        <v>185.89500000000001</v>
      </c>
      <c r="M918" s="16">
        <v>164.04357142857143</v>
      </c>
    </row>
    <row r="919" spans="1:13" s="5" customFormat="1" x14ac:dyDescent="0.25">
      <c r="A919" s="12" t="s">
        <v>1809</v>
      </c>
      <c r="B919" s="13" t="s">
        <v>1231</v>
      </c>
      <c r="C919" s="14">
        <v>44956</v>
      </c>
      <c r="D919" s="13">
        <v>2023</v>
      </c>
      <c r="E919" s="13" t="s">
        <v>10</v>
      </c>
      <c r="F919" s="13" t="s">
        <v>22</v>
      </c>
      <c r="G919" s="15">
        <v>203.08</v>
      </c>
      <c r="H919" s="15">
        <v>203.08</v>
      </c>
      <c r="I919" s="13">
        <v>4</v>
      </c>
      <c r="J919" s="13">
        <v>4</v>
      </c>
      <c r="K919" s="13" t="s">
        <v>35</v>
      </c>
      <c r="L919" s="15">
        <v>50.77</v>
      </c>
      <c r="M919" s="16">
        <v>50.77</v>
      </c>
    </row>
    <row r="920" spans="1:13" s="5" customFormat="1" x14ac:dyDescent="0.25">
      <c r="A920" s="12" t="s">
        <v>1810</v>
      </c>
      <c r="B920" s="13" t="s">
        <v>1811</v>
      </c>
      <c r="C920" s="14">
        <v>45549</v>
      </c>
      <c r="D920" s="13">
        <v>2024</v>
      </c>
      <c r="E920" s="13" t="s">
        <v>14</v>
      </c>
      <c r="F920" s="13" t="s">
        <v>11</v>
      </c>
      <c r="G920" s="15">
        <v>322.77999999999997</v>
      </c>
      <c r="H920" s="15">
        <v>322.77999999999997</v>
      </c>
      <c r="I920" s="13">
        <v>7</v>
      </c>
      <c r="J920" s="13">
        <v>7</v>
      </c>
      <c r="K920" s="13" t="s">
        <v>3346</v>
      </c>
      <c r="L920" s="15">
        <v>46.111428571428569</v>
      </c>
      <c r="M920" s="16">
        <v>46.111428571428569</v>
      </c>
    </row>
    <row r="921" spans="1:13" s="5" customFormat="1" x14ac:dyDescent="0.25">
      <c r="A921" s="12" t="s">
        <v>1812</v>
      </c>
      <c r="B921" s="13" t="s">
        <v>1813</v>
      </c>
      <c r="C921" s="14">
        <v>45143</v>
      </c>
      <c r="D921" s="13">
        <v>2023</v>
      </c>
      <c r="E921" s="13" t="s">
        <v>3347</v>
      </c>
      <c r="F921" s="13" t="s">
        <v>34</v>
      </c>
      <c r="G921" s="15">
        <v>746.44</v>
      </c>
      <c r="H921" s="15">
        <v>746.44</v>
      </c>
      <c r="I921" s="13">
        <v>7</v>
      </c>
      <c r="J921" s="13">
        <v>7</v>
      </c>
      <c r="K921" s="13" t="s">
        <v>15</v>
      </c>
      <c r="L921" s="15">
        <v>106.63428571428572</v>
      </c>
      <c r="M921" s="16">
        <v>106.63428571428572</v>
      </c>
    </row>
    <row r="922" spans="1:13" s="5" customFormat="1" x14ac:dyDescent="0.25">
      <c r="A922" s="12" t="s">
        <v>1814</v>
      </c>
      <c r="B922" s="13" t="s">
        <v>1815</v>
      </c>
      <c r="C922" s="14">
        <v>44929</v>
      </c>
      <c r="D922" s="13">
        <v>2023</v>
      </c>
      <c r="E922" s="13" t="s">
        <v>21</v>
      </c>
      <c r="F922" s="13" t="s">
        <v>25</v>
      </c>
      <c r="G922" s="15">
        <v>1209.55</v>
      </c>
      <c r="H922" s="15">
        <v>1209.55</v>
      </c>
      <c r="I922" s="13">
        <v>5</v>
      </c>
      <c r="J922" s="13">
        <v>5</v>
      </c>
      <c r="K922" s="13" t="s">
        <v>35</v>
      </c>
      <c r="L922" s="15">
        <v>241.91</v>
      </c>
      <c r="M922" s="16">
        <v>241.91</v>
      </c>
    </row>
    <row r="923" spans="1:13" s="5" customFormat="1" x14ac:dyDescent="0.25">
      <c r="A923" s="12" t="s">
        <v>1816</v>
      </c>
      <c r="B923" s="13" t="s">
        <v>1817</v>
      </c>
      <c r="C923" s="14">
        <v>45919</v>
      </c>
      <c r="D923" s="13">
        <v>2025</v>
      </c>
      <c r="E923" s="13" t="s">
        <v>3347</v>
      </c>
      <c r="F923" s="13" t="s">
        <v>11</v>
      </c>
      <c r="G923" s="15">
        <v>485.86</v>
      </c>
      <c r="H923" s="15">
        <v>485.86</v>
      </c>
      <c r="I923" s="13"/>
      <c r="J923" s="13">
        <v>1</v>
      </c>
      <c r="K923" s="13" t="s">
        <v>18</v>
      </c>
      <c r="L923" s="15">
        <v>485.86</v>
      </c>
      <c r="M923" s="16">
        <v>366.13541666666663</v>
      </c>
    </row>
    <row r="924" spans="1:13" s="5" customFormat="1" x14ac:dyDescent="0.25">
      <c r="A924" s="12" t="s">
        <v>1818</v>
      </c>
      <c r="B924" s="13" t="s">
        <v>1819</v>
      </c>
      <c r="C924" s="14">
        <v>45081</v>
      </c>
      <c r="D924" s="13">
        <v>2023</v>
      </c>
      <c r="E924" s="13" t="s">
        <v>3347</v>
      </c>
      <c r="F924" s="13" t="s">
        <v>22</v>
      </c>
      <c r="G924" s="15">
        <v>1091.1400000000001</v>
      </c>
      <c r="H924" s="15">
        <v>1091.1400000000001</v>
      </c>
      <c r="I924" s="13">
        <v>3</v>
      </c>
      <c r="J924" s="13">
        <v>3</v>
      </c>
      <c r="K924" s="13" t="s">
        <v>3346</v>
      </c>
      <c r="L924" s="15">
        <v>363.71333333333337</v>
      </c>
      <c r="M924" s="16">
        <v>363.71333333333337</v>
      </c>
    </row>
    <row r="925" spans="1:13" s="5" customFormat="1" x14ac:dyDescent="0.25">
      <c r="A925" s="12" t="s">
        <v>1820</v>
      </c>
      <c r="B925" s="13" t="s">
        <v>1821</v>
      </c>
      <c r="C925" s="14">
        <v>45330</v>
      </c>
      <c r="D925" s="13">
        <v>2024</v>
      </c>
      <c r="E925" s="13" t="s">
        <v>14</v>
      </c>
      <c r="F925" s="13" t="s">
        <v>34</v>
      </c>
      <c r="G925" s="15">
        <v>389.87</v>
      </c>
      <c r="H925" s="15">
        <v>389.87</v>
      </c>
      <c r="I925" s="13">
        <v>2</v>
      </c>
      <c r="J925" s="13">
        <v>2</v>
      </c>
      <c r="K925" s="13" t="s">
        <v>35</v>
      </c>
      <c r="L925" s="15">
        <v>194.935</v>
      </c>
      <c r="M925" s="16">
        <v>194.935</v>
      </c>
    </row>
    <row r="926" spans="1:13" s="5" customFormat="1" x14ac:dyDescent="0.25">
      <c r="A926" s="12" t="s">
        <v>1822</v>
      </c>
      <c r="B926" s="13" t="s">
        <v>1823</v>
      </c>
      <c r="C926" s="14">
        <v>45697</v>
      </c>
      <c r="D926" s="13">
        <v>2025</v>
      </c>
      <c r="E926" s="13" t="s">
        <v>10</v>
      </c>
      <c r="F926" s="13" t="s">
        <v>11</v>
      </c>
      <c r="G926" s="15">
        <v>522.04999999999995</v>
      </c>
      <c r="H926" s="15">
        <v>522.04999999999995</v>
      </c>
      <c r="I926" s="13">
        <v>3</v>
      </c>
      <c r="J926" s="13">
        <v>3</v>
      </c>
      <c r="K926" s="13" t="s">
        <v>3348</v>
      </c>
      <c r="L926" s="15">
        <v>174.01666666666665</v>
      </c>
      <c r="M926" s="16">
        <v>174.01666666666665</v>
      </c>
    </row>
    <row r="927" spans="1:13" s="5" customFormat="1" x14ac:dyDescent="0.25">
      <c r="A927" s="12" t="s">
        <v>1824</v>
      </c>
      <c r="B927" s="13" t="s">
        <v>1825</v>
      </c>
      <c r="C927" s="14">
        <v>45732</v>
      </c>
      <c r="D927" s="13">
        <v>2025</v>
      </c>
      <c r="E927" s="13" t="s">
        <v>21</v>
      </c>
      <c r="F927" s="13" t="s">
        <v>34</v>
      </c>
      <c r="G927" s="15"/>
      <c r="H927" s="15">
        <v>177.42493333333331</v>
      </c>
      <c r="I927" s="13">
        <v>1</v>
      </c>
      <c r="J927" s="13">
        <v>1</v>
      </c>
      <c r="K927" s="13" t="s">
        <v>3346</v>
      </c>
      <c r="L927" s="15">
        <v>177.42493333333331</v>
      </c>
      <c r="M927" s="16">
        <v>177.42493333333331</v>
      </c>
    </row>
    <row r="928" spans="1:13" s="5" customFormat="1" x14ac:dyDescent="0.25">
      <c r="A928" s="12" t="s">
        <v>1826</v>
      </c>
      <c r="B928" s="13" t="s">
        <v>1827</v>
      </c>
      <c r="C928" s="14">
        <v>45937</v>
      </c>
      <c r="D928" s="13">
        <v>2025</v>
      </c>
      <c r="E928" s="13" t="s">
        <v>10</v>
      </c>
      <c r="F928" s="13" t="s">
        <v>22</v>
      </c>
      <c r="G928" s="15">
        <v>1528.8</v>
      </c>
      <c r="H928" s="15">
        <v>1528.8</v>
      </c>
      <c r="I928" s="13">
        <v>8</v>
      </c>
      <c r="J928" s="13">
        <v>8</v>
      </c>
      <c r="K928" s="13" t="s">
        <v>35</v>
      </c>
      <c r="L928" s="15">
        <v>191.1</v>
      </c>
      <c r="M928" s="16">
        <v>191.1</v>
      </c>
    </row>
    <row r="929" spans="1:13" s="5" customFormat="1" x14ac:dyDescent="0.25">
      <c r="A929" s="12" t="s">
        <v>1828</v>
      </c>
      <c r="B929" s="13" t="s">
        <v>726</v>
      </c>
      <c r="C929" s="14">
        <v>44857</v>
      </c>
      <c r="D929" s="13">
        <v>2022</v>
      </c>
      <c r="E929" s="13" t="s">
        <v>3347</v>
      </c>
      <c r="F929" s="13" t="s">
        <v>25</v>
      </c>
      <c r="G929" s="15">
        <v>155.52000000000001</v>
      </c>
      <c r="H929" s="15">
        <v>155.52000000000001</v>
      </c>
      <c r="I929" s="13">
        <v>1</v>
      </c>
      <c r="J929" s="13">
        <v>1</v>
      </c>
      <c r="K929" s="13" t="s">
        <v>35</v>
      </c>
      <c r="L929" s="15">
        <v>155.52000000000001</v>
      </c>
      <c r="M929" s="16">
        <v>155.52000000000001</v>
      </c>
    </row>
    <row r="930" spans="1:13" s="5" customFormat="1" x14ac:dyDescent="0.25">
      <c r="A930" s="12" t="s">
        <v>1829</v>
      </c>
      <c r="B930" s="13" t="s">
        <v>1830</v>
      </c>
      <c r="C930" s="14">
        <v>44858</v>
      </c>
      <c r="D930" s="13">
        <v>2022</v>
      </c>
      <c r="E930" s="13" t="s">
        <v>3347</v>
      </c>
      <c r="F930" s="13" t="s">
        <v>22</v>
      </c>
      <c r="G930" s="15">
        <v>1625.83</v>
      </c>
      <c r="H930" s="15">
        <v>1625.83</v>
      </c>
      <c r="I930" s="13">
        <v>2</v>
      </c>
      <c r="J930" s="13">
        <v>2</v>
      </c>
      <c r="K930" s="13" t="s">
        <v>3348</v>
      </c>
      <c r="L930" s="15">
        <v>812.91499999999996</v>
      </c>
      <c r="M930" s="16">
        <v>812.91499999999996</v>
      </c>
    </row>
    <row r="931" spans="1:13" s="5" customFormat="1" x14ac:dyDescent="0.25">
      <c r="A931" s="12" t="s">
        <v>1831</v>
      </c>
      <c r="B931" s="13" t="s">
        <v>1832</v>
      </c>
      <c r="C931" s="14">
        <v>45392</v>
      </c>
      <c r="D931" s="13">
        <v>2024</v>
      </c>
      <c r="E931" s="13" t="s">
        <v>10</v>
      </c>
      <c r="F931" s="13" t="s">
        <v>22</v>
      </c>
      <c r="G931" s="15">
        <v>382.53</v>
      </c>
      <c r="H931" s="15">
        <v>382.53</v>
      </c>
      <c r="I931" s="13">
        <v>5</v>
      </c>
      <c r="J931" s="13">
        <v>5</v>
      </c>
      <c r="K931" s="13" t="s">
        <v>3346</v>
      </c>
      <c r="L931" s="15">
        <v>76.506</v>
      </c>
      <c r="M931" s="16">
        <v>76.506</v>
      </c>
    </row>
    <row r="932" spans="1:13" s="5" customFormat="1" x14ac:dyDescent="0.25">
      <c r="A932" s="12" t="s">
        <v>1833</v>
      </c>
      <c r="B932" s="13" t="s">
        <v>1834</v>
      </c>
      <c r="C932" s="14">
        <v>45375</v>
      </c>
      <c r="D932" s="13">
        <v>2024</v>
      </c>
      <c r="E932" s="13" t="s">
        <v>3347</v>
      </c>
      <c r="F932" s="13" t="s">
        <v>11</v>
      </c>
      <c r="G932" s="15">
        <v>1299.1600000000001</v>
      </c>
      <c r="H932" s="15">
        <v>1299.1600000000001</v>
      </c>
      <c r="I932" s="13">
        <v>7</v>
      </c>
      <c r="J932" s="13">
        <v>7</v>
      </c>
      <c r="K932" s="13" t="s">
        <v>3348</v>
      </c>
      <c r="L932" s="15">
        <v>185.59428571428572</v>
      </c>
      <c r="M932" s="16">
        <v>185.59428571428572</v>
      </c>
    </row>
    <row r="933" spans="1:13" s="5" customFormat="1" x14ac:dyDescent="0.25">
      <c r="A933" s="12" t="s">
        <v>1835</v>
      </c>
      <c r="B933" s="13" t="s">
        <v>1836</v>
      </c>
      <c r="C933" s="14">
        <v>44927</v>
      </c>
      <c r="D933" s="13">
        <v>2023</v>
      </c>
      <c r="E933" s="13" t="s">
        <v>14</v>
      </c>
      <c r="F933" s="13" t="s">
        <v>11</v>
      </c>
      <c r="G933" s="15">
        <v>687.13</v>
      </c>
      <c r="H933" s="15">
        <v>687.13</v>
      </c>
      <c r="I933" s="13">
        <v>9</v>
      </c>
      <c r="J933" s="13">
        <v>9</v>
      </c>
      <c r="K933" s="13" t="s">
        <v>15</v>
      </c>
      <c r="L933" s="15">
        <v>76.347777777777779</v>
      </c>
      <c r="M933" s="16">
        <v>76.347777777777779</v>
      </c>
    </row>
    <row r="934" spans="1:13" s="5" customFormat="1" x14ac:dyDescent="0.25">
      <c r="A934" s="12" t="s">
        <v>1837</v>
      </c>
      <c r="B934" s="13" t="s">
        <v>1838</v>
      </c>
      <c r="C934" s="14">
        <v>44969</v>
      </c>
      <c r="D934" s="13">
        <v>2023</v>
      </c>
      <c r="E934" s="13" t="s">
        <v>10</v>
      </c>
      <c r="F934" s="13" t="s">
        <v>22</v>
      </c>
      <c r="G934" s="15">
        <v>975.19</v>
      </c>
      <c r="H934" s="15">
        <v>975.19</v>
      </c>
      <c r="I934" s="13">
        <v>5</v>
      </c>
      <c r="J934" s="13">
        <v>5</v>
      </c>
      <c r="K934" s="13" t="s">
        <v>3348</v>
      </c>
      <c r="L934" s="15">
        <v>195.03800000000001</v>
      </c>
      <c r="M934" s="16">
        <v>195.03800000000001</v>
      </c>
    </row>
    <row r="935" spans="1:13" s="5" customFormat="1" x14ac:dyDescent="0.25">
      <c r="A935" s="12" t="s">
        <v>1839</v>
      </c>
      <c r="B935" s="13" t="s">
        <v>1840</v>
      </c>
      <c r="C935" s="14">
        <v>45855</v>
      </c>
      <c r="D935" s="13">
        <v>2025</v>
      </c>
      <c r="E935" s="13" t="s">
        <v>3347</v>
      </c>
      <c r="F935" s="13" t="s">
        <v>34</v>
      </c>
      <c r="G935" s="15"/>
      <c r="H935" s="15">
        <v>778.69624999999985</v>
      </c>
      <c r="I935" s="13">
        <v>4</v>
      </c>
      <c r="J935" s="13">
        <v>4</v>
      </c>
      <c r="K935" s="13" t="s">
        <v>3348</v>
      </c>
      <c r="L935" s="15">
        <v>194.67406249999996</v>
      </c>
      <c r="M935" s="16">
        <v>194.67406249999996</v>
      </c>
    </row>
    <row r="936" spans="1:13" s="5" customFormat="1" x14ac:dyDescent="0.25">
      <c r="A936" s="12" t="s">
        <v>1841</v>
      </c>
      <c r="B936" s="13" t="s">
        <v>1842</v>
      </c>
      <c r="C936" s="14">
        <v>45321</v>
      </c>
      <c r="D936" s="13">
        <v>2024</v>
      </c>
      <c r="E936" s="13" t="s">
        <v>3347</v>
      </c>
      <c r="F936" s="13" t="s">
        <v>11</v>
      </c>
      <c r="G936" s="15"/>
      <c r="H936" s="15">
        <v>1446.4913333333332</v>
      </c>
      <c r="I936" s="13">
        <v>6</v>
      </c>
      <c r="J936" s="13">
        <v>6</v>
      </c>
      <c r="K936" s="13" t="s">
        <v>18</v>
      </c>
      <c r="L936" s="15">
        <v>241.08188888888887</v>
      </c>
      <c r="M936" s="16">
        <v>241.08188888888887</v>
      </c>
    </row>
    <row r="937" spans="1:13" s="5" customFormat="1" x14ac:dyDescent="0.25">
      <c r="A937" s="12" t="s">
        <v>1843</v>
      </c>
      <c r="B937" s="13" t="s">
        <v>1844</v>
      </c>
      <c r="C937" s="14">
        <v>45006</v>
      </c>
      <c r="D937" s="13">
        <v>2023</v>
      </c>
      <c r="E937" s="13" t="s">
        <v>21</v>
      </c>
      <c r="F937" s="13" t="s">
        <v>34</v>
      </c>
      <c r="G937" s="15">
        <v>443.1</v>
      </c>
      <c r="H937" s="15">
        <v>443.1</v>
      </c>
      <c r="I937" s="13">
        <v>7</v>
      </c>
      <c r="J937" s="13">
        <v>7</v>
      </c>
      <c r="K937" s="13" t="s">
        <v>3348</v>
      </c>
      <c r="L937" s="15">
        <v>63.300000000000004</v>
      </c>
      <c r="M937" s="16">
        <v>63.300000000000004</v>
      </c>
    </row>
    <row r="938" spans="1:13" s="5" customFormat="1" x14ac:dyDescent="0.25">
      <c r="A938" s="12" t="s">
        <v>1845</v>
      </c>
      <c r="B938" s="13" t="s">
        <v>1846</v>
      </c>
      <c r="C938" s="14">
        <v>45502</v>
      </c>
      <c r="D938" s="13">
        <v>2024</v>
      </c>
      <c r="E938" s="13" t="s">
        <v>14</v>
      </c>
      <c r="F938" s="13" t="s">
        <v>11</v>
      </c>
      <c r="G938" s="15"/>
      <c r="H938" s="15">
        <v>548.82742857142853</v>
      </c>
      <c r="I938" s="13">
        <v>9</v>
      </c>
      <c r="J938" s="13">
        <v>9</v>
      </c>
      <c r="K938" s="13" t="s">
        <v>18</v>
      </c>
      <c r="L938" s="15">
        <v>60.980825396825395</v>
      </c>
      <c r="M938" s="16">
        <v>60.980825396825395</v>
      </c>
    </row>
    <row r="939" spans="1:13" s="5" customFormat="1" x14ac:dyDescent="0.25">
      <c r="A939" s="12" t="s">
        <v>1847</v>
      </c>
      <c r="B939" s="13" t="s">
        <v>1848</v>
      </c>
      <c r="C939" s="14">
        <v>45852</v>
      </c>
      <c r="D939" s="13">
        <v>2025</v>
      </c>
      <c r="E939" s="13" t="s">
        <v>3347</v>
      </c>
      <c r="F939" s="13" t="s">
        <v>25</v>
      </c>
      <c r="G939" s="15">
        <v>1470.47</v>
      </c>
      <c r="H939" s="15">
        <v>1470.47</v>
      </c>
      <c r="I939" s="13">
        <v>7</v>
      </c>
      <c r="J939" s="13">
        <v>7</v>
      </c>
      <c r="K939" s="13" t="s">
        <v>18</v>
      </c>
      <c r="L939" s="15">
        <v>210.06714285714287</v>
      </c>
      <c r="M939" s="16">
        <v>210.06714285714287</v>
      </c>
    </row>
    <row r="940" spans="1:13" s="5" customFormat="1" x14ac:dyDescent="0.25">
      <c r="A940" s="12" t="s">
        <v>1849</v>
      </c>
      <c r="B940" s="13" t="s">
        <v>1850</v>
      </c>
      <c r="C940" s="14">
        <v>45058</v>
      </c>
      <c r="D940" s="13">
        <v>2023</v>
      </c>
      <c r="E940" s="13" t="s">
        <v>10</v>
      </c>
      <c r="F940" s="13" t="s">
        <v>34</v>
      </c>
      <c r="G940" s="15">
        <v>242.29</v>
      </c>
      <c r="H940" s="15">
        <v>242.29</v>
      </c>
      <c r="I940" s="13">
        <v>3</v>
      </c>
      <c r="J940" s="13">
        <v>3</v>
      </c>
      <c r="K940" s="13" t="s">
        <v>15</v>
      </c>
      <c r="L940" s="15">
        <v>80.763333333333335</v>
      </c>
      <c r="M940" s="16">
        <v>80.763333333333335</v>
      </c>
    </row>
    <row r="941" spans="1:13" s="5" customFormat="1" x14ac:dyDescent="0.25">
      <c r="A941" s="12" t="s">
        <v>1851</v>
      </c>
      <c r="B941" s="13" t="s">
        <v>1852</v>
      </c>
      <c r="C941" s="14">
        <v>45797</v>
      </c>
      <c r="D941" s="13">
        <v>2025</v>
      </c>
      <c r="E941" s="13" t="s">
        <v>21</v>
      </c>
      <c r="F941" s="13" t="s">
        <v>22</v>
      </c>
      <c r="G941" s="15">
        <v>1861.59</v>
      </c>
      <c r="H941" s="15">
        <v>1861.59</v>
      </c>
      <c r="I941" s="13">
        <v>2</v>
      </c>
      <c r="J941" s="13">
        <v>2</v>
      </c>
      <c r="K941" s="13" t="s">
        <v>3346</v>
      </c>
      <c r="L941" s="15">
        <v>930.79499999999996</v>
      </c>
      <c r="M941" s="16">
        <v>930.79499999999996</v>
      </c>
    </row>
    <row r="942" spans="1:13" s="5" customFormat="1" x14ac:dyDescent="0.25">
      <c r="A942" s="12" t="s">
        <v>1853</v>
      </c>
      <c r="B942" s="13" t="s">
        <v>1854</v>
      </c>
      <c r="C942" s="14">
        <v>45898</v>
      </c>
      <c r="D942" s="13">
        <v>2025</v>
      </c>
      <c r="E942" s="13" t="s">
        <v>21</v>
      </c>
      <c r="F942" s="13" t="s">
        <v>11</v>
      </c>
      <c r="G942" s="15"/>
      <c r="H942" s="15">
        <v>341.37267857142854</v>
      </c>
      <c r="I942" s="13">
        <v>3</v>
      </c>
      <c r="J942" s="13">
        <v>3</v>
      </c>
      <c r="K942" s="13" t="s">
        <v>3346</v>
      </c>
      <c r="L942" s="15">
        <v>113.79089285714285</v>
      </c>
      <c r="M942" s="16">
        <v>113.79089285714285</v>
      </c>
    </row>
    <row r="943" spans="1:13" s="5" customFormat="1" x14ac:dyDescent="0.25">
      <c r="A943" s="12" t="s">
        <v>1855</v>
      </c>
      <c r="B943" s="13" t="s">
        <v>1856</v>
      </c>
      <c r="C943" s="14">
        <v>45878</v>
      </c>
      <c r="D943" s="13">
        <v>2025</v>
      </c>
      <c r="E943" s="13" t="s">
        <v>14</v>
      </c>
      <c r="F943" s="13" t="s">
        <v>22</v>
      </c>
      <c r="G943" s="15">
        <v>1040.8699999999999</v>
      </c>
      <c r="H943" s="15">
        <v>1040.8699999999999</v>
      </c>
      <c r="I943" s="13">
        <v>5</v>
      </c>
      <c r="J943" s="13">
        <v>5</v>
      </c>
      <c r="K943" s="13" t="s">
        <v>3348</v>
      </c>
      <c r="L943" s="15">
        <v>208.17399999999998</v>
      </c>
      <c r="M943" s="16">
        <v>208.17399999999998</v>
      </c>
    </row>
    <row r="944" spans="1:13" s="5" customFormat="1" x14ac:dyDescent="0.25">
      <c r="A944" s="12" t="s">
        <v>1857</v>
      </c>
      <c r="B944" s="13" t="s">
        <v>1858</v>
      </c>
      <c r="C944" s="14">
        <v>45905</v>
      </c>
      <c r="D944" s="13">
        <v>2025</v>
      </c>
      <c r="E944" s="13" t="s">
        <v>3347</v>
      </c>
      <c r="F944" s="13" t="s">
        <v>22</v>
      </c>
      <c r="G944" s="15">
        <v>1627.3</v>
      </c>
      <c r="H944" s="15">
        <v>1627.3</v>
      </c>
      <c r="I944" s="13">
        <v>5</v>
      </c>
      <c r="J944" s="13">
        <v>5</v>
      </c>
      <c r="K944" s="13" t="s">
        <v>3348</v>
      </c>
      <c r="L944" s="15">
        <v>325.45999999999998</v>
      </c>
      <c r="M944" s="16">
        <v>325.45999999999998</v>
      </c>
    </row>
    <row r="945" spans="1:13" s="5" customFormat="1" x14ac:dyDescent="0.25">
      <c r="A945" s="12" t="s">
        <v>1859</v>
      </c>
      <c r="B945" s="13" t="s">
        <v>1860</v>
      </c>
      <c r="C945" s="14">
        <v>45108</v>
      </c>
      <c r="D945" s="13">
        <v>2023</v>
      </c>
      <c r="E945" s="13" t="s">
        <v>14</v>
      </c>
      <c r="F945" s="13" t="s">
        <v>22</v>
      </c>
      <c r="G945" s="15">
        <v>493.98</v>
      </c>
      <c r="H945" s="15">
        <v>493.98</v>
      </c>
      <c r="I945" s="13">
        <v>8</v>
      </c>
      <c r="J945" s="13">
        <v>8</v>
      </c>
      <c r="K945" s="13" t="s">
        <v>3348</v>
      </c>
      <c r="L945" s="15">
        <v>61.747500000000002</v>
      </c>
      <c r="M945" s="16">
        <v>61.747500000000002</v>
      </c>
    </row>
    <row r="946" spans="1:13" s="5" customFormat="1" x14ac:dyDescent="0.25">
      <c r="A946" s="12" t="s">
        <v>1861</v>
      </c>
      <c r="B946" s="13" t="s">
        <v>1862</v>
      </c>
      <c r="C946" s="14">
        <v>45816</v>
      </c>
      <c r="D946" s="13">
        <v>2025</v>
      </c>
      <c r="E946" s="13" t="s">
        <v>14</v>
      </c>
      <c r="F946" s="13" t="s">
        <v>25</v>
      </c>
      <c r="G946" s="15">
        <v>1021.51</v>
      </c>
      <c r="H946" s="15">
        <v>1021.51</v>
      </c>
      <c r="I946" s="13">
        <v>5</v>
      </c>
      <c r="J946" s="13">
        <v>5</v>
      </c>
      <c r="K946" s="13" t="s">
        <v>15</v>
      </c>
      <c r="L946" s="15">
        <v>204.30199999999999</v>
      </c>
      <c r="M946" s="16">
        <v>204.30199999999999</v>
      </c>
    </row>
    <row r="947" spans="1:13" s="5" customFormat="1" x14ac:dyDescent="0.25">
      <c r="A947" s="12" t="s">
        <v>1863</v>
      </c>
      <c r="B947" s="13" t="s">
        <v>1864</v>
      </c>
      <c r="C947" s="14">
        <v>45050</v>
      </c>
      <c r="D947" s="13">
        <v>2023</v>
      </c>
      <c r="E947" s="13" t="s">
        <v>10</v>
      </c>
      <c r="F947" s="13" t="s">
        <v>11</v>
      </c>
      <c r="G947" s="15">
        <v>565.1</v>
      </c>
      <c r="H947" s="15">
        <v>565.1</v>
      </c>
      <c r="I947" s="13">
        <v>8</v>
      </c>
      <c r="J947" s="13">
        <v>8</v>
      </c>
      <c r="K947" s="13" t="s">
        <v>3346</v>
      </c>
      <c r="L947" s="15">
        <v>70.637500000000003</v>
      </c>
      <c r="M947" s="16">
        <v>70.637500000000003</v>
      </c>
    </row>
    <row r="948" spans="1:13" s="5" customFormat="1" x14ac:dyDescent="0.25">
      <c r="A948" s="12" t="s">
        <v>1865</v>
      </c>
      <c r="B948" s="13" t="s">
        <v>1866</v>
      </c>
      <c r="C948" s="14">
        <v>45828</v>
      </c>
      <c r="D948" s="13">
        <v>2025</v>
      </c>
      <c r="E948" s="13" t="s">
        <v>14</v>
      </c>
      <c r="F948" s="13" t="s">
        <v>11</v>
      </c>
      <c r="G948" s="15">
        <v>1988.82</v>
      </c>
      <c r="H948" s="15">
        <v>1988.82</v>
      </c>
      <c r="I948" s="13">
        <v>9</v>
      </c>
      <c r="J948" s="13">
        <v>9</v>
      </c>
      <c r="K948" s="13" t="s">
        <v>35</v>
      </c>
      <c r="L948" s="15">
        <v>220.98</v>
      </c>
      <c r="M948" s="16">
        <v>220.98</v>
      </c>
    </row>
    <row r="949" spans="1:13" s="5" customFormat="1" x14ac:dyDescent="0.25">
      <c r="A949" s="12" t="s">
        <v>1867</v>
      </c>
      <c r="B949" s="13" t="s">
        <v>1778</v>
      </c>
      <c r="C949" s="14">
        <v>45867</v>
      </c>
      <c r="D949" s="13">
        <v>2025</v>
      </c>
      <c r="E949" s="13" t="s">
        <v>10</v>
      </c>
      <c r="F949" s="13" t="s">
        <v>34</v>
      </c>
      <c r="G949" s="15">
        <v>159.55000000000001</v>
      </c>
      <c r="H949" s="15">
        <v>159.55000000000001</v>
      </c>
      <c r="I949" s="13">
        <v>1</v>
      </c>
      <c r="J949" s="13">
        <v>1</v>
      </c>
      <c r="K949" s="13" t="s">
        <v>18</v>
      </c>
      <c r="L949" s="15">
        <v>159.55000000000001</v>
      </c>
      <c r="M949" s="16">
        <v>159.55000000000001</v>
      </c>
    </row>
    <row r="950" spans="1:13" s="5" customFormat="1" x14ac:dyDescent="0.25">
      <c r="A950" s="12" t="s">
        <v>1868</v>
      </c>
      <c r="B950" s="13" t="s">
        <v>1869</v>
      </c>
      <c r="C950" s="14">
        <v>45825</v>
      </c>
      <c r="D950" s="13">
        <v>2025</v>
      </c>
      <c r="E950" s="13" t="s">
        <v>3347</v>
      </c>
      <c r="F950" s="13" t="s">
        <v>34</v>
      </c>
      <c r="G950" s="15">
        <v>1695.67</v>
      </c>
      <c r="H950" s="15">
        <v>1695.67</v>
      </c>
      <c r="I950" s="13">
        <v>2</v>
      </c>
      <c r="J950" s="13">
        <v>2</v>
      </c>
      <c r="K950" s="13" t="s">
        <v>3346</v>
      </c>
      <c r="L950" s="15">
        <v>847.83500000000004</v>
      </c>
      <c r="M950" s="16">
        <v>847.83500000000004</v>
      </c>
    </row>
    <row r="951" spans="1:13" s="5" customFormat="1" x14ac:dyDescent="0.25">
      <c r="A951" s="12" t="s">
        <v>1870</v>
      </c>
      <c r="B951" s="13" t="s">
        <v>1871</v>
      </c>
      <c r="C951" s="14">
        <v>45369</v>
      </c>
      <c r="D951" s="13">
        <v>2024</v>
      </c>
      <c r="E951" s="13" t="s">
        <v>21</v>
      </c>
      <c r="F951" s="13" t="s">
        <v>22</v>
      </c>
      <c r="G951" s="15">
        <v>626.92999999999995</v>
      </c>
      <c r="H951" s="15">
        <v>626.92999999999995</v>
      </c>
      <c r="I951" s="13">
        <v>2</v>
      </c>
      <c r="J951" s="13">
        <v>2</v>
      </c>
      <c r="K951" s="13" t="s">
        <v>15</v>
      </c>
      <c r="L951" s="15">
        <v>313.46499999999997</v>
      </c>
      <c r="M951" s="16">
        <v>313.46499999999997</v>
      </c>
    </row>
    <row r="952" spans="1:13" s="5" customFormat="1" x14ac:dyDescent="0.25">
      <c r="A952" s="12" t="s">
        <v>1872</v>
      </c>
      <c r="B952" s="13" t="s">
        <v>1873</v>
      </c>
      <c r="C952" s="14">
        <v>45395</v>
      </c>
      <c r="D952" s="13">
        <v>2024</v>
      </c>
      <c r="E952" s="13" t="s">
        <v>14</v>
      </c>
      <c r="F952" s="13" t="s">
        <v>11</v>
      </c>
      <c r="G952" s="15">
        <v>1773.39</v>
      </c>
      <c r="H952" s="15">
        <v>1773.39</v>
      </c>
      <c r="I952" s="13">
        <v>9</v>
      </c>
      <c r="J952" s="13">
        <v>9</v>
      </c>
      <c r="K952" s="13" t="s">
        <v>3346</v>
      </c>
      <c r="L952" s="15">
        <v>197.04333333333335</v>
      </c>
      <c r="M952" s="16">
        <v>197.04333333333335</v>
      </c>
    </row>
    <row r="953" spans="1:13" s="5" customFormat="1" x14ac:dyDescent="0.25">
      <c r="A953" s="12" t="s">
        <v>1874</v>
      </c>
      <c r="B953" s="13" t="s">
        <v>1875</v>
      </c>
      <c r="C953" s="14">
        <v>45818</v>
      </c>
      <c r="D953" s="13">
        <v>2025</v>
      </c>
      <c r="E953" s="13" t="s">
        <v>14</v>
      </c>
      <c r="F953" s="13" t="s">
        <v>25</v>
      </c>
      <c r="G953" s="15">
        <v>831.59</v>
      </c>
      <c r="H953" s="15">
        <v>831.59</v>
      </c>
      <c r="I953" s="13">
        <v>10</v>
      </c>
      <c r="J953" s="13">
        <v>10</v>
      </c>
      <c r="K953" s="13" t="s">
        <v>15</v>
      </c>
      <c r="L953" s="15">
        <v>83.159000000000006</v>
      </c>
      <c r="M953" s="16">
        <v>83.159000000000006</v>
      </c>
    </row>
    <row r="954" spans="1:13" s="5" customFormat="1" x14ac:dyDescent="0.25">
      <c r="A954" s="12" t="s">
        <v>1876</v>
      </c>
      <c r="B954" s="13" t="s">
        <v>1877</v>
      </c>
      <c r="C954" s="14">
        <v>45557</v>
      </c>
      <c r="D954" s="13">
        <v>2024</v>
      </c>
      <c r="E954" s="13" t="s">
        <v>10</v>
      </c>
      <c r="F954" s="13" t="s">
        <v>11</v>
      </c>
      <c r="G954" s="15">
        <v>795.89</v>
      </c>
      <c r="H954" s="15">
        <v>795.89</v>
      </c>
      <c r="I954" s="13">
        <v>2</v>
      </c>
      <c r="J954" s="13">
        <v>2</v>
      </c>
      <c r="K954" s="13" t="s">
        <v>15</v>
      </c>
      <c r="L954" s="15">
        <v>397.94499999999999</v>
      </c>
      <c r="M954" s="16">
        <v>397.94499999999999</v>
      </c>
    </row>
    <row r="955" spans="1:13" s="5" customFormat="1" x14ac:dyDescent="0.25">
      <c r="A955" s="12" t="s">
        <v>1878</v>
      </c>
      <c r="B955" s="13" t="s">
        <v>1879</v>
      </c>
      <c r="C955" s="14">
        <v>45858</v>
      </c>
      <c r="D955" s="13">
        <v>2025</v>
      </c>
      <c r="E955" s="13" t="s">
        <v>14</v>
      </c>
      <c r="F955" s="13" t="s">
        <v>22</v>
      </c>
      <c r="G955" s="15">
        <v>981.91</v>
      </c>
      <c r="H955" s="15">
        <v>981.91</v>
      </c>
      <c r="I955" s="13">
        <v>4</v>
      </c>
      <c r="J955" s="13">
        <v>4</v>
      </c>
      <c r="K955" s="13" t="s">
        <v>18</v>
      </c>
      <c r="L955" s="15">
        <v>245.47749999999999</v>
      </c>
      <c r="M955" s="16">
        <v>245.47749999999999</v>
      </c>
    </row>
    <row r="956" spans="1:13" s="5" customFormat="1" x14ac:dyDescent="0.25">
      <c r="A956" s="12" t="s">
        <v>1880</v>
      </c>
      <c r="B956" s="13" t="s">
        <v>1881</v>
      </c>
      <c r="C956" s="14">
        <v>45288</v>
      </c>
      <c r="D956" s="13">
        <v>2023</v>
      </c>
      <c r="E956" s="13" t="s">
        <v>21</v>
      </c>
      <c r="F956" s="13" t="s">
        <v>22</v>
      </c>
      <c r="G956" s="15">
        <v>889.59</v>
      </c>
      <c r="H956" s="15">
        <v>889.59</v>
      </c>
      <c r="I956" s="13">
        <v>6</v>
      </c>
      <c r="J956" s="13">
        <v>6</v>
      </c>
      <c r="K956" s="13" t="s">
        <v>15</v>
      </c>
      <c r="L956" s="15">
        <v>148.26500000000001</v>
      </c>
      <c r="M956" s="16">
        <v>148.26500000000001</v>
      </c>
    </row>
    <row r="957" spans="1:13" s="5" customFormat="1" x14ac:dyDescent="0.25">
      <c r="A957" s="12" t="s">
        <v>1882</v>
      </c>
      <c r="B957" s="13" t="s">
        <v>1883</v>
      </c>
      <c r="C957" s="14">
        <v>45493</v>
      </c>
      <c r="D957" s="13">
        <v>2024</v>
      </c>
      <c r="E957" s="13" t="s">
        <v>3347</v>
      </c>
      <c r="F957" s="13" t="s">
        <v>22</v>
      </c>
      <c r="G957" s="15"/>
      <c r="H957" s="15">
        <v>3068.2834591836736</v>
      </c>
      <c r="I957" s="13">
        <v>9</v>
      </c>
      <c r="J957" s="13">
        <v>9</v>
      </c>
      <c r="K957" s="13" t="s">
        <v>3346</v>
      </c>
      <c r="L957" s="15">
        <v>340.9203843537415</v>
      </c>
      <c r="M957" s="16">
        <v>340.9203843537415</v>
      </c>
    </row>
    <row r="958" spans="1:13" s="5" customFormat="1" x14ac:dyDescent="0.25">
      <c r="A958" s="12" t="s">
        <v>1884</v>
      </c>
      <c r="B958" s="13" t="s">
        <v>1885</v>
      </c>
      <c r="C958" s="14">
        <v>45704</v>
      </c>
      <c r="D958" s="13">
        <v>2025</v>
      </c>
      <c r="E958" s="13" t="s">
        <v>21</v>
      </c>
      <c r="F958" s="13" t="s">
        <v>34</v>
      </c>
      <c r="G958" s="15">
        <v>466.55</v>
      </c>
      <c r="H958" s="15">
        <v>466.55</v>
      </c>
      <c r="I958" s="13">
        <v>9</v>
      </c>
      <c r="J958" s="13">
        <v>9</v>
      </c>
      <c r="K958" s="13" t="s">
        <v>3346</v>
      </c>
      <c r="L958" s="15">
        <v>51.838888888888889</v>
      </c>
      <c r="M958" s="16">
        <v>51.838888888888889</v>
      </c>
    </row>
    <row r="959" spans="1:13" s="5" customFormat="1" x14ac:dyDescent="0.25">
      <c r="A959" s="12" t="s">
        <v>1886</v>
      </c>
      <c r="B959" s="13" t="s">
        <v>1532</v>
      </c>
      <c r="C959" s="14">
        <v>44993</v>
      </c>
      <c r="D959" s="13">
        <v>2023</v>
      </c>
      <c r="E959" s="13" t="s">
        <v>21</v>
      </c>
      <c r="F959" s="13" t="s">
        <v>22</v>
      </c>
      <c r="G959" s="15">
        <v>756.96</v>
      </c>
      <c r="H959" s="15">
        <v>756.96</v>
      </c>
      <c r="I959" s="13">
        <v>6</v>
      </c>
      <c r="J959" s="13">
        <v>6</v>
      </c>
      <c r="K959" s="13" t="s">
        <v>35</v>
      </c>
      <c r="L959" s="15">
        <v>126.16000000000001</v>
      </c>
      <c r="M959" s="16">
        <v>126.16000000000001</v>
      </c>
    </row>
    <row r="960" spans="1:13" s="5" customFormat="1" x14ac:dyDescent="0.25">
      <c r="A960" s="12" t="s">
        <v>1887</v>
      </c>
      <c r="B960" s="13" t="s">
        <v>1888</v>
      </c>
      <c r="C960" s="14">
        <v>45750</v>
      </c>
      <c r="D960" s="13">
        <v>2025</v>
      </c>
      <c r="E960" s="13" t="s">
        <v>10</v>
      </c>
      <c r="F960" s="13" t="s">
        <v>25</v>
      </c>
      <c r="G960" s="15">
        <v>1189.42</v>
      </c>
      <c r="H960" s="15">
        <v>1189.42</v>
      </c>
      <c r="I960" s="13">
        <v>1</v>
      </c>
      <c r="J960" s="13">
        <v>1</v>
      </c>
      <c r="K960" s="13" t="s">
        <v>3348</v>
      </c>
      <c r="L960" s="15">
        <v>1189.42</v>
      </c>
      <c r="M960" s="16">
        <v>1189.42</v>
      </c>
    </row>
    <row r="961" spans="1:13" s="5" customFormat="1" x14ac:dyDescent="0.25">
      <c r="A961" s="12" t="s">
        <v>1889</v>
      </c>
      <c r="B961" s="13" t="s">
        <v>1890</v>
      </c>
      <c r="C961" s="14">
        <v>45625</v>
      </c>
      <c r="D961" s="13">
        <v>2024</v>
      </c>
      <c r="E961" s="13" t="s">
        <v>10</v>
      </c>
      <c r="F961" s="13" t="s">
        <v>11</v>
      </c>
      <c r="G961" s="15">
        <v>292.33999999999997</v>
      </c>
      <c r="H961" s="15">
        <v>292.33999999999997</v>
      </c>
      <c r="I961" s="13">
        <v>10</v>
      </c>
      <c r="J961" s="13">
        <v>10</v>
      </c>
      <c r="K961" s="13" t="s">
        <v>18</v>
      </c>
      <c r="L961" s="15">
        <v>29.233999999999998</v>
      </c>
      <c r="M961" s="16">
        <v>29.233999999999998</v>
      </c>
    </row>
    <row r="962" spans="1:13" s="5" customFormat="1" x14ac:dyDescent="0.25">
      <c r="A962" s="12" t="s">
        <v>1891</v>
      </c>
      <c r="B962" s="13" t="s">
        <v>1892</v>
      </c>
      <c r="C962" s="14">
        <v>45021</v>
      </c>
      <c r="D962" s="13">
        <v>2023</v>
      </c>
      <c r="E962" s="13" t="s">
        <v>10</v>
      </c>
      <c r="F962" s="13" t="s">
        <v>22</v>
      </c>
      <c r="G962" s="15">
        <v>1968.2</v>
      </c>
      <c r="H962" s="15">
        <v>1968.2</v>
      </c>
      <c r="I962" s="13">
        <v>3</v>
      </c>
      <c r="J962" s="13">
        <v>3</v>
      </c>
      <c r="K962" s="13" t="s">
        <v>18</v>
      </c>
      <c r="L962" s="15">
        <v>656.06666666666672</v>
      </c>
      <c r="M962" s="16">
        <v>656.06666666666672</v>
      </c>
    </row>
    <row r="963" spans="1:13" s="5" customFormat="1" x14ac:dyDescent="0.25">
      <c r="A963" s="12" t="s">
        <v>1893</v>
      </c>
      <c r="B963" s="13" t="s">
        <v>1894</v>
      </c>
      <c r="C963" s="14">
        <v>45276</v>
      </c>
      <c r="D963" s="13">
        <v>2023</v>
      </c>
      <c r="E963" s="13" t="s">
        <v>10</v>
      </c>
      <c r="F963" s="13" t="s">
        <v>22</v>
      </c>
      <c r="G963" s="15">
        <v>1158.8399999999999</v>
      </c>
      <c r="H963" s="15">
        <v>1158.8399999999999</v>
      </c>
      <c r="I963" s="13">
        <v>4</v>
      </c>
      <c r="J963" s="13">
        <v>4</v>
      </c>
      <c r="K963" s="13" t="s">
        <v>15</v>
      </c>
      <c r="L963" s="15">
        <v>289.70999999999998</v>
      </c>
      <c r="M963" s="16">
        <v>289.70999999999998</v>
      </c>
    </row>
    <row r="964" spans="1:13" s="5" customFormat="1" x14ac:dyDescent="0.25">
      <c r="A964" s="12" t="s">
        <v>1895</v>
      </c>
      <c r="B964" s="13" t="s">
        <v>1896</v>
      </c>
      <c r="C964" s="14">
        <v>45684</v>
      </c>
      <c r="D964" s="13">
        <v>2025</v>
      </c>
      <c r="E964" s="13" t="s">
        <v>14</v>
      </c>
      <c r="F964" s="13" t="s">
        <v>22</v>
      </c>
      <c r="G964" s="15">
        <v>1019.21</v>
      </c>
      <c r="H964" s="15">
        <v>1019.21</v>
      </c>
      <c r="I964" s="13"/>
      <c r="J964" s="13">
        <v>2</v>
      </c>
      <c r="K964" s="13" t="s">
        <v>18</v>
      </c>
      <c r="L964" s="15">
        <v>509.60500000000002</v>
      </c>
      <c r="M964" s="16">
        <v>554.16966825396821</v>
      </c>
    </row>
    <row r="965" spans="1:13" s="5" customFormat="1" x14ac:dyDescent="0.25">
      <c r="A965" s="12" t="s">
        <v>1897</v>
      </c>
      <c r="B965" s="13" t="s">
        <v>1898</v>
      </c>
      <c r="C965" s="14">
        <v>45504</v>
      </c>
      <c r="D965" s="13">
        <v>2024</v>
      </c>
      <c r="E965" s="13" t="s">
        <v>21</v>
      </c>
      <c r="F965" s="13" t="s">
        <v>25</v>
      </c>
      <c r="G965" s="15">
        <v>1343.95</v>
      </c>
      <c r="H965" s="15">
        <v>1343.95</v>
      </c>
      <c r="I965" s="13">
        <v>1</v>
      </c>
      <c r="J965" s="13">
        <v>1</v>
      </c>
      <c r="K965" s="13" t="s">
        <v>3348</v>
      </c>
      <c r="L965" s="15">
        <v>1343.95</v>
      </c>
      <c r="M965" s="16">
        <v>1343.95</v>
      </c>
    </row>
    <row r="966" spans="1:13" s="5" customFormat="1" x14ac:dyDescent="0.25">
      <c r="A966" s="12" t="s">
        <v>1899</v>
      </c>
      <c r="B966" s="13" t="s">
        <v>1900</v>
      </c>
      <c r="C966" s="14">
        <v>44993</v>
      </c>
      <c r="D966" s="13">
        <v>2023</v>
      </c>
      <c r="E966" s="13" t="s">
        <v>3347</v>
      </c>
      <c r="F966" s="13" t="s">
        <v>34</v>
      </c>
      <c r="G966" s="15"/>
      <c r="H966" s="15">
        <v>3548.2821388888883</v>
      </c>
      <c r="I966" s="13">
        <v>8</v>
      </c>
      <c r="J966" s="13">
        <v>8</v>
      </c>
      <c r="K966" s="13" t="s">
        <v>3348</v>
      </c>
      <c r="L966" s="15">
        <v>540.57193055555558</v>
      </c>
      <c r="M966" s="16">
        <v>540.57193055555558</v>
      </c>
    </row>
    <row r="967" spans="1:13" s="5" customFormat="1" x14ac:dyDescent="0.25">
      <c r="A967" s="12" t="s">
        <v>1901</v>
      </c>
      <c r="B967" s="13" t="s">
        <v>1902</v>
      </c>
      <c r="C967" s="14">
        <v>45323</v>
      </c>
      <c r="D967" s="13">
        <v>2024</v>
      </c>
      <c r="E967" s="13" t="s">
        <v>3347</v>
      </c>
      <c r="F967" s="13" t="s">
        <v>34</v>
      </c>
      <c r="G967" s="15">
        <v>399.41</v>
      </c>
      <c r="H967" s="15">
        <v>399.41</v>
      </c>
      <c r="I967" s="13">
        <v>5</v>
      </c>
      <c r="J967" s="13">
        <v>5</v>
      </c>
      <c r="K967" s="13" t="s">
        <v>15</v>
      </c>
      <c r="L967" s="15">
        <v>79.882000000000005</v>
      </c>
      <c r="M967" s="16">
        <v>79.882000000000005</v>
      </c>
    </row>
    <row r="968" spans="1:13" s="5" customFormat="1" x14ac:dyDescent="0.25">
      <c r="A968" s="12" t="s">
        <v>1903</v>
      </c>
      <c r="B968" s="13" t="s">
        <v>1904</v>
      </c>
      <c r="C968" s="14">
        <v>45862</v>
      </c>
      <c r="D968" s="13">
        <v>2025</v>
      </c>
      <c r="E968" s="13" t="s">
        <v>3347</v>
      </c>
      <c r="F968" s="13" t="s">
        <v>11</v>
      </c>
      <c r="G968" s="15">
        <v>607.42999999999995</v>
      </c>
      <c r="H968" s="15">
        <v>607.42999999999995</v>
      </c>
      <c r="I968" s="13"/>
      <c r="J968" s="13">
        <v>1</v>
      </c>
      <c r="K968" s="13" t="s">
        <v>15</v>
      </c>
      <c r="L968" s="15">
        <v>607.42999999999995</v>
      </c>
      <c r="M968" s="16">
        <v>642.44020833333332</v>
      </c>
    </row>
    <row r="969" spans="1:13" s="5" customFormat="1" x14ac:dyDescent="0.25">
      <c r="A969" s="12" t="s">
        <v>1905</v>
      </c>
      <c r="B969" s="13" t="s">
        <v>1906</v>
      </c>
      <c r="C969" s="14">
        <v>45391</v>
      </c>
      <c r="D969" s="13">
        <v>2024</v>
      </c>
      <c r="E969" s="13" t="s">
        <v>3347</v>
      </c>
      <c r="F969" s="13" t="s">
        <v>34</v>
      </c>
      <c r="G969" s="15">
        <v>631.64</v>
      </c>
      <c r="H969" s="15">
        <v>631.64</v>
      </c>
      <c r="I969" s="13">
        <v>1</v>
      </c>
      <c r="J969" s="13">
        <v>1</v>
      </c>
      <c r="K969" s="13" t="s">
        <v>3346</v>
      </c>
      <c r="L969" s="15">
        <v>631.64</v>
      </c>
      <c r="M969" s="16">
        <v>631.64</v>
      </c>
    </row>
    <row r="970" spans="1:13" s="5" customFormat="1" x14ac:dyDescent="0.25">
      <c r="A970" s="12" t="s">
        <v>1907</v>
      </c>
      <c r="B970" s="13" t="s">
        <v>1908</v>
      </c>
      <c r="C970" s="14">
        <v>44869</v>
      </c>
      <c r="D970" s="13">
        <v>2022</v>
      </c>
      <c r="E970" s="13" t="s">
        <v>21</v>
      </c>
      <c r="F970" s="13" t="s">
        <v>22</v>
      </c>
      <c r="G970" s="15">
        <v>1545.58</v>
      </c>
      <c r="H970" s="15">
        <v>1545.58</v>
      </c>
      <c r="I970" s="13"/>
      <c r="J970" s="13">
        <v>8</v>
      </c>
      <c r="K970" s="13" t="s">
        <v>15</v>
      </c>
      <c r="L970" s="15">
        <v>193.19749999999999</v>
      </c>
      <c r="M970" s="16">
        <v>192.74857142857144</v>
      </c>
    </row>
    <row r="971" spans="1:13" s="5" customFormat="1" x14ac:dyDescent="0.25">
      <c r="A971" s="12" t="s">
        <v>1909</v>
      </c>
      <c r="B971" s="13" t="s">
        <v>1910</v>
      </c>
      <c r="C971" s="14">
        <v>45933</v>
      </c>
      <c r="D971" s="13">
        <v>2025</v>
      </c>
      <c r="E971" s="13" t="s">
        <v>21</v>
      </c>
      <c r="F971" s="13" t="s">
        <v>22</v>
      </c>
      <c r="G971" s="15">
        <v>400.61</v>
      </c>
      <c r="H971" s="15">
        <v>400.61</v>
      </c>
      <c r="I971" s="13">
        <v>10</v>
      </c>
      <c r="J971" s="13">
        <v>10</v>
      </c>
      <c r="K971" s="13" t="s">
        <v>3346</v>
      </c>
      <c r="L971" s="15">
        <v>40.061</v>
      </c>
      <c r="M971" s="16">
        <v>40.061</v>
      </c>
    </row>
    <row r="972" spans="1:13" s="5" customFormat="1" x14ac:dyDescent="0.25">
      <c r="A972" s="12" t="s">
        <v>1911</v>
      </c>
      <c r="B972" s="13" t="s">
        <v>1912</v>
      </c>
      <c r="C972" s="14">
        <v>45316</v>
      </c>
      <c r="D972" s="13">
        <v>2024</v>
      </c>
      <c r="E972" s="13" t="s">
        <v>21</v>
      </c>
      <c r="F972" s="13" t="s">
        <v>22</v>
      </c>
      <c r="G972" s="15">
        <v>1147.8</v>
      </c>
      <c r="H972" s="15">
        <v>1147.8</v>
      </c>
      <c r="I972" s="13">
        <v>1</v>
      </c>
      <c r="J972" s="13">
        <v>1</v>
      </c>
      <c r="K972" s="13" t="s">
        <v>15</v>
      </c>
      <c r="L972" s="15">
        <v>1147.8</v>
      </c>
      <c r="M972" s="16">
        <v>1147.8</v>
      </c>
    </row>
    <row r="973" spans="1:13" s="5" customFormat="1" x14ac:dyDescent="0.25">
      <c r="A973" s="12" t="s">
        <v>1913</v>
      </c>
      <c r="B973" s="13" t="s">
        <v>1914</v>
      </c>
      <c r="C973" s="14">
        <v>45659</v>
      </c>
      <c r="D973" s="13">
        <v>2025</v>
      </c>
      <c r="E973" s="13" t="s">
        <v>10</v>
      </c>
      <c r="F973" s="13" t="s">
        <v>22</v>
      </c>
      <c r="G973" s="15">
        <v>103.38</v>
      </c>
      <c r="H973" s="15">
        <v>103.38</v>
      </c>
      <c r="I973" s="13">
        <v>5</v>
      </c>
      <c r="J973" s="13">
        <v>5</v>
      </c>
      <c r="K973" s="13" t="s">
        <v>18</v>
      </c>
      <c r="L973" s="15">
        <v>20.675999999999998</v>
      </c>
      <c r="M973" s="16">
        <v>20.675999999999998</v>
      </c>
    </row>
    <row r="974" spans="1:13" s="5" customFormat="1" x14ac:dyDescent="0.25">
      <c r="A974" s="12" t="s">
        <v>1915</v>
      </c>
      <c r="B974" s="13" t="s">
        <v>1916</v>
      </c>
      <c r="C974" s="14">
        <v>44899</v>
      </c>
      <c r="D974" s="13">
        <v>2022</v>
      </c>
      <c r="E974" s="13" t="s">
        <v>10</v>
      </c>
      <c r="F974" s="13" t="s">
        <v>34</v>
      </c>
      <c r="G974" s="15">
        <v>1448.11</v>
      </c>
      <c r="H974" s="15">
        <v>1448.11</v>
      </c>
      <c r="I974" s="13"/>
      <c r="J974" s="13">
        <v>3</v>
      </c>
      <c r="K974" s="13" t="s">
        <v>35</v>
      </c>
      <c r="L974" s="15">
        <v>482.70333333333332</v>
      </c>
      <c r="M974" s="16">
        <v>570.19666666666672</v>
      </c>
    </row>
    <row r="975" spans="1:13" s="5" customFormat="1" x14ac:dyDescent="0.25">
      <c r="A975" s="12" t="s">
        <v>1917</v>
      </c>
      <c r="B975" s="13" t="s">
        <v>1918</v>
      </c>
      <c r="C975" s="14">
        <v>45587</v>
      </c>
      <c r="D975" s="13">
        <v>2024</v>
      </c>
      <c r="E975" s="13" t="s">
        <v>21</v>
      </c>
      <c r="F975" s="13" t="s">
        <v>25</v>
      </c>
      <c r="G975" s="15">
        <v>1599.89</v>
      </c>
      <c r="H975" s="15">
        <v>1599.89</v>
      </c>
      <c r="I975" s="13">
        <v>6</v>
      </c>
      <c r="J975" s="13">
        <v>6</v>
      </c>
      <c r="K975" s="13" t="s">
        <v>15</v>
      </c>
      <c r="L975" s="15">
        <v>266.64833333333337</v>
      </c>
      <c r="M975" s="16">
        <v>266.64833333333337</v>
      </c>
    </row>
    <row r="976" spans="1:13" s="5" customFormat="1" x14ac:dyDescent="0.25">
      <c r="A976" s="12" t="s">
        <v>1919</v>
      </c>
      <c r="B976" s="13" t="s">
        <v>755</v>
      </c>
      <c r="C976" s="14">
        <v>45011</v>
      </c>
      <c r="D976" s="13">
        <v>2023</v>
      </c>
      <c r="E976" s="13" t="s">
        <v>21</v>
      </c>
      <c r="F976" s="13" t="s">
        <v>25</v>
      </c>
      <c r="G976" s="15">
        <v>383.7</v>
      </c>
      <c r="H976" s="15">
        <v>383.7</v>
      </c>
      <c r="I976" s="13">
        <v>7</v>
      </c>
      <c r="J976" s="13">
        <v>7</v>
      </c>
      <c r="K976" s="13" t="s">
        <v>3348</v>
      </c>
      <c r="L976" s="15">
        <v>54.81428571428571</v>
      </c>
      <c r="M976" s="16">
        <v>54.81428571428571</v>
      </c>
    </row>
    <row r="977" spans="1:13" s="5" customFormat="1" x14ac:dyDescent="0.25">
      <c r="A977" s="12" t="s">
        <v>1920</v>
      </c>
      <c r="B977" s="13" t="s">
        <v>1921</v>
      </c>
      <c r="C977" s="14">
        <v>44858</v>
      </c>
      <c r="D977" s="13">
        <v>2022</v>
      </c>
      <c r="E977" s="13" t="s">
        <v>3347</v>
      </c>
      <c r="F977" s="13" t="s">
        <v>22</v>
      </c>
      <c r="G977" s="15">
        <v>976.08</v>
      </c>
      <c r="H977" s="15">
        <v>976.08</v>
      </c>
      <c r="I977" s="13">
        <v>3</v>
      </c>
      <c r="J977" s="13">
        <v>3</v>
      </c>
      <c r="K977" s="13" t="s">
        <v>3346</v>
      </c>
      <c r="L977" s="15">
        <v>325.36</v>
      </c>
      <c r="M977" s="16">
        <v>325.36</v>
      </c>
    </row>
    <row r="978" spans="1:13" s="5" customFormat="1" x14ac:dyDescent="0.25">
      <c r="A978" s="12" t="s">
        <v>1922</v>
      </c>
      <c r="B978" s="13" t="s">
        <v>1923</v>
      </c>
      <c r="C978" s="14">
        <v>45186</v>
      </c>
      <c r="D978" s="13">
        <v>2023</v>
      </c>
      <c r="E978" s="13" t="s">
        <v>10</v>
      </c>
      <c r="F978" s="13" t="s">
        <v>22</v>
      </c>
      <c r="G978" s="15">
        <v>965.92</v>
      </c>
      <c r="H978" s="15">
        <v>965.92</v>
      </c>
      <c r="I978" s="13">
        <v>2</v>
      </c>
      <c r="J978" s="13">
        <v>2</v>
      </c>
      <c r="K978" s="13" t="s">
        <v>15</v>
      </c>
      <c r="L978" s="15">
        <v>482.96</v>
      </c>
      <c r="M978" s="16">
        <v>482.96</v>
      </c>
    </row>
    <row r="979" spans="1:13" s="5" customFormat="1" x14ac:dyDescent="0.25">
      <c r="A979" s="12" t="s">
        <v>1924</v>
      </c>
      <c r="B979" s="13" t="s">
        <v>1925</v>
      </c>
      <c r="C979" s="14">
        <v>44987</v>
      </c>
      <c r="D979" s="13">
        <v>2023</v>
      </c>
      <c r="E979" s="13" t="s">
        <v>21</v>
      </c>
      <c r="F979" s="13" t="s">
        <v>11</v>
      </c>
      <c r="G979" s="15">
        <v>618.61</v>
      </c>
      <c r="H979" s="15">
        <v>618.61</v>
      </c>
      <c r="I979" s="13">
        <v>7</v>
      </c>
      <c r="J979" s="13">
        <v>7</v>
      </c>
      <c r="K979" s="13" t="s">
        <v>35</v>
      </c>
      <c r="L979" s="15">
        <v>88.372857142857143</v>
      </c>
      <c r="M979" s="16">
        <v>88.372857142857143</v>
      </c>
    </row>
    <row r="980" spans="1:13" s="5" customFormat="1" x14ac:dyDescent="0.25">
      <c r="A980" s="12" t="s">
        <v>1926</v>
      </c>
      <c r="B980" s="13" t="s">
        <v>1927</v>
      </c>
      <c r="C980" s="14">
        <v>45523</v>
      </c>
      <c r="D980" s="13">
        <v>2024</v>
      </c>
      <c r="E980" s="13" t="s">
        <v>14</v>
      </c>
      <c r="F980" s="13" t="s">
        <v>34</v>
      </c>
      <c r="G980" s="15">
        <v>1618.04</v>
      </c>
      <c r="H980" s="15">
        <v>1618.04</v>
      </c>
      <c r="I980" s="13"/>
      <c r="J980" s="13">
        <v>6</v>
      </c>
      <c r="K980" s="13" t="s">
        <v>15</v>
      </c>
      <c r="L980" s="15">
        <v>269.67333333333335</v>
      </c>
      <c r="M980" s="16">
        <v>252.27955555555556</v>
      </c>
    </row>
    <row r="981" spans="1:13" s="5" customFormat="1" x14ac:dyDescent="0.25">
      <c r="A981" s="12" t="s">
        <v>1928</v>
      </c>
      <c r="B981" s="13" t="s">
        <v>1929</v>
      </c>
      <c r="C981" s="14">
        <v>45514</v>
      </c>
      <c r="D981" s="13">
        <v>2024</v>
      </c>
      <c r="E981" s="13" t="s">
        <v>3347</v>
      </c>
      <c r="F981" s="13" t="s">
        <v>22</v>
      </c>
      <c r="G981" s="15"/>
      <c r="H981" s="15">
        <v>886.56784848484858</v>
      </c>
      <c r="I981" s="13">
        <v>3</v>
      </c>
      <c r="J981" s="13">
        <v>3</v>
      </c>
      <c r="K981" s="13" t="s">
        <v>3348</v>
      </c>
      <c r="L981" s="15">
        <v>295.52261616161621</v>
      </c>
      <c r="M981" s="16">
        <v>295.52261616161621</v>
      </c>
    </row>
    <row r="982" spans="1:13" s="5" customFormat="1" x14ac:dyDescent="0.25">
      <c r="A982" s="12" t="s">
        <v>1930</v>
      </c>
      <c r="B982" s="13" t="s">
        <v>1931</v>
      </c>
      <c r="C982" s="14">
        <v>45391</v>
      </c>
      <c r="D982" s="13">
        <v>2024</v>
      </c>
      <c r="E982" s="13" t="s">
        <v>21</v>
      </c>
      <c r="F982" s="13" t="s">
        <v>25</v>
      </c>
      <c r="G982" s="15">
        <v>1537.82</v>
      </c>
      <c r="H982" s="15">
        <v>1537.82</v>
      </c>
      <c r="I982" s="13">
        <v>4</v>
      </c>
      <c r="J982" s="13">
        <v>4</v>
      </c>
      <c r="K982" s="13" t="s">
        <v>15</v>
      </c>
      <c r="L982" s="15">
        <v>384.45499999999998</v>
      </c>
      <c r="M982" s="16">
        <v>384.45499999999998</v>
      </c>
    </row>
    <row r="983" spans="1:13" s="5" customFormat="1" x14ac:dyDescent="0.25">
      <c r="A983" s="12" t="s">
        <v>1932</v>
      </c>
      <c r="B983" s="13" t="s">
        <v>1933</v>
      </c>
      <c r="C983" s="14">
        <v>45466</v>
      </c>
      <c r="D983" s="13">
        <v>2024</v>
      </c>
      <c r="E983" s="13" t="s">
        <v>21</v>
      </c>
      <c r="F983" s="13" t="s">
        <v>34</v>
      </c>
      <c r="G983" s="15">
        <v>1392.54</v>
      </c>
      <c r="H983" s="15">
        <v>1392.54</v>
      </c>
      <c r="I983" s="13">
        <v>1</v>
      </c>
      <c r="J983" s="13">
        <v>1</v>
      </c>
      <c r="K983" s="13" t="s">
        <v>3346</v>
      </c>
      <c r="L983" s="15">
        <v>1392.54</v>
      </c>
      <c r="M983" s="16">
        <v>1392.54</v>
      </c>
    </row>
    <row r="984" spans="1:13" s="5" customFormat="1" x14ac:dyDescent="0.25">
      <c r="A984" s="12" t="s">
        <v>1934</v>
      </c>
      <c r="B984" s="13" t="s">
        <v>1935</v>
      </c>
      <c r="C984" s="14">
        <v>45907</v>
      </c>
      <c r="D984" s="13">
        <v>2025</v>
      </c>
      <c r="E984" s="13" t="s">
        <v>21</v>
      </c>
      <c r="F984" s="13" t="s">
        <v>22</v>
      </c>
      <c r="G984" s="15">
        <v>1501.28</v>
      </c>
      <c r="H984" s="15">
        <v>1501.28</v>
      </c>
      <c r="I984" s="13">
        <v>7</v>
      </c>
      <c r="J984" s="13">
        <v>7</v>
      </c>
      <c r="K984" s="13" t="s">
        <v>3348</v>
      </c>
      <c r="L984" s="15">
        <v>214.46857142857144</v>
      </c>
      <c r="M984" s="16">
        <v>214.46857142857144</v>
      </c>
    </row>
    <row r="985" spans="1:13" s="5" customFormat="1" x14ac:dyDescent="0.25">
      <c r="A985" s="12" t="s">
        <v>1936</v>
      </c>
      <c r="B985" s="13" t="s">
        <v>1025</v>
      </c>
      <c r="C985" s="14">
        <v>45471</v>
      </c>
      <c r="D985" s="13">
        <v>2024</v>
      </c>
      <c r="E985" s="13" t="s">
        <v>14</v>
      </c>
      <c r="F985" s="13" t="s">
        <v>34</v>
      </c>
      <c r="G985" s="15">
        <v>1440.77</v>
      </c>
      <c r="H985" s="15">
        <v>1440.77</v>
      </c>
      <c r="I985" s="13">
        <v>5</v>
      </c>
      <c r="J985" s="13">
        <v>5</v>
      </c>
      <c r="K985" s="13" t="s">
        <v>18</v>
      </c>
      <c r="L985" s="15">
        <v>288.154</v>
      </c>
      <c r="M985" s="16">
        <v>288.154</v>
      </c>
    </row>
    <row r="986" spans="1:13" s="5" customFormat="1" x14ac:dyDescent="0.25">
      <c r="A986" s="12" t="s">
        <v>1937</v>
      </c>
      <c r="B986" s="13" t="s">
        <v>1938</v>
      </c>
      <c r="C986" s="14">
        <v>45044</v>
      </c>
      <c r="D986" s="13">
        <v>2023</v>
      </c>
      <c r="E986" s="13" t="s">
        <v>10</v>
      </c>
      <c r="F986" s="13" t="s">
        <v>25</v>
      </c>
      <c r="G986" s="15">
        <v>669.77</v>
      </c>
      <c r="H986" s="15">
        <v>669.77</v>
      </c>
      <c r="I986" s="13">
        <v>5</v>
      </c>
      <c r="J986" s="13">
        <v>5</v>
      </c>
      <c r="K986" s="13" t="s">
        <v>15</v>
      </c>
      <c r="L986" s="15">
        <v>133.95400000000001</v>
      </c>
      <c r="M986" s="16">
        <v>133.95400000000001</v>
      </c>
    </row>
    <row r="987" spans="1:13" s="5" customFormat="1" x14ac:dyDescent="0.25">
      <c r="A987" s="12" t="s">
        <v>1939</v>
      </c>
      <c r="B987" s="13" t="s">
        <v>1575</v>
      </c>
      <c r="C987" s="14">
        <v>45952</v>
      </c>
      <c r="D987" s="13">
        <v>2025</v>
      </c>
      <c r="E987" s="13" t="s">
        <v>14</v>
      </c>
      <c r="F987" s="13" t="s">
        <v>11</v>
      </c>
      <c r="G987" s="15"/>
      <c r="H987" s="15">
        <v>3548.2821388888883</v>
      </c>
      <c r="I987" s="13">
        <v>7</v>
      </c>
      <c r="J987" s="13">
        <v>7</v>
      </c>
      <c r="K987" s="13" t="s">
        <v>3346</v>
      </c>
      <c r="L987" s="15">
        <v>607.39377142857143</v>
      </c>
      <c r="M987" s="16">
        <v>607.39377142857143</v>
      </c>
    </row>
    <row r="988" spans="1:13" s="5" customFormat="1" x14ac:dyDescent="0.25">
      <c r="A988" s="12" t="s">
        <v>1940</v>
      </c>
      <c r="B988" s="13" t="s">
        <v>1941</v>
      </c>
      <c r="C988" s="14">
        <v>45735</v>
      </c>
      <c r="D988" s="13">
        <v>2025</v>
      </c>
      <c r="E988" s="13" t="s">
        <v>21</v>
      </c>
      <c r="F988" s="13" t="s">
        <v>11</v>
      </c>
      <c r="G988" s="15">
        <v>260.87</v>
      </c>
      <c r="H988" s="15">
        <v>260.87</v>
      </c>
      <c r="I988" s="13"/>
      <c r="J988" s="13">
        <v>2</v>
      </c>
      <c r="K988" s="13" t="s">
        <v>3346</v>
      </c>
      <c r="L988" s="15">
        <v>130.435</v>
      </c>
      <c r="M988" s="16">
        <v>113.79089285714285</v>
      </c>
    </row>
    <row r="989" spans="1:13" s="5" customFormat="1" x14ac:dyDescent="0.25">
      <c r="A989" s="12" t="s">
        <v>1942</v>
      </c>
      <c r="B989" s="13" t="s">
        <v>1943</v>
      </c>
      <c r="C989" s="14">
        <v>45807</v>
      </c>
      <c r="D989" s="13">
        <v>2025</v>
      </c>
      <c r="E989" s="13" t="s">
        <v>10</v>
      </c>
      <c r="F989" s="13" t="s">
        <v>22</v>
      </c>
      <c r="G989" s="15">
        <v>1776.21</v>
      </c>
      <c r="H989" s="15">
        <v>1776.21</v>
      </c>
      <c r="I989" s="13">
        <v>7</v>
      </c>
      <c r="J989" s="13">
        <v>7</v>
      </c>
      <c r="K989" s="13" t="s">
        <v>18</v>
      </c>
      <c r="L989" s="15">
        <v>253.74428571428572</v>
      </c>
      <c r="M989" s="16">
        <v>253.74428571428572</v>
      </c>
    </row>
    <row r="990" spans="1:13" s="5" customFormat="1" x14ac:dyDescent="0.25">
      <c r="A990" s="12" t="s">
        <v>1944</v>
      </c>
      <c r="B990" s="13" t="s">
        <v>1945</v>
      </c>
      <c r="C990" s="14">
        <v>45285</v>
      </c>
      <c r="D990" s="13">
        <v>2023</v>
      </c>
      <c r="E990" s="13" t="s">
        <v>10</v>
      </c>
      <c r="F990" s="13" t="s">
        <v>25</v>
      </c>
      <c r="G990" s="15">
        <v>463.96</v>
      </c>
      <c r="H990" s="15">
        <v>463.96</v>
      </c>
      <c r="I990" s="13">
        <v>4</v>
      </c>
      <c r="J990" s="13">
        <v>4</v>
      </c>
      <c r="K990" s="13" t="s">
        <v>18</v>
      </c>
      <c r="L990" s="15">
        <v>115.99</v>
      </c>
      <c r="M990" s="16">
        <v>115.99</v>
      </c>
    </row>
    <row r="991" spans="1:13" s="5" customFormat="1" x14ac:dyDescent="0.25">
      <c r="A991" s="12" t="s">
        <v>1946</v>
      </c>
      <c r="B991" s="13" t="s">
        <v>1947</v>
      </c>
      <c r="C991" s="14">
        <v>45158</v>
      </c>
      <c r="D991" s="13">
        <v>2023</v>
      </c>
      <c r="E991" s="13" t="s">
        <v>21</v>
      </c>
      <c r="F991" s="13" t="s">
        <v>34</v>
      </c>
      <c r="G991" s="15">
        <v>936.55</v>
      </c>
      <c r="H991" s="15">
        <v>936.55</v>
      </c>
      <c r="I991" s="13">
        <v>7</v>
      </c>
      <c r="J991" s="13">
        <v>7</v>
      </c>
      <c r="K991" s="13" t="s">
        <v>35</v>
      </c>
      <c r="L991" s="15">
        <v>133.79285714285714</v>
      </c>
      <c r="M991" s="16">
        <v>133.79285714285714</v>
      </c>
    </row>
    <row r="992" spans="1:13" s="5" customFormat="1" x14ac:dyDescent="0.25">
      <c r="A992" s="12" t="s">
        <v>1948</v>
      </c>
      <c r="B992" s="13" t="s">
        <v>1931</v>
      </c>
      <c r="C992" s="14">
        <v>45054</v>
      </c>
      <c r="D992" s="13">
        <v>2023</v>
      </c>
      <c r="E992" s="13" t="s">
        <v>21</v>
      </c>
      <c r="F992" s="13" t="s">
        <v>11</v>
      </c>
      <c r="G992" s="15">
        <v>1158.28</v>
      </c>
      <c r="H992" s="15">
        <v>1158.28</v>
      </c>
      <c r="I992" s="13">
        <v>3</v>
      </c>
      <c r="J992" s="13">
        <v>3</v>
      </c>
      <c r="K992" s="13" t="s">
        <v>3348</v>
      </c>
      <c r="L992" s="15">
        <v>386.09333333333331</v>
      </c>
      <c r="M992" s="16">
        <v>386.09333333333331</v>
      </c>
    </row>
    <row r="993" spans="1:13" s="5" customFormat="1" x14ac:dyDescent="0.25">
      <c r="A993" s="12" t="s">
        <v>1949</v>
      </c>
      <c r="B993" s="13" t="s">
        <v>1950</v>
      </c>
      <c r="C993" s="14">
        <v>44917</v>
      </c>
      <c r="D993" s="13">
        <v>2022</v>
      </c>
      <c r="E993" s="13" t="s">
        <v>10</v>
      </c>
      <c r="F993" s="13" t="s">
        <v>11</v>
      </c>
      <c r="G993" s="15">
        <v>1038.68</v>
      </c>
      <c r="H993" s="15">
        <v>1038.68</v>
      </c>
      <c r="I993" s="13">
        <v>3</v>
      </c>
      <c r="J993" s="13">
        <v>3</v>
      </c>
      <c r="K993" s="13" t="s">
        <v>3348</v>
      </c>
      <c r="L993" s="15">
        <v>346.22666666666669</v>
      </c>
      <c r="M993" s="16">
        <v>346.22666666666669</v>
      </c>
    </row>
    <row r="994" spans="1:13" s="5" customFormat="1" x14ac:dyDescent="0.25">
      <c r="A994" s="12" t="s">
        <v>1951</v>
      </c>
      <c r="B994" s="13" t="s">
        <v>1952</v>
      </c>
      <c r="C994" s="14">
        <v>45243</v>
      </c>
      <c r="D994" s="13">
        <v>2023</v>
      </c>
      <c r="E994" s="13" t="s">
        <v>21</v>
      </c>
      <c r="F994" s="13" t="s">
        <v>34</v>
      </c>
      <c r="G994" s="15">
        <v>1068.3</v>
      </c>
      <c r="H994" s="15">
        <v>1068.3</v>
      </c>
      <c r="I994" s="13">
        <v>5</v>
      </c>
      <c r="J994" s="13">
        <v>5</v>
      </c>
      <c r="K994" s="13" t="s">
        <v>15</v>
      </c>
      <c r="L994" s="15">
        <v>213.66</v>
      </c>
      <c r="M994" s="16">
        <v>213.66</v>
      </c>
    </row>
    <row r="995" spans="1:13" s="5" customFormat="1" x14ac:dyDescent="0.25">
      <c r="A995" s="12" t="s">
        <v>1953</v>
      </c>
      <c r="B995" s="13" t="s">
        <v>51</v>
      </c>
      <c r="C995" s="14">
        <v>44941</v>
      </c>
      <c r="D995" s="13">
        <v>2023</v>
      </c>
      <c r="E995" s="13" t="s">
        <v>3347</v>
      </c>
      <c r="F995" s="13" t="s">
        <v>25</v>
      </c>
      <c r="G995" s="15">
        <v>1628.57</v>
      </c>
      <c r="H995" s="15">
        <v>1628.57</v>
      </c>
      <c r="I995" s="13">
        <v>5</v>
      </c>
      <c r="J995" s="13">
        <v>5</v>
      </c>
      <c r="K995" s="13" t="s">
        <v>18</v>
      </c>
      <c r="L995" s="15">
        <v>325.714</v>
      </c>
      <c r="M995" s="16">
        <v>325.714</v>
      </c>
    </row>
    <row r="996" spans="1:13" s="5" customFormat="1" x14ac:dyDescent="0.25">
      <c r="A996" s="12" t="s">
        <v>1954</v>
      </c>
      <c r="B996" s="13" t="s">
        <v>1955</v>
      </c>
      <c r="C996" s="14">
        <v>45607</v>
      </c>
      <c r="D996" s="13">
        <v>2024</v>
      </c>
      <c r="E996" s="13" t="s">
        <v>14</v>
      </c>
      <c r="F996" s="13" t="s">
        <v>22</v>
      </c>
      <c r="G996" s="15">
        <v>1541.45</v>
      </c>
      <c r="H996" s="15">
        <v>1541.45</v>
      </c>
      <c r="I996" s="13">
        <v>5</v>
      </c>
      <c r="J996" s="13">
        <v>5</v>
      </c>
      <c r="K996" s="13" t="s">
        <v>3346</v>
      </c>
      <c r="L996" s="15">
        <v>308.29000000000002</v>
      </c>
      <c r="M996" s="16">
        <v>308.29000000000002</v>
      </c>
    </row>
    <row r="997" spans="1:13" s="5" customFormat="1" x14ac:dyDescent="0.25">
      <c r="A997" s="12" t="s">
        <v>1956</v>
      </c>
      <c r="B997" s="13" t="s">
        <v>1957</v>
      </c>
      <c r="C997" s="14">
        <v>45128</v>
      </c>
      <c r="D997" s="13">
        <v>2023</v>
      </c>
      <c r="E997" s="13" t="s">
        <v>10</v>
      </c>
      <c r="F997" s="13" t="s">
        <v>11</v>
      </c>
      <c r="G997" s="15">
        <v>558.92999999999995</v>
      </c>
      <c r="H997" s="15">
        <v>558.92999999999995</v>
      </c>
      <c r="I997" s="13"/>
      <c r="J997" s="13">
        <v>1</v>
      </c>
      <c r="K997" s="13" t="s">
        <v>3348</v>
      </c>
      <c r="L997" s="15">
        <v>558.92999999999995</v>
      </c>
      <c r="M997" s="16">
        <v>383.74898148148145</v>
      </c>
    </row>
    <row r="998" spans="1:13" s="5" customFormat="1" x14ac:dyDescent="0.25">
      <c r="A998" s="12" t="s">
        <v>1958</v>
      </c>
      <c r="B998" s="13" t="s">
        <v>1959</v>
      </c>
      <c r="C998" s="14">
        <v>45311</v>
      </c>
      <c r="D998" s="13">
        <v>2024</v>
      </c>
      <c r="E998" s="13" t="s">
        <v>21</v>
      </c>
      <c r="F998" s="13" t="s">
        <v>25</v>
      </c>
      <c r="G998" s="15">
        <v>1662.09</v>
      </c>
      <c r="H998" s="15">
        <v>1662.09</v>
      </c>
      <c r="I998" s="13">
        <v>7</v>
      </c>
      <c r="J998" s="13">
        <v>7</v>
      </c>
      <c r="K998" s="13" t="s">
        <v>35</v>
      </c>
      <c r="L998" s="15">
        <v>237.44142857142856</v>
      </c>
      <c r="M998" s="16">
        <v>237.44142857142856</v>
      </c>
    </row>
    <row r="999" spans="1:13" s="5" customFormat="1" x14ac:dyDescent="0.25">
      <c r="A999" s="12" t="s">
        <v>1960</v>
      </c>
      <c r="B999" s="13" t="s">
        <v>111</v>
      </c>
      <c r="C999" s="14">
        <v>45061</v>
      </c>
      <c r="D999" s="13">
        <v>2023</v>
      </c>
      <c r="E999" s="13" t="s">
        <v>3347</v>
      </c>
      <c r="F999" s="13" t="s">
        <v>34</v>
      </c>
      <c r="G999" s="15"/>
      <c r="H999" s="15">
        <v>2110.0151111111113</v>
      </c>
      <c r="I999" s="13">
        <v>6</v>
      </c>
      <c r="J999" s="13">
        <v>6</v>
      </c>
      <c r="K999" s="13" t="s">
        <v>3346</v>
      </c>
      <c r="L999" s="15">
        <v>351.6691851851852</v>
      </c>
      <c r="M999" s="16">
        <v>351.6691851851852</v>
      </c>
    </row>
    <row r="1000" spans="1:13" s="5" customFormat="1" x14ac:dyDescent="0.25">
      <c r="A1000" s="12" t="s">
        <v>1961</v>
      </c>
      <c r="B1000" s="13" t="s">
        <v>1962</v>
      </c>
      <c r="C1000" s="14">
        <v>44973</v>
      </c>
      <c r="D1000" s="13">
        <v>2023</v>
      </c>
      <c r="E1000" s="13" t="s">
        <v>3347</v>
      </c>
      <c r="F1000" s="13" t="s">
        <v>34</v>
      </c>
      <c r="G1000" s="15">
        <v>524.61</v>
      </c>
      <c r="H1000" s="15">
        <v>524.61</v>
      </c>
      <c r="I1000" s="13">
        <v>8</v>
      </c>
      <c r="J1000" s="13">
        <v>8</v>
      </c>
      <c r="K1000" s="13" t="s">
        <v>18</v>
      </c>
      <c r="L1000" s="15">
        <v>65.576250000000002</v>
      </c>
      <c r="M1000" s="16">
        <v>65.576250000000002</v>
      </c>
    </row>
    <row r="1001" spans="1:13" s="5" customFormat="1" x14ac:dyDescent="0.25">
      <c r="A1001" s="12" t="s">
        <v>1963</v>
      </c>
      <c r="B1001" s="13" t="s">
        <v>1964</v>
      </c>
      <c r="C1001" s="14">
        <v>45908</v>
      </c>
      <c r="D1001" s="13">
        <v>2025</v>
      </c>
      <c r="E1001" s="13" t="s">
        <v>21</v>
      </c>
      <c r="F1001" s="13" t="s">
        <v>11</v>
      </c>
      <c r="G1001" s="15">
        <v>1181.8900000000001</v>
      </c>
      <c r="H1001" s="15">
        <v>1181.8900000000001</v>
      </c>
      <c r="I1001" s="13">
        <v>6</v>
      </c>
      <c r="J1001" s="13">
        <v>6</v>
      </c>
      <c r="K1001" s="13" t="s">
        <v>15</v>
      </c>
      <c r="L1001" s="15">
        <v>196.98166666666668</v>
      </c>
      <c r="M1001" s="16">
        <v>196.98166666666668</v>
      </c>
    </row>
    <row r="1002" spans="1:13" s="5" customFormat="1" x14ac:dyDescent="0.25">
      <c r="A1002" s="12" t="s">
        <v>1965</v>
      </c>
      <c r="B1002" s="13" t="s">
        <v>1966</v>
      </c>
      <c r="C1002" s="14">
        <v>45849</v>
      </c>
      <c r="D1002" s="13">
        <v>2025</v>
      </c>
      <c r="E1002" s="13" t="s">
        <v>10</v>
      </c>
      <c r="F1002" s="13" t="s">
        <v>11</v>
      </c>
      <c r="G1002" s="15">
        <v>574.03</v>
      </c>
      <c r="H1002" s="15">
        <v>574.03</v>
      </c>
      <c r="I1002" s="13">
        <v>9</v>
      </c>
      <c r="J1002" s="13">
        <v>9</v>
      </c>
      <c r="K1002" s="13" t="s">
        <v>18</v>
      </c>
      <c r="L1002" s="15">
        <v>63.781111111111109</v>
      </c>
      <c r="M1002" s="16">
        <v>63.781111111111109</v>
      </c>
    </row>
    <row r="1003" spans="1:13" s="5" customFormat="1" x14ac:dyDescent="0.25">
      <c r="A1003" s="12" t="s">
        <v>1967</v>
      </c>
      <c r="B1003" s="13" t="s">
        <v>1968</v>
      </c>
      <c r="C1003" s="14">
        <v>44936</v>
      </c>
      <c r="D1003" s="13">
        <v>2023</v>
      </c>
      <c r="E1003" s="13" t="s">
        <v>10</v>
      </c>
      <c r="F1003" s="13" t="s">
        <v>34</v>
      </c>
      <c r="G1003" s="15">
        <v>280.77999999999997</v>
      </c>
      <c r="H1003" s="15">
        <v>280.77999999999997</v>
      </c>
      <c r="I1003" s="13">
        <v>7</v>
      </c>
      <c r="J1003" s="13">
        <v>7</v>
      </c>
      <c r="K1003" s="13" t="s">
        <v>35</v>
      </c>
      <c r="L1003" s="15">
        <v>40.111428571428569</v>
      </c>
      <c r="M1003" s="16">
        <v>40.111428571428569</v>
      </c>
    </row>
    <row r="1004" spans="1:13" s="5" customFormat="1" x14ac:dyDescent="0.25">
      <c r="A1004" s="12" t="s">
        <v>1969</v>
      </c>
      <c r="B1004" s="13" t="s">
        <v>1970</v>
      </c>
      <c r="C1004" s="14">
        <v>45614</v>
      </c>
      <c r="D1004" s="13">
        <v>2024</v>
      </c>
      <c r="E1004" s="13" t="s">
        <v>21</v>
      </c>
      <c r="F1004" s="13" t="s">
        <v>25</v>
      </c>
      <c r="G1004" s="15"/>
      <c r="H1004" s="15">
        <v>1047.4678095238096</v>
      </c>
      <c r="I1004" s="13">
        <v>8</v>
      </c>
      <c r="J1004" s="13">
        <v>8</v>
      </c>
      <c r="K1004" s="13" t="s">
        <v>35</v>
      </c>
      <c r="L1004" s="15">
        <v>130.9334761904762</v>
      </c>
      <c r="M1004" s="16">
        <v>130.9334761904762</v>
      </c>
    </row>
    <row r="1005" spans="1:13" s="5" customFormat="1" x14ac:dyDescent="0.25">
      <c r="A1005" s="12" t="s">
        <v>1971</v>
      </c>
      <c r="B1005" s="13" t="s">
        <v>1972</v>
      </c>
      <c r="C1005" s="14">
        <v>45036</v>
      </c>
      <c r="D1005" s="13">
        <v>2023</v>
      </c>
      <c r="E1005" s="13" t="s">
        <v>3347</v>
      </c>
      <c r="F1005" s="13" t="s">
        <v>34</v>
      </c>
      <c r="G1005" s="15">
        <v>1373.52</v>
      </c>
      <c r="H1005" s="15">
        <v>1373.52</v>
      </c>
      <c r="I1005" s="13">
        <v>2</v>
      </c>
      <c r="J1005" s="13">
        <v>2</v>
      </c>
      <c r="K1005" s="13" t="s">
        <v>15</v>
      </c>
      <c r="L1005" s="15">
        <v>686.76</v>
      </c>
      <c r="M1005" s="16">
        <v>686.76</v>
      </c>
    </row>
    <row r="1006" spans="1:13" s="5" customFormat="1" x14ac:dyDescent="0.25">
      <c r="A1006" s="12" t="s">
        <v>1973</v>
      </c>
      <c r="B1006" s="13" t="s">
        <v>1974</v>
      </c>
      <c r="C1006" s="14">
        <v>45364</v>
      </c>
      <c r="D1006" s="13">
        <v>2024</v>
      </c>
      <c r="E1006" s="13" t="s">
        <v>14</v>
      </c>
      <c r="F1006" s="13" t="s">
        <v>11</v>
      </c>
      <c r="G1006" s="15">
        <v>1844.44</v>
      </c>
      <c r="H1006" s="15">
        <v>1844.44</v>
      </c>
      <c r="I1006" s="13">
        <v>2</v>
      </c>
      <c r="J1006" s="13">
        <v>2</v>
      </c>
      <c r="K1006" s="13" t="s">
        <v>15</v>
      </c>
      <c r="L1006" s="15">
        <v>922.22</v>
      </c>
      <c r="M1006" s="16">
        <v>922.22</v>
      </c>
    </row>
    <row r="1007" spans="1:13" s="5" customFormat="1" x14ac:dyDescent="0.25">
      <c r="A1007" s="12" t="s">
        <v>1975</v>
      </c>
      <c r="B1007" s="13" t="s">
        <v>1976</v>
      </c>
      <c r="C1007" s="14">
        <v>45124</v>
      </c>
      <c r="D1007" s="13">
        <v>2023</v>
      </c>
      <c r="E1007" s="13" t="s">
        <v>14</v>
      </c>
      <c r="F1007" s="13" t="s">
        <v>22</v>
      </c>
      <c r="G1007" s="15">
        <v>632.22</v>
      </c>
      <c r="H1007" s="15">
        <v>632.22</v>
      </c>
      <c r="I1007" s="13">
        <v>1</v>
      </c>
      <c r="J1007" s="13">
        <v>1</v>
      </c>
      <c r="K1007" s="13" t="s">
        <v>35</v>
      </c>
      <c r="L1007" s="15">
        <v>632.22</v>
      </c>
      <c r="M1007" s="16">
        <v>632.22</v>
      </c>
    </row>
    <row r="1008" spans="1:13" s="5" customFormat="1" x14ac:dyDescent="0.25">
      <c r="A1008" s="12" t="s">
        <v>1977</v>
      </c>
      <c r="B1008" s="13" t="s">
        <v>1978</v>
      </c>
      <c r="C1008" s="14">
        <v>45421</v>
      </c>
      <c r="D1008" s="13">
        <v>2024</v>
      </c>
      <c r="E1008" s="13" t="s">
        <v>21</v>
      </c>
      <c r="F1008" s="13" t="s">
        <v>34</v>
      </c>
      <c r="G1008" s="15">
        <v>322.42</v>
      </c>
      <c r="H1008" s="15">
        <v>322.42</v>
      </c>
      <c r="I1008" s="13">
        <v>3</v>
      </c>
      <c r="J1008" s="13">
        <v>3</v>
      </c>
      <c r="K1008" s="13" t="s">
        <v>15</v>
      </c>
      <c r="L1008" s="15">
        <v>107.47333333333334</v>
      </c>
      <c r="M1008" s="16">
        <v>107.47333333333334</v>
      </c>
    </row>
    <row r="1009" spans="1:13" s="5" customFormat="1" x14ac:dyDescent="0.25">
      <c r="A1009" s="12" t="s">
        <v>1979</v>
      </c>
      <c r="B1009" s="13" t="s">
        <v>1980</v>
      </c>
      <c r="C1009" s="14">
        <v>45491</v>
      </c>
      <c r="D1009" s="13">
        <v>2024</v>
      </c>
      <c r="E1009" s="13" t="s">
        <v>10</v>
      </c>
      <c r="F1009" s="13" t="s">
        <v>22</v>
      </c>
      <c r="G1009" s="15">
        <v>39.200000000000003</v>
      </c>
      <c r="H1009" s="15">
        <v>39.200000000000003</v>
      </c>
      <c r="I1009" s="13">
        <v>4</v>
      </c>
      <c r="J1009" s="13">
        <v>4</v>
      </c>
      <c r="K1009" s="13" t="s">
        <v>18</v>
      </c>
      <c r="L1009" s="15">
        <v>9.8000000000000007</v>
      </c>
      <c r="M1009" s="16">
        <v>9.8000000000000007</v>
      </c>
    </row>
    <row r="1010" spans="1:13" s="5" customFormat="1" x14ac:dyDescent="0.25">
      <c r="A1010" s="12" t="s">
        <v>1981</v>
      </c>
      <c r="B1010" s="13" t="s">
        <v>1982</v>
      </c>
      <c r="C1010" s="14">
        <v>44995</v>
      </c>
      <c r="D1010" s="13">
        <v>2023</v>
      </c>
      <c r="E1010" s="13" t="s">
        <v>21</v>
      </c>
      <c r="F1010" s="13" t="s">
        <v>25</v>
      </c>
      <c r="G1010" s="15">
        <v>1895.69</v>
      </c>
      <c r="H1010" s="15">
        <v>1895.69</v>
      </c>
      <c r="I1010" s="13">
        <v>5</v>
      </c>
      <c r="J1010" s="13">
        <v>5</v>
      </c>
      <c r="K1010" s="13" t="s">
        <v>15</v>
      </c>
      <c r="L1010" s="15">
        <v>379.13800000000003</v>
      </c>
      <c r="M1010" s="16">
        <v>379.13800000000003</v>
      </c>
    </row>
    <row r="1011" spans="1:13" s="5" customFormat="1" x14ac:dyDescent="0.25">
      <c r="A1011" s="12" t="s">
        <v>1983</v>
      </c>
      <c r="B1011" s="13" t="s">
        <v>1984</v>
      </c>
      <c r="C1011" s="14">
        <v>45669</v>
      </c>
      <c r="D1011" s="13">
        <v>2025</v>
      </c>
      <c r="E1011" s="13" t="s">
        <v>10</v>
      </c>
      <c r="F1011" s="13" t="s">
        <v>25</v>
      </c>
      <c r="G1011" s="15">
        <v>1170.02</v>
      </c>
      <c r="H1011" s="15">
        <v>1170.02</v>
      </c>
      <c r="I1011" s="13">
        <v>6</v>
      </c>
      <c r="J1011" s="13">
        <v>6</v>
      </c>
      <c r="K1011" s="13" t="s">
        <v>3348</v>
      </c>
      <c r="L1011" s="15">
        <v>195.00333333333333</v>
      </c>
      <c r="M1011" s="16">
        <v>195.00333333333333</v>
      </c>
    </row>
    <row r="1012" spans="1:13" s="5" customFormat="1" x14ac:dyDescent="0.25">
      <c r="A1012" s="12" t="s">
        <v>1985</v>
      </c>
      <c r="B1012" s="13" t="s">
        <v>1986</v>
      </c>
      <c r="C1012" s="14">
        <v>45557</v>
      </c>
      <c r="D1012" s="13">
        <v>2024</v>
      </c>
      <c r="E1012" s="13" t="s">
        <v>14</v>
      </c>
      <c r="F1012" s="13" t="s">
        <v>22</v>
      </c>
      <c r="G1012" s="15">
        <v>1390.35</v>
      </c>
      <c r="H1012" s="15">
        <v>1390.35</v>
      </c>
      <c r="I1012" s="13"/>
      <c r="J1012" s="13">
        <v>7</v>
      </c>
      <c r="K1012" s="13" t="s">
        <v>3348</v>
      </c>
      <c r="L1012" s="15">
        <v>198.62142857142857</v>
      </c>
      <c r="M1012" s="16">
        <v>189.17411111111113</v>
      </c>
    </row>
    <row r="1013" spans="1:13" s="5" customFormat="1" x14ac:dyDescent="0.25">
      <c r="A1013" s="12" t="s">
        <v>1987</v>
      </c>
      <c r="B1013" s="13" t="s">
        <v>1988</v>
      </c>
      <c r="C1013" s="14">
        <v>45229</v>
      </c>
      <c r="D1013" s="13">
        <v>2023</v>
      </c>
      <c r="E1013" s="13" t="s">
        <v>3347</v>
      </c>
      <c r="F1013" s="13" t="s">
        <v>22</v>
      </c>
      <c r="G1013" s="15">
        <v>181.24</v>
      </c>
      <c r="H1013" s="15">
        <v>181.24</v>
      </c>
      <c r="I1013" s="13">
        <v>2</v>
      </c>
      <c r="J1013" s="13">
        <v>2</v>
      </c>
      <c r="K1013" s="13" t="s">
        <v>35</v>
      </c>
      <c r="L1013" s="15">
        <v>90.62</v>
      </c>
      <c r="M1013" s="16">
        <v>90.62</v>
      </c>
    </row>
    <row r="1014" spans="1:13" s="5" customFormat="1" x14ac:dyDescent="0.25">
      <c r="A1014" s="12" t="s">
        <v>1989</v>
      </c>
      <c r="B1014" s="13" t="s">
        <v>1076</v>
      </c>
      <c r="C1014" s="14">
        <v>45399</v>
      </c>
      <c r="D1014" s="13">
        <v>2024</v>
      </c>
      <c r="E1014" s="13" t="s">
        <v>21</v>
      </c>
      <c r="F1014" s="13" t="s">
        <v>25</v>
      </c>
      <c r="G1014" s="15">
        <v>375.96</v>
      </c>
      <c r="H1014" s="15">
        <v>375.96</v>
      </c>
      <c r="I1014" s="13">
        <v>8</v>
      </c>
      <c r="J1014" s="13">
        <v>8</v>
      </c>
      <c r="K1014" s="13" t="s">
        <v>35</v>
      </c>
      <c r="L1014" s="15">
        <v>46.994999999999997</v>
      </c>
      <c r="M1014" s="16">
        <v>46.994999999999997</v>
      </c>
    </row>
    <row r="1015" spans="1:13" s="5" customFormat="1" x14ac:dyDescent="0.25">
      <c r="A1015" s="12" t="s">
        <v>1990</v>
      </c>
      <c r="B1015" s="13" t="s">
        <v>1991</v>
      </c>
      <c r="C1015" s="14">
        <v>45914</v>
      </c>
      <c r="D1015" s="13">
        <v>2025</v>
      </c>
      <c r="E1015" s="13" t="s">
        <v>3347</v>
      </c>
      <c r="F1015" s="13" t="s">
        <v>22</v>
      </c>
      <c r="G1015" s="15">
        <v>1486.81</v>
      </c>
      <c r="H1015" s="15">
        <v>1486.81</v>
      </c>
      <c r="I1015" s="13">
        <v>2</v>
      </c>
      <c r="J1015" s="13">
        <v>2</v>
      </c>
      <c r="K1015" s="13" t="s">
        <v>3348</v>
      </c>
      <c r="L1015" s="15">
        <v>743.40499999999997</v>
      </c>
      <c r="M1015" s="16">
        <v>743.40499999999997</v>
      </c>
    </row>
    <row r="1016" spans="1:13" s="5" customFormat="1" x14ac:dyDescent="0.25">
      <c r="A1016" s="12" t="s">
        <v>1992</v>
      </c>
      <c r="B1016" s="13" t="s">
        <v>1993</v>
      </c>
      <c r="C1016" s="14">
        <v>45860</v>
      </c>
      <c r="D1016" s="13">
        <v>2025</v>
      </c>
      <c r="E1016" s="13" t="s">
        <v>3347</v>
      </c>
      <c r="F1016" s="13" t="s">
        <v>22</v>
      </c>
      <c r="G1016" s="15">
        <v>504.11</v>
      </c>
      <c r="H1016" s="15">
        <v>504.11</v>
      </c>
      <c r="I1016" s="13">
        <v>1</v>
      </c>
      <c r="J1016" s="13">
        <v>1</v>
      </c>
      <c r="K1016" s="13" t="s">
        <v>3346</v>
      </c>
      <c r="L1016" s="15">
        <v>504.11</v>
      </c>
      <c r="M1016" s="16">
        <v>504.11</v>
      </c>
    </row>
    <row r="1017" spans="1:13" s="5" customFormat="1" x14ac:dyDescent="0.25">
      <c r="A1017" s="12" t="s">
        <v>1994</v>
      </c>
      <c r="B1017" s="13" t="s">
        <v>1995</v>
      </c>
      <c r="C1017" s="14">
        <v>45023</v>
      </c>
      <c r="D1017" s="13">
        <v>2023</v>
      </c>
      <c r="E1017" s="13" t="s">
        <v>21</v>
      </c>
      <c r="F1017" s="13" t="s">
        <v>22</v>
      </c>
      <c r="G1017" s="15">
        <v>151.47</v>
      </c>
      <c r="H1017" s="15">
        <v>151.47</v>
      </c>
      <c r="I1017" s="13">
        <v>5</v>
      </c>
      <c r="J1017" s="13">
        <v>5</v>
      </c>
      <c r="K1017" s="13" t="s">
        <v>3346</v>
      </c>
      <c r="L1017" s="15">
        <v>30.294</v>
      </c>
      <c r="M1017" s="16">
        <v>30.294</v>
      </c>
    </row>
    <row r="1018" spans="1:13" s="5" customFormat="1" x14ac:dyDescent="0.25">
      <c r="A1018" s="12" t="s">
        <v>1996</v>
      </c>
      <c r="B1018" s="13" t="s">
        <v>1997</v>
      </c>
      <c r="C1018" s="14">
        <v>44933</v>
      </c>
      <c r="D1018" s="13">
        <v>2023</v>
      </c>
      <c r="E1018" s="13" t="s">
        <v>21</v>
      </c>
      <c r="F1018" s="13" t="s">
        <v>11</v>
      </c>
      <c r="G1018" s="15">
        <v>1823.39</v>
      </c>
      <c r="H1018" s="15">
        <v>1823.39</v>
      </c>
      <c r="I1018" s="13">
        <v>8</v>
      </c>
      <c r="J1018" s="13">
        <v>8</v>
      </c>
      <c r="K1018" s="13" t="s">
        <v>18</v>
      </c>
      <c r="L1018" s="15">
        <v>227.92375000000001</v>
      </c>
      <c r="M1018" s="16">
        <v>227.92375000000001</v>
      </c>
    </row>
    <row r="1019" spans="1:13" s="5" customFormat="1" x14ac:dyDescent="0.25">
      <c r="A1019" s="12" t="s">
        <v>1998</v>
      </c>
      <c r="B1019" s="13" t="s">
        <v>1999</v>
      </c>
      <c r="C1019" s="14">
        <v>45014</v>
      </c>
      <c r="D1019" s="13">
        <v>2023</v>
      </c>
      <c r="E1019" s="13" t="s">
        <v>3347</v>
      </c>
      <c r="F1019" s="13" t="s">
        <v>11</v>
      </c>
      <c r="G1019" s="15">
        <v>1871.97</v>
      </c>
      <c r="H1019" s="15">
        <v>1871.97</v>
      </c>
      <c r="I1019" s="13"/>
      <c r="J1019" s="13">
        <v>9</v>
      </c>
      <c r="K1019" s="13" t="s">
        <v>3346</v>
      </c>
      <c r="L1019" s="15">
        <v>207.99666666666667</v>
      </c>
      <c r="M1019" s="16">
        <v>215.67104166666664</v>
      </c>
    </row>
    <row r="1020" spans="1:13" s="5" customFormat="1" x14ac:dyDescent="0.25">
      <c r="A1020" s="12" t="s">
        <v>2000</v>
      </c>
      <c r="B1020" s="13" t="s">
        <v>2001</v>
      </c>
      <c r="C1020" s="14">
        <v>45861</v>
      </c>
      <c r="D1020" s="13">
        <v>2025</v>
      </c>
      <c r="E1020" s="13" t="s">
        <v>3347</v>
      </c>
      <c r="F1020" s="13" t="s">
        <v>34</v>
      </c>
      <c r="G1020" s="15">
        <v>800.45</v>
      </c>
      <c r="H1020" s="15">
        <v>800.45</v>
      </c>
      <c r="I1020" s="13">
        <v>2</v>
      </c>
      <c r="J1020" s="13">
        <v>2</v>
      </c>
      <c r="K1020" s="13" t="s">
        <v>3346</v>
      </c>
      <c r="L1020" s="15">
        <v>400.22500000000002</v>
      </c>
      <c r="M1020" s="16">
        <v>400.22500000000002</v>
      </c>
    </row>
    <row r="1021" spans="1:13" s="5" customFormat="1" x14ac:dyDescent="0.25">
      <c r="A1021" s="12" t="s">
        <v>2002</v>
      </c>
      <c r="B1021" s="13" t="s">
        <v>2003</v>
      </c>
      <c r="C1021" s="14">
        <v>45671</v>
      </c>
      <c r="D1021" s="13">
        <v>2025</v>
      </c>
      <c r="E1021" s="13" t="s">
        <v>3347</v>
      </c>
      <c r="F1021" s="13" t="s">
        <v>22</v>
      </c>
      <c r="G1021" s="15">
        <v>1344.01</v>
      </c>
      <c r="H1021" s="15">
        <v>1344.01</v>
      </c>
      <c r="I1021" s="13">
        <v>1</v>
      </c>
      <c r="J1021" s="13">
        <v>1</v>
      </c>
      <c r="K1021" s="13" t="s">
        <v>3346</v>
      </c>
      <c r="L1021" s="15">
        <v>1344.01</v>
      </c>
      <c r="M1021" s="16">
        <v>1344.01</v>
      </c>
    </row>
    <row r="1022" spans="1:13" s="5" customFormat="1" x14ac:dyDescent="0.25">
      <c r="A1022" s="12" t="s">
        <v>2004</v>
      </c>
      <c r="B1022" s="13" t="s">
        <v>1209</v>
      </c>
      <c r="C1022" s="14">
        <v>45935</v>
      </c>
      <c r="D1022" s="13">
        <v>2025</v>
      </c>
      <c r="E1022" s="13" t="s">
        <v>3347</v>
      </c>
      <c r="F1022" s="13" t="s">
        <v>25</v>
      </c>
      <c r="G1022" s="15">
        <v>1403.89</v>
      </c>
      <c r="H1022" s="15">
        <v>1403.89</v>
      </c>
      <c r="I1022" s="13">
        <v>8</v>
      </c>
      <c r="J1022" s="13">
        <v>8</v>
      </c>
      <c r="K1022" s="13" t="s">
        <v>3346</v>
      </c>
      <c r="L1022" s="15">
        <v>175.48625000000001</v>
      </c>
      <c r="M1022" s="16">
        <v>175.48625000000001</v>
      </c>
    </row>
    <row r="1023" spans="1:13" s="5" customFormat="1" x14ac:dyDescent="0.25">
      <c r="A1023" s="12" t="s">
        <v>2005</v>
      </c>
      <c r="B1023" s="13" t="s">
        <v>2006</v>
      </c>
      <c r="C1023" s="14">
        <v>45324</v>
      </c>
      <c r="D1023" s="13">
        <v>2024</v>
      </c>
      <c r="E1023" s="13" t="s">
        <v>10</v>
      </c>
      <c r="F1023" s="13" t="s">
        <v>34</v>
      </c>
      <c r="G1023" s="15">
        <v>1246.32</v>
      </c>
      <c r="H1023" s="15">
        <v>1246.32</v>
      </c>
      <c r="I1023" s="13">
        <v>9</v>
      </c>
      <c r="J1023" s="13">
        <v>9</v>
      </c>
      <c r="K1023" s="13" t="s">
        <v>3346</v>
      </c>
      <c r="L1023" s="15">
        <v>138.47999999999999</v>
      </c>
      <c r="M1023" s="16">
        <v>138.47999999999999</v>
      </c>
    </row>
    <row r="1024" spans="1:13" s="5" customFormat="1" x14ac:dyDescent="0.25">
      <c r="A1024" s="12" t="s">
        <v>2007</v>
      </c>
      <c r="B1024" s="13" t="s">
        <v>2008</v>
      </c>
      <c r="C1024" s="14">
        <v>45647</v>
      </c>
      <c r="D1024" s="13">
        <v>2024</v>
      </c>
      <c r="E1024" s="13" t="s">
        <v>10</v>
      </c>
      <c r="F1024" s="13" t="s">
        <v>22</v>
      </c>
      <c r="G1024" s="15">
        <v>1131.46</v>
      </c>
      <c r="H1024" s="15">
        <v>1131.46</v>
      </c>
      <c r="I1024" s="13">
        <v>10</v>
      </c>
      <c r="J1024" s="13">
        <v>10</v>
      </c>
      <c r="K1024" s="13" t="s">
        <v>15</v>
      </c>
      <c r="L1024" s="15">
        <v>113.146</v>
      </c>
      <c r="M1024" s="16">
        <v>113.146</v>
      </c>
    </row>
    <row r="1025" spans="1:13" s="5" customFormat="1" x14ac:dyDescent="0.25">
      <c r="A1025" s="12" t="s">
        <v>2009</v>
      </c>
      <c r="B1025" s="13" t="s">
        <v>2010</v>
      </c>
      <c r="C1025" s="14">
        <v>45273</v>
      </c>
      <c r="D1025" s="13">
        <v>2023</v>
      </c>
      <c r="E1025" s="13" t="s">
        <v>14</v>
      </c>
      <c r="F1025" s="13" t="s">
        <v>34</v>
      </c>
      <c r="G1025" s="15">
        <v>1637.65</v>
      </c>
      <c r="H1025" s="15">
        <v>1637.65</v>
      </c>
      <c r="I1025" s="13">
        <v>1</v>
      </c>
      <c r="J1025" s="13">
        <v>1</v>
      </c>
      <c r="K1025" s="13" t="s">
        <v>35</v>
      </c>
      <c r="L1025" s="15">
        <v>1637.65</v>
      </c>
      <c r="M1025" s="16">
        <v>1637.65</v>
      </c>
    </row>
    <row r="1026" spans="1:13" s="5" customFormat="1" x14ac:dyDescent="0.25">
      <c r="A1026" s="12" t="s">
        <v>2011</v>
      </c>
      <c r="B1026" s="13" t="s">
        <v>2012</v>
      </c>
      <c r="C1026" s="14">
        <v>44984</v>
      </c>
      <c r="D1026" s="13">
        <v>2023</v>
      </c>
      <c r="E1026" s="13" t="s">
        <v>21</v>
      </c>
      <c r="F1026" s="13" t="s">
        <v>34</v>
      </c>
      <c r="G1026" s="15">
        <v>472.08</v>
      </c>
      <c r="H1026" s="15">
        <v>472.08</v>
      </c>
      <c r="I1026" s="13">
        <v>8</v>
      </c>
      <c r="J1026" s="13">
        <v>8</v>
      </c>
      <c r="K1026" s="13" t="s">
        <v>15</v>
      </c>
      <c r="L1026" s="15">
        <v>59.01</v>
      </c>
      <c r="M1026" s="16">
        <v>59.01</v>
      </c>
    </row>
    <row r="1027" spans="1:13" s="5" customFormat="1" x14ac:dyDescent="0.25">
      <c r="A1027" s="12" t="s">
        <v>2013</v>
      </c>
      <c r="B1027" s="13" t="s">
        <v>2014</v>
      </c>
      <c r="C1027" s="14">
        <v>45065</v>
      </c>
      <c r="D1027" s="13">
        <v>2023</v>
      </c>
      <c r="E1027" s="13" t="s">
        <v>10</v>
      </c>
      <c r="F1027" s="13" t="s">
        <v>25</v>
      </c>
      <c r="G1027" s="15"/>
      <c r="H1027" s="15">
        <v>904.53666666666675</v>
      </c>
      <c r="I1027" s="13">
        <v>6</v>
      </c>
      <c r="J1027" s="13">
        <v>6</v>
      </c>
      <c r="K1027" s="13" t="s">
        <v>35</v>
      </c>
      <c r="L1027" s="15">
        <v>150.75611111111112</v>
      </c>
      <c r="M1027" s="16">
        <v>150.75611111111112</v>
      </c>
    </row>
    <row r="1028" spans="1:13" s="5" customFormat="1" x14ac:dyDescent="0.25">
      <c r="A1028" s="12" t="s">
        <v>2015</v>
      </c>
      <c r="B1028" s="13" t="s">
        <v>2016</v>
      </c>
      <c r="C1028" s="14">
        <v>44972</v>
      </c>
      <c r="D1028" s="13">
        <v>2023</v>
      </c>
      <c r="E1028" s="13" t="s">
        <v>14</v>
      </c>
      <c r="F1028" s="13" t="s">
        <v>34</v>
      </c>
      <c r="G1028" s="15">
        <v>1090.1400000000001</v>
      </c>
      <c r="H1028" s="15">
        <v>1090.1400000000001</v>
      </c>
      <c r="I1028" s="13">
        <v>4</v>
      </c>
      <c r="J1028" s="13">
        <v>4</v>
      </c>
      <c r="K1028" s="13" t="s">
        <v>18</v>
      </c>
      <c r="L1028" s="15">
        <v>272.53500000000003</v>
      </c>
      <c r="M1028" s="16">
        <v>272.53500000000003</v>
      </c>
    </row>
    <row r="1029" spans="1:13" s="5" customFormat="1" x14ac:dyDescent="0.25">
      <c r="A1029" s="12" t="s">
        <v>2017</v>
      </c>
      <c r="B1029" s="13" t="s">
        <v>2018</v>
      </c>
      <c r="C1029" s="14">
        <v>45690</v>
      </c>
      <c r="D1029" s="13">
        <v>2025</v>
      </c>
      <c r="E1029" s="13" t="s">
        <v>14</v>
      </c>
      <c r="F1029" s="13" t="s">
        <v>34</v>
      </c>
      <c r="G1029" s="15">
        <v>1037.79</v>
      </c>
      <c r="H1029" s="15">
        <v>1037.79</v>
      </c>
      <c r="I1029" s="13">
        <v>4</v>
      </c>
      <c r="J1029" s="13">
        <v>4</v>
      </c>
      <c r="K1029" s="13" t="s">
        <v>15</v>
      </c>
      <c r="L1029" s="15">
        <v>259.44749999999999</v>
      </c>
      <c r="M1029" s="16">
        <v>259.44749999999999</v>
      </c>
    </row>
    <row r="1030" spans="1:13" s="5" customFormat="1" x14ac:dyDescent="0.25">
      <c r="A1030" s="12" t="s">
        <v>2019</v>
      </c>
      <c r="B1030" s="13" t="s">
        <v>2020</v>
      </c>
      <c r="C1030" s="14">
        <v>45635</v>
      </c>
      <c r="D1030" s="13">
        <v>2024</v>
      </c>
      <c r="E1030" s="13" t="s">
        <v>3347</v>
      </c>
      <c r="F1030" s="13" t="s">
        <v>22</v>
      </c>
      <c r="G1030" s="15">
        <v>529.30999999999995</v>
      </c>
      <c r="H1030" s="15">
        <v>529.30999999999995</v>
      </c>
      <c r="I1030" s="13">
        <v>10</v>
      </c>
      <c r="J1030" s="13">
        <v>10</v>
      </c>
      <c r="K1030" s="13" t="s">
        <v>3348</v>
      </c>
      <c r="L1030" s="15">
        <v>52.930999999999997</v>
      </c>
      <c r="M1030" s="16">
        <v>52.930999999999997</v>
      </c>
    </row>
    <row r="1031" spans="1:13" s="5" customFormat="1" x14ac:dyDescent="0.25">
      <c r="A1031" s="12" t="s">
        <v>2021</v>
      </c>
      <c r="B1031" s="13" t="s">
        <v>2022</v>
      </c>
      <c r="C1031" s="14">
        <v>45715</v>
      </c>
      <c r="D1031" s="13">
        <v>2025</v>
      </c>
      <c r="E1031" s="13" t="s">
        <v>10</v>
      </c>
      <c r="F1031" s="13" t="s">
        <v>22</v>
      </c>
      <c r="G1031" s="15">
        <v>1181.72</v>
      </c>
      <c r="H1031" s="15">
        <v>1181.72</v>
      </c>
      <c r="I1031" s="13">
        <v>5</v>
      </c>
      <c r="J1031" s="13">
        <v>5</v>
      </c>
      <c r="K1031" s="13" t="s">
        <v>15</v>
      </c>
      <c r="L1031" s="15">
        <v>236.34399999999999</v>
      </c>
      <c r="M1031" s="16">
        <v>236.34399999999999</v>
      </c>
    </row>
    <row r="1032" spans="1:13" s="5" customFormat="1" x14ac:dyDescent="0.25">
      <c r="A1032" s="12" t="s">
        <v>2023</v>
      </c>
      <c r="B1032" s="13" t="s">
        <v>441</v>
      </c>
      <c r="C1032" s="14">
        <v>45744</v>
      </c>
      <c r="D1032" s="13">
        <v>2025</v>
      </c>
      <c r="E1032" s="13" t="s">
        <v>3347</v>
      </c>
      <c r="F1032" s="13" t="s">
        <v>11</v>
      </c>
      <c r="G1032" s="15">
        <v>1787.37</v>
      </c>
      <c r="H1032" s="15">
        <v>1787.37</v>
      </c>
      <c r="I1032" s="13">
        <v>4</v>
      </c>
      <c r="J1032" s="13">
        <v>4</v>
      </c>
      <c r="K1032" s="13" t="s">
        <v>18</v>
      </c>
      <c r="L1032" s="15">
        <v>446.84249999999997</v>
      </c>
      <c r="M1032" s="16">
        <v>446.84249999999997</v>
      </c>
    </row>
    <row r="1033" spans="1:13" s="5" customFormat="1" x14ac:dyDescent="0.25">
      <c r="A1033" s="12" t="s">
        <v>2024</v>
      </c>
      <c r="B1033" s="13" t="s">
        <v>2025</v>
      </c>
      <c r="C1033" s="14">
        <v>45651</v>
      </c>
      <c r="D1033" s="13">
        <v>2024</v>
      </c>
      <c r="E1033" s="13" t="s">
        <v>10</v>
      </c>
      <c r="F1033" s="13" t="s">
        <v>22</v>
      </c>
      <c r="G1033" s="15">
        <v>1552.09</v>
      </c>
      <c r="H1033" s="15">
        <v>1552.09</v>
      </c>
      <c r="I1033" s="13"/>
      <c r="J1033" s="13">
        <v>5</v>
      </c>
      <c r="K1033" s="13" t="s">
        <v>3348</v>
      </c>
      <c r="L1033" s="15">
        <v>310.41800000000001</v>
      </c>
      <c r="M1033" s="16">
        <v>299.63095238095235</v>
      </c>
    </row>
    <row r="1034" spans="1:13" s="5" customFormat="1" x14ac:dyDescent="0.25">
      <c r="A1034" s="12" t="s">
        <v>2026</v>
      </c>
      <c r="B1034" s="13" t="s">
        <v>2027</v>
      </c>
      <c r="C1034" s="14">
        <v>45165</v>
      </c>
      <c r="D1034" s="13">
        <v>2023</v>
      </c>
      <c r="E1034" s="13" t="s">
        <v>10</v>
      </c>
      <c r="F1034" s="13" t="s">
        <v>34</v>
      </c>
      <c r="G1034" s="15">
        <v>1579.23</v>
      </c>
      <c r="H1034" s="15">
        <v>1579.23</v>
      </c>
      <c r="I1034" s="13">
        <v>8</v>
      </c>
      <c r="J1034" s="13">
        <v>8</v>
      </c>
      <c r="K1034" s="13" t="s">
        <v>35</v>
      </c>
      <c r="L1034" s="15">
        <v>197.40375</v>
      </c>
      <c r="M1034" s="16">
        <v>197.40375</v>
      </c>
    </row>
    <row r="1035" spans="1:13" s="5" customFormat="1" x14ac:dyDescent="0.25">
      <c r="A1035" s="12" t="s">
        <v>2028</v>
      </c>
      <c r="B1035" s="13" t="s">
        <v>2029</v>
      </c>
      <c r="C1035" s="14">
        <v>45361</v>
      </c>
      <c r="D1035" s="13">
        <v>2024</v>
      </c>
      <c r="E1035" s="13" t="s">
        <v>10</v>
      </c>
      <c r="F1035" s="13" t="s">
        <v>34</v>
      </c>
      <c r="G1035" s="15">
        <v>1755.23</v>
      </c>
      <c r="H1035" s="15">
        <v>1755.23</v>
      </c>
      <c r="I1035" s="13">
        <v>5</v>
      </c>
      <c r="J1035" s="13">
        <v>5</v>
      </c>
      <c r="K1035" s="13" t="s">
        <v>15</v>
      </c>
      <c r="L1035" s="15">
        <v>351.04599999999999</v>
      </c>
      <c r="M1035" s="16">
        <v>351.04599999999999</v>
      </c>
    </row>
    <row r="1036" spans="1:13" s="5" customFormat="1" x14ac:dyDescent="0.25">
      <c r="A1036" s="12" t="s">
        <v>2030</v>
      </c>
      <c r="B1036" s="13" t="s">
        <v>2031</v>
      </c>
      <c r="C1036" s="14">
        <v>45660</v>
      </c>
      <c r="D1036" s="13">
        <v>2025</v>
      </c>
      <c r="E1036" s="13" t="s">
        <v>10</v>
      </c>
      <c r="F1036" s="13" t="s">
        <v>22</v>
      </c>
      <c r="G1036" s="15"/>
      <c r="H1036" s="15">
        <v>643.80700000000002</v>
      </c>
      <c r="I1036" s="13">
        <v>6</v>
      </c>
      <c r="J1036" s="13">
        <v>6</v>
      </c>
      <c r="K1036" s="13" t="s">
        <v>3346</v>
      </c>
      <c r="L1036" s="15">
        <v>107.30116666666667</v>
      </c>
      <c r="M1036" s="16">
        <v>107.30116666666667</v>
      </c>
    </row>
    <row r="1037" spans="1:13" s="5" customFormat="1" x14ac:dyDescent="0.25">
      <c r="A1037" s="12" t="s">
        <v>2032</v>
      </c>
      <c r="B1037" s="13" t="s">
        <v>2033</v>
      </c>
      <c r="C1037" s="14">
        <v>45812</v>
      </c>
      <c r="D1037" s="13">
        <v>2025</v>
      </c>
      <c r="E1037" s="13" t="s">
        <v>3347</v>
      </c>
      <c r="F1037" s="13" t="s">
        <v>11</v>
      </c>
      <c r="G1037" s="15"/>
      <c r="H1037" s="15">
        <v>3548.2821388888883</v>
      </c>
      <c r="I1037" s="13">
        <v>10</v>
      </c>
      <c r="J1037" s="13">
        <v>10</v>
      </c>
      <c r="K1037" s="13" t="s">
        <v>15</v>
      </c>
      <c r="L1037" s="15">
        <v>642.44020833333332</v>
      </c>
      <c r="M1037" s="16">
        <v>642.44020833333332</v>
      </c>
    </row>
    <row r="1038" spans="1:13" s="5" customFormat="1" x14ac:dyDescent="0.25">
      <c r="A1038" s="12" t="s">
        <v>2034</v>
      </c>
      <c r="B1038" s="13" t="s">
        <v>2035</v>
      </c>
      <c r="C1038" s="14">
        <v>45152</v>
      </c>
      <c r="D1038" s="13">
        <v>2023</v>
      </c>
      <c r="E1038" s="13" t="s">
        <v>21</v>
      </c>
      <c r="F1038" s="13" t="s">
        <v>11</v>
      </c>
      <c r="G1038" s="15">
        <v>1299.2</v>
      </c>
      <c r="H1038" s="15">
        <v>1299.2</v>
      </c>
      <c r="I1038" s="13">
        <v>4</v>
      </c>
      <c r="J1038" s="13">
        <v>4</v>
      </c>
      <c r="K1038" s="13" t="s">
        <v>3348</v>
      </c>
      <c r="L1038" s="15">
        <v>324.8</v>
      </c>
      <c r="M1038" s="16">
        <v>324.8</v>
      </c>
    </row>
    <row r="1039" spans="1:13" s="5" customFormat="1" x14ac:dyDescent="0.25">
      <c r="A1039" s="12" t="s">
        <v>2036</v>
      </c>
      <c r="B1039" s="13" t="s">
        <v>2037</v>
      </c>
      <c r="C1039" s="14">
        <v>45626</v>
      </c>
      <c r="D1039" s="13">
        <v>2024</v>
      </c>
      <c r="E1039" s="13" t="s">
        <v>21</v>
      </c>
      <c r="F1039" s="13" t="s">
        <v>22</v>
      </c>
      <c r="G1039" s="15">
        <v>954.11</v>
      </c>
      <c r="H1039" s="15">
        <v>954.11</v>
      </c>
      <c r="I1039" s="13">
        <v>7</v>
      </c>
      <c r="J1039" s="13">
        <v>7</v>
      </c>
      <c r="K1039" s="13" t="s">
        <v>15</v>
      </c>
      <c r="L1039" s="15">
        <v>136.30142857142857</v>
      </c>
      <c r="M1039" s="16">
        <v>136.30142857142857</v>
      </c>
    </row>
    <row r="1040" spans="1:13" s="5" customFormat="1" x14ac:dyDescent="0.25">
      <c r="A1040" s="12" t="s">
        <v>2038</v>
      </c>
      <c r="B1040" s="13" t="s">
        <v>2039</v>
      </c>
      <c r="C1040" s="14">
        <v>45424</v>
      </c>
      <c r="D1040" s="13">
        <v>2024</v>
      </c>
      <c r="E1040" s="13" t="s">
        <v>10</v>
      </c>
      <c r="F1040" s="13" t="s">
        <v>25</v>
      </c>
      <c r="G1040" s="15">
        <v>1807.96</v>
      </c>
      <c r="H1040" s="15">
        <v>1807.96</v>
      </c>
      <c r="I1040" s="13">
        <v>7</v>
      </c>
      <c r="J1040" s="13">
        <v>7</v>
      </c>
      <c r="K1040" s="13" t="s">
        <v>3348</v>
      </c>
      <c r="L1040" s="15">
        <v>258.28000000000003</v>
      </c>
      <c r="M1040" s="16">
        <v>258.28000000000003</v>
      </c>
    </row>
    <row r="1041" spans="1:13" s="5" customFormat="1" x14ac:dyDescent="0.25">
      <c r="A1041" s="12" t="s">
        <v>2040</v>
      </c>
      <c r="B1041" s="13" t="s">
        <v>2041</v>
      </c>
      <c r="C1041" s="14">
        <v>45282</v>
      </c>
      <c r="D1041" s="13">
        <v>2023</v>
      </c>
      <c r="E1041" s="13" t="s">
        <v>3347</v>
      </c>
      <c r="F1041" s="13" t="s">
        <v>11</v>
      </c>
      <c r="G1041" s="15">
        <v>216.78</v>
      </c>
      <c r="H1041" s="15">
        <v>216.78</v>
      </c>
      <c r="I1041" s="13">
        <v>3</v>
      </c>
      <c r="J1041" s="13">
        <v>3</v>
      </c>
      <c r="K1041" s="13" t="s">
        <v>3348</v>
      </c>
      <c r="L1041" s="15">
        <v>72.260000000000005</v>
      </c>
      <c r="M1041" s="16">
        <v>72.260000000000005</v>
      </c>
    </row>
    <row r="1042" spans="1:13" s="5" customFormat="1" x14ac:dyDescent="0.25">
      <c r="A1042" s="12" t="s">
        <v>2042</v>
      </c>
      <c r="B1042" s="13" t="s">
        <v>2043</v>
      </c>
      <c r="C1042" s="14">
        <v>45635</v>
      </c>
      <c r="D1042" s="13">
        <v>2024</v>
      </c>
      <c r="E1042" s="13" t="s">
        <v>21</v>
      </c>
      <c r="F1042" s="13" t="s">
        <v>22</v>
      </c>
      <c r="G1042" s="15">
        <v>1042.49</v>
      </c>
      <c r="H1042" s="15">
        <v>1042.49</v>
      </c>
      <c r="I1042" s="13">
        <v>3</v>
      </c>
      <c r="J1042" s="13">
        <v>3</v>
      </c>
      <c r="K1042" s="13" t="s">
        <v>15</v>
      </c>
      <c r="L1042" s="15">
        <v>347.49666666666667</v>
      </c>
      <c r="M1042" s="16">
        <v>347.49666666666667</v>
      </c>
    </row>
    <row r="1043" spans="1:13" s="5" customFormat="1" x14ac:dyDescent="0.25">
      <c r="A1043" s="12" t="s">
        <v>2044</v>
      </c>
      <c r="B1043" s="13" t="s">
        <v>767</v>
      </c>
      <c r="C1043" s="14">
        <v>45246</v>
      </c>
      <c r="D1043" s="13">
        <v>2023</v>
      </c>
      <c r="E1043" s="13" t="s">
        <v>14</v>
      </c>
      <c r="F1043" s="13" t="s">
        <v>34</v>
      </c>
      <c r="G1043" s="15">
        <v>1533.56</v>
      </c>
      <c r="H1043" s="15">
        <v>1533.56</v>
      </c>
      <c r="I1043" s="13">
        <v>4</v>
      </c>
      <c r="J1043" s="13">
        <v>4</v>
      </c>
      <c r="K1043" s="13" t="s">
        <v>35</v>
      </c>
      <c r="L1043" s="15">
        <v>383.39</v>
      </c>
      <c r="M1043" s="16">
        <v>383.39</v>
      </c>
    </row>
    <row r="1044" spans="1:13" s="5" customFormat="1" x14ac:dyDescent="0.25">
      <c r="A1044" s="12" t="s">
        <v>2045</v>
      </c>
      <c r="B1044" s="13" t="s">
        <v>2046</v>
      </c>
      <c r="C1044" s="14">
        <v>45651</v>
      </c>
      <c r="D1044" s="13">
        <v>2024</v>
      </c>
      <c r="E1044" s="13" t="s">
        <v>14</v>
      </c>
      <c r="F1044" s="13" t="s">
        <v>11</v>
      </c>
      <c r="G1044" s="15">
        <v>289.60000000000002</v>
      </c>
      <c r="H1044" s="15">
        <v>289.60000000000002</v>
      </c>
      <c r="I1044" s="13">
        <v>4</v>
      </c>
      <c r="J1044" s="13">
        <v>4</v>
      </c>
      <c r="K1044" s="13" t="s">
        <v>15</v>
      </c>
      <c r="L1044" s="15">
        <v>72.400000000000006</v>
      </c>
      <c r="M1044" s="16">
        <v>72.400000000000006</v>
      </c>
    </row>
    <row r="1045" spans="1:13" s="5" customFormat="1" x14ac:dyDescent="0.25">
      <c r="A1045" s="12" t="s">
        <v>2047</v>
      </c>
      <c r="B1045" s="13" t="s">
        <v>2048</v>
      </c>
      <c r="C1045" s="14">
        <v>44998</v>
      </c>
      <c r="D1045" s="13">
        <v>2023</v>
      </c>
      <c r="E1045" s="13" t="s">
        <v>10</v>
      </c>
      <c r="F1045" s="13" t="s">
        <v>25</v>
      </c>
      <c r="G1045" s="15"/>
      <c r="H1045" s="15">
        <v>1783.9476190476191</v>
      </c>
      <c r="I1045" s="13">
        <v>10</v>
      </c>
      <c r="J1045" s="13">
        <v>10</v>
      </c>
      <c r="K1045" s="13" t="s">
        <v>18</v>
      </c>
      <c r="L1045" s="15">
        <v>178.39476190476191</v>
      </c>
      <c r="M1045" s="16">
        <v>178.39476190476191</v>
      </c>
    </row>
    <row r="1046" spans="1:13" s="5" customFormat="1" x14ac:dyDescent="0.25">
      <c r="A1046" s="12" t="s">
        <v>2049</v>
      </c>
      <c r="B1046" s="13" t="s">
        <v>2050</v>
      </c>
      <c r="C1046" s="14">
        <v>45731</v>
      </c>
      <c r="D1046" s="13">
        <v>2025</v>
      </c>
      <c r="E1046" s="13" t="s">
        <v>21</v>
      </c>
      <c r="F1046" s="13" t="s">
        <v>34</v>
      </c>
      <c r="G1046" s="15">
        <v>37.5</v>
      </c>
      <c r="H1046" s="15">
        <v>37.5</v>
      </c>
      <c r="I1046" s="13">
        <v>1</v>
      </c>
      <c r="J1046" s="13">
        <v>1</v>
      </c>
      <c r="K1046" s="13" t="s">
        <v>3348</v>
      </c>
      <c r="L1046" s="15">
        <v>37.5</v>
      </c>
      <c r="M1046" s="16">
        <v>37.5</v>
      </c>
    </row>
    <row r="1047" spans="1:13" s="5" customFormat="1" x14ac:dyDescent="0.25">
      <c r="A1047" s="12" t="s">
        <v>2051</v>
      </c>
      <c r="B1047" s="13" t="s">
        <v>2052</v>
      </c>
      <c r="C1047" s="14">
        <v>45558</v>
      </c>
      <c r="D1047" s="13">
        <v>2024</v>
      </c>
      <c r="E1047" s="13" t="s">
        <v>21</v>
      </c>
      <c r="F1047" s="13" t="s">
        <v>34</v>
      </c>
      <c r="G1047" s="15"/>
      <c r="H1047" s="15">
        <v>3543.0938624338623</v>
      </c>
      <c r="I1047" s="13">
        <v>8</v>
      </c>
      <c r="J1047" s="13">
        <v>8</v>
      </c>
      <c r="K1047" s="13" t="s">
        <v>3346</v>
      </c>
      <c r="L1047" s="15">
        <v>442.88673280423279</v>
      </c>
      <c r="M1047" s="16">
        <v>442.88673280423279</v>
      </c>
    </row>
    <row r="1048" spans="1:13" s="5" customFormat="1" x14ac:dyDescent="0.25">
      <c r="A1048" s="12" t="s">
        <v>2053</v>
      </c>
      <c r="B1048" s="13" t="s">
        <v>2054</v>
      </c>
      <c r="C1048" s="14">
        <v>45079</v>
      </c>
      <c r="D1048" s="13">
        <v>2023</v>
      </c>
      <c r="E1048" s="13" t="s">
        <v>14</v>
      </c>
      <c r="F1048" s="13" t="s">
        <v>11</v>
      </c>
      <c r="G1048" s="15">
        <v>1256.6500000000001</v>
      </c>
      <c r="H1048" s="15">
        <v>1256.6500000000001</v>
      </c>
      <c r="I1048" s="13"/>
      <c r="J1048" s="13">
        <v>4</v>
      </c>
      <c r="K1048" s="13" t="s">
        <v>18</v>
      </c>
      <c r="L1048" s="15">
        <v>314.16250000000002</v>
      </c>
      <c r="M1048" s="16">
        <v>343.38708333333335</v>
      </c>
    </row>
    <row r="1049" spans="1:13" s="5" customFormat="1" x14ac:dyDescent="0.25">
      <c r="A1049" s="12" t="s">
        <v>2055</v>
      </c>
      <c r="B1049" s="13" t="s">
        <v>2056</v>
      </c>
      <c r="C1049" s="14">
        <v>45579</v>
      </c>
      <c r="D1049" s="13">
        <v>2024</v>
      </c>
      <c r="E1049" s="13" t="s">
        <v>21</v>
      </c>
      <c r="F1049" s="13" t="s">
        <v>22</v>
      </c>
      <c r="G1049" s="15">
        <v>1561.57</v>
      </c>
      <c r="H1049" s="15">
        <v>1561.57</v>
      </c>
      <c r="I1049" s="13">
        <v>4</v>
      </c>
      <c r="J1049" s="13">
        <v>4</v>
      </c>
      <c r="K1049" s="13" t="s">
        <v>3346</v>
      </c>
      <c r="L1049" s="15">
        <v>390.39249999999998</v>
      </c>
      <c r="M1049" s="16">
        <v>390.39249999999998</v>
      </c>
    </row>
    <row r="1050" spans="1:13" s="5" customFormat="1" x14ac:dyDescent="0.25">
      <c r="A1050" s="12" t="s">
        <v>2057</v>
      </c>
      <c r="B1050" s="13" t="s">
        <v>2058</v>
      </c>
      <c r="C1050" s="14">
        <v>44877</v>
      </c>
      <c r="D1050" s="13">
        <v>2022</v>
      </c>
      <c r="E1050" s="13" t="s">
        <v>14</v>
      </c>
      <c r="F1050" s="13" t="s">
        <v>22</v>
      </c>
      <c r="G1050" s="15">
        <v>1551.26</v>
      </c>
      <c r="H1050" s="15">
        <v>1551.26</v>
      </c>
      <c r="I1050" s="13">
        <v>10</v>
      </c>
      <c r="J1050" s="13">
        <v>10</v>
      </c>
      <c r="K1050" s="13" t="s">
        <v>3346</v>
      </c>
      <c r="L1050" s="15">
        <v>155.126</v>
      </c>
      <c r="M1050" s="16">
        <v>155.126</v>
      </c>
    </row>
    <row r="1051" spans="1:13" s="5" customFormat="1" x14ac:dyDescent="0.25">
      <c r="A1051" s="12" t="s">
        <v>2059</v>
      </c>
      <c r="B1051" s="13" t="s">
        <v>2060</v>
      </c>
      <c r="C1051" s="14">
        <v>45370</v>
      </c>
      <c r="D1051" s="13">
        <v>2024</v>
      </c>
      <c r="E1051" s="13" t="s">
        <v>3347</v>
      </c>
      <c r="F1051" s="13" t="s">
        <v>22</v>
      </c>
      <c r="G1051" s="15">
        <v>1285.53</v>
      </c>
      <c r="H1051" s="15">
        <v>1285.53</v>
      </c>
      <c r="I1051" s="13">
        <v>6</v>
      </c>
      <c r="J1051" s="13">
        <v>6</v>
      </c>
      <c r="K1051" s="13" t="s">
        <v>15</v>
      </c>
      <c r="L1051" s="15">
        <v>214.255</v>
      </c>
      <c r="M1051" s="16">
        <v>214.255</v>
      </c>
    </row>
    <row r="1052" spans="1:13" s="5" customFormat="1" x14ac:dyDescent="0.25">
      <c r="A1052" s="12" t="s">
        <v>2061</v>
      </c>
      <c r="B1052" s="13" t="s">
        <v>2062</v>
      </c>
      <c r="C1052" s="14">
        <v>45141</v>
      </c>
      <c r="D1052" s="13">
        <v>2023</v>
      </c>
      <c r="E1052" s="13" t="s">
        <v>10</v>
      </c>
      <c r="F1052" s="13" t="s">
        <v>22</v>
      </c>
      <c r="G1052" s="15">
        <v>395.61</v>
      </c>
      <c r="H1052" s="15">
        <v>395.61</v>
      </c>
      <c r="I1052" s="13">
        <v>10</v>
      </c>
      <c r="J1052" s="13">
        <v>10</v>
      </c>
      <c r="K1052" s="13" t="s">
        <v>3348</v>
      </c>
      <c r="L1052" s="15">
        <v>39.561</v>
      </c>
      <c r="M1052" s="16">
        <v>39.561</v>
      </c>
    </row>
    <row r="1053" spans="1:13" s="5" customFormat="1" x14ac:dyDescent="0.25">
      <c r="A1053" s="12" t="s">
        <v>2063</v>
      </c>
      <c r="B1053" s="13" t="s">
        <v>2064</v>
      </c>
      <c r="C1053" s="14">
        <v>45238</v>
      </c>
      <c r="D1053" s="13">
        <v>2023</v>
      </c>
      <c r="E1053" s="13" t="s">
        <v>10</v>
      </c>
      <c r="F1053" s="13" t="s">
        <v>22</v>
      </c>
      <c r="G1053" s="15"/>
      <c r="H1053" s="15">
        <v>2204.9461666666666</v>
      </c>
      <c r="I1053" s="13">
        <v>7</v>
      </c>
      <c r="J1053" s="13">
        <v>7</v>
      </c>
      <c r="K1053" s="13" t="s">
        <v>3346</v>
      </c>
      <c r="L1053" s="15">
        <v>314.99230952380952</v>
      </c>
      <c r="M1053" s="16">
        <v>314.99230952380952</v>
      </c>
    </row>
    <row r="1054" spans="1:13" s="5" customFormat="1" x14ac:dyDescent="0.25">
      <c r="A1054" s="12" t="s">
        <v>2065</v>
      </c>
      <c r="B1054" s="13" t="s">
        <v>2066</v>
      </c>
      <c r="C1054" s="14">
        <v>45520</v>
      </c>
      <c r="D1054" s="13">
        <v>2024</v>
      </c>
      <c r="E1054" s="13" t="s">
        <v>21</v>
      </c>
      <c r="F1054" s="13" t="s">
        <v>22</v>
      </c>
      <c r="G1054" s="15"/>
      <c r="H1054" s="15">
        <v>3431.5901904761904</v>
      </c>
      <c r="I1054" s="13">
        <v>8</v>
      </c>
      <c r="J1054" s="13">
        <v>8</v>
      </c>
      <c r="K1054" s="13" t="s">
        <v>3348</v>
      </c>
      <c r="L1054" s="15">
        <v>428.9487738095238</v>
      </c>
      <c r="M1054" s="16">
        <v>428.9487738095238</v>
      </c>
    </row>
    <row r="1055" spans="1:13" s="5" customFormat="1" x14ac:dyDescent="0.25">
      <c r="A1055" s="12" t="s">
        <v>2067</v>
      </c>
      <c r="B1055" s="13" t="s">
        <v>2068</v>
      </c>
      <c r="C1055" s="14">
        <v>45871</v>
      </c>
      <c r="D1055" s="13">
        <v>2025</v>
      </c>
      <c r="E1055" s="13" t="s">
        <v>10</v>
      </c>
      <c r="F1055" s="13" t="s">
        <v>11</v>
      </c>
      <c r="G1055" s="15">
        <v>411.81</v>
      </c>
      <c r="H1055" s="15">
        <v>411.81</v>
      </c>
      <c r="I1055" s="13">
        <v>3</v>
      </c>
      <c r="J1055" s="13">
        <v>3</v>
      </c>
      <c r="K1055" s="13" t="s">
        <v>3348</v>
      </c>
      <c r="L1055" s="15">
        <v>137.27000000000001</v>
      </c>
      <c r="M1055" s="16">
        <v>137.27000000000001</v>
      </c>
    </row>
    <row r="1056" spans="1:13" s="5" customFormat="1" x14ac:dyDescent="0.25">
      <c r="A1056" s="12" t="s">
        <v>2069</v>
      </c>
      <c r="B1056" s="13" t="s">
        <v>2070</v>
      </c>
      <c r="C1056" s="14">
        <v>45379</v>
      </c>
      <c r="D1056" s="13">
        <v>2024</v>
      </c>
      <c r="E1056" s="13" t="s">
        <v>3347</v>
      </c>
      <c r="F1056" s="13" t="s">
        <v>11</v>
      </c>
      <c r="G1056" s="15">
        <v>1664.88</v>
      </c>
      <c r="H1056" s="15">
        <v>1664.88</v>
      </c>
      <c r="I1056" s="13">
        <v>1</v>
      </c>
      <c r="J1056" s="13">
        <v>1</v>
      </c>
      <c r="K1056" s="13" t="s">
        <v>3348</v>
      </c>
      <c r="L1056" s="15">
        <v>1664.88</v>
      </c>
      <c r="M1056" s="16">
        <v>1664.88</v>
      </c>
    </row>
    <row r="1057" spans="1:13" s="5" customFormat="1" x14ac:dyDescent="0.25">
      <c r="A1057" s="12" t="s">
        <v>2071</v>
      </c>
      <c r="B1057" s="13" t="s">
        <v>2072</v>
      </c>
      <c r="C1057" s="14">
        <v>45388</v>
      </c>
      <c r="D1057" s="13">
        <v>2024</v>
      </c>
      <c r="E1057" s="13" t="s">
        <v>3347</v>
      </c>
      <c r="F1057" s="13" t="s">
        <v>34</v>
      </c>
      <c r="G1057" s="15">
        <v>238.49</v>
      </c>
      <c r="H1057" s="15">
        <v>238.49</v>
      </c>
      <c r="I1057" s="13">
        <v>6</v>
      </c>
      <c r="J1057" s="13">
        <v>6</v>
      </c>
      <c r="K1057" s="13" t="s">
        <v>3346</v>
      </c>
      <c r="L1057" s="15">
        <v>39.748333333333335</v>
      </c>
      <c r="M1057" s="16">
        <v>39.748333333333335</v>
      </c>
    </row>
    <row r="1058" spans="1:13" s="5" customFormat="1" x14ac:dyDescent="0.25">
      <c r="A1058" s="12" t="s">
        <v>2073</v>
      </c>
      <c r="B1058" s="13" t="s">
        <v>2074</v>
      </c>
      <c r="C1058" s="14">
        <v>45945</v>
      </c>
      <c r="D1058" s="13">
        <v>2025</v>
      </c>
      <c r="E1058" s="13" t="s">
        <v>14</v>
      </c>
      <c r="F1058" s="13" t="s">
        <v>11</v>
      </c>
      <c r="G1058" s="15">
        <v>1482.77</v>
      </c>
      <c r="H1058" s="15">
        <v>1482.77</v>
      </c>
      <c r="I1058" s="13">
        <v>9</v>
      </c>
      <c r="J1058" s="13">
        <v>9</v>
      </c>
      <c r="K1058" s="13" t="s">
        <v>35</v>
      </c>
      <c r="L1058" s="15">
        <v>164.75222222222223</v>
      </c>
      <c r="M1058" s="16">
        <v>164.75222222222223</v>
      </c>
    </row>
    <row r="1059" spans="1:13" s="5" customFormat="1" x14ac:dyDescent="0.25">
      <c r="A1059" s="12" t="s">
        <v>2075</v>
      </c>
      <c r="B1059" s="13" t="s">
        <v>2076</v>
      </c>
      <c r="C1059" s="14">
        <v>45860</v>
      </c>
      <c r="D1059" s="13">
        <v>2025</v>
      </c>
      <c r="E1059" s="13" t="s">
        <v>21</v>
      </c>
      <c r="F1059" s="13" t="s">
        <v>34</v>
      </c>
      <c r="G1059" s="15">
        <v>1771.01</v>
      </c>
      <c r="H1059" s="15">
        <v>1771.01</v>
      </c>
      <c r="I1059" s="13">
        <v>4</v>
      </c>
      <c r="J1059" s="13">
        <v>4</v>
      </c>
      <c r="K1059" s="13" t="s">
        <v>18</v>
      </c>
      <c r="L1059" s="15">
        <v>442.7525</v>
      </c>
      <c r="M1059" s="16">
        <v>442.7525</v>
      </c>
    </row>
    <row r="1060" spans="1:13" s="5" customFormat="1" x14ac:dyDescent="0.25">
      <c r="A1060" s="12" t="s">
        <v>2077</v>
      </c>
      <c r="B1060" s="13" t="s">
        <v>2078</v>
      </c>
      <c r="C1060" s="14">
        <v>45592</v>
      </c>
      <c r="D1060" s="13">
        <v>2024</v>
      </c>
      <c r="E1060" s="13" t="s">
        <v>21</v>
      </c>
      <c r="F1060" s="13" t="s">
        <v>22</v>
      </c>
      <c r="G1060" s="15">
        <v>617.27</v>
      </c>
      <c r="H1060" s="15">
        <v>617.27</v>
      </c>
      <c r="I1060" s="13">
        <v>3</v>
      </c>
      <c r="J1060" s="13">
        <v>3</v>
      </c>
      <c r="K1060" s="13" t="s">
        <v>3348</v>
      </c>
      <c r="L1060" s="15">
        <v>205.75666666666666</v>
      </c>
      <c r="M1060" s="16">
        <v>205.75666666666666</v>
      </c>
    </row>
    <row r="1061" spans="1:13" s="5" customFormat="1" x14ac:dyDescent="0.25">
      <c r="A1061" s="12" t="s">
        <v>2079</v>
      </c>
      <c r="B1061" s="13" t="s">
        <v>2080</v>
      </c>
      <c r="C1061" s="14">
        <v>45682</v>
      </c>
      <c r="D1061" s="13">
        <v>2025</v>
      </c>
      <c r="E1061" s="13" t="s">
        <v>10</v>
      </c>
      <c r="F1061" s="13" t="s">
        <v>22</v>
      </c>
      <c r="G1061" s="15">
        <v>1874.96</v>
      </c>
      <c r="H1061" s="15">
        <v>1874.96</v>
      </c>
      <c r="I1061" s="13"/>
      <c r="J1061" s="13">
        <v>10</v>
      </c>
      <c r="K1061" s="13" t="s">
        <v>15</v>
      </c>
      <c r="L1061" s="15">
        <v>124.99733333333333</v>
      </c>
      <c r="M1061" s="16">
        <v>122.94596296296295</v>
      </c>
    </row>
    <row r="1062" spans="1:13" s="5" customFormat="1" x14ac:dyDescent="0.25">
      <c r="A1062" s="12" t="s">
        <v>2081</v>
      </c>
      <c r="B1062" s="13" t="s">
        <v>2082</v>
      </c>
      <c r="C1062" s="14">
        <v>44947</v>
      </c>
      <c r="D1062" s="13">
        <v>2023</v>
      </c>
      <c r="E1062" s="13" t="s">
        <v>3347</v>
      </c>
      <c r="F1062" s="13" t="s">
        <v>25</v>
      </c>
      <c r="G1062" s="15">
        <v>1210.58</v>
      </c>
      <c r="H1062" s="15">
        <v>1210.58</v>
      </c>
      <c r="I1062" s="13">
        <v>9</v>
      </c>
      <c r="J1062" s="13">
        <v>9</v>
      </c>
      <c r="K1062" s="13" t="s">
        <v>18</v>
      </c>
      <c r="L1062" s="15">
        <v>134.50888888888889</v>
      </c>
      <c r="M1062" s="16">
        <v>134.50888888888889</v>
      </c>
    </row>
    <row r="1063" spans="1:13" s="5" customFormat="1" x14ac:dyDescent="0.25">
      <c r="A1063" s="12" t="s">
        <v>2083</v>
      </c>
      <c r="B1063" s="13" t="s">
        <v>2084</v>
      </c>
      <c r="C1063" s="14">
        <v>45348</v>
      </c>
      <c r="D1063" s="13">
        <v>2024</v>
      </c>
      <c r="E1063" s="13" t="s">
        <v>10</v>
      </c>
      <c r="F1063" s="13" t="s">
        <v>25</v>
      </c>
      <c r="G1063" s="15"/>
      <c r="H1063" s="15">
        <v>2636.34</v>
      </c>
      <c r="I1063" s="13">
        <v>8</v>
      </c>
      <c r="J1063" s="13">
        <v>8</v>
      </c>
      <c r="K1063" s="13" t="s">
        <v>3348</v>
      </c>
      <c r="L1063" s="15">
        <v>329.54250000000002</v>
      </c>
      <c r="M1063" s="16">
        <v>329.54250000000002</v>
      </c>
    </row>
    <row r="1064" spans="1:13" s="5" customFormat="1" x14ac:dyDescent="0.25">
      <c r="A1064" s="12" t="s">
        <v>2085</v>
      </c>
      <c r="B1064" s="13" t="s">
        <v>2086</v>
      </c>
      <c r="C1064" s="14">
        <v>45564</v>
      </c>
      <c r="D1064" s="13">
        <v>2024</v>
      </c>
      <c r="E1064" s="13" t="s">
        <v>21</v>
      </c>
      <c r="F1064" s="13" t="s">
        <v>34</v>
      </c>
      <c r="G1064" s="15">
        <v>755.55</v>
      </c>
      <c r="H1064" s="15">
        <v>755.55</v>
      </c>
      <c r="I1064" s="13">
        <v>5</v>
      </c>
      <c r="J1064" s="13">
        <v>5</v>
      </c>
      <c r="K1064" s="13" t="s">
        <v>3348</v>
      </c>
      <c r="L1064" s="15">
        <v>151.10999999999999</v>
      </c>
      <c r="M1064" s="16">
        <v>151.10999999999999</v>
      </c>
    </row>
    <row r="1065" spans="1:13" s="5" customFormat="1" x14ac:dyDescent="0.25">
      <c r="A1065" s="12" t="s">
        <v>2087</v>
      </c>
      <c r="B1065" s="13" t="s">
        <v>2088</v>
      </c>
      <c r="C1065" s="14">
        <v>44950</v>
      </c>
      <c r="D1065" s="13">
        <v>2023</v>
      </c>
      <c r="E1065" s="13" t="s">
        <v>3347</v>
      </c>
      <c r="F1065" s="13" t="s">
        <v>11</v>
      </c>
      <c r="G1065" s="15"/>
      <c r="H1065" s="15">
        <v>317.94428571428574</v>
      </c>
      <c r="I1065" s="13">
        <v>3</v>
      </c>
      <c r="J1065" s="13">
        <v>3</v>
      </c>
      <c r="K1065" s="13" t="s">
        <v>3348</v>
      </c>
      <c r="L1065" s="15">
        <v>105.98142857142858</v>
      </c>
      <c r="M1065" s="16">
        <v>105.98142857142858</v>
      </c>
    </row>
    <row r="1066" spans="1:13" s="5" customFormat="1" x14ac:dyDescent="0.25">
      <c r="A1066" s="12" t="s">
        <v>2089</v>
      </c>
      <c r="B1066" s="13" t="s">
        <v>1360</v>
      </c>
      <c r="C1066" s="14">
        <v>44868</v>
      </c>
      <c r="D1066" s="13">
        <v>2022</v>
      </c>
      <c r="E1066" s="13" t="s">
        <v>10</v>
      </c>
      <c r="F1066" s="13" t="s">
        <v>34</v>
      </c>
      <c r="G1066" s="15">
        <v>52.5</v>
      </c>
      <c r="H1066" s="15">
        <v>52.5</v>
      </c>
      <c r="I1066" s="13">
        <v>2</v>
      </c>
      <c r="J1066" s="13">
        <v>2</v>
      </c>
      <c r="K1066" s="13" t="s">
        <v>35</v>
      </c>
      <c r="L1066" s="15">
        <v>26.25</v>
      </c>
      <c r="M1066" s="16">
        <v>26.25</v>
      </c>
    </row>
    <row r="1067" spans="1:13" s="5" customFormat="1" x14ac:dyDescent="0.25">
      <c r="A1067" s="12" t="s">
        <v>2090</v>
      </c>
      <c r="B1067" s="13" t="s">
        <v>2091</v>
      </c>
      <c r="C1067" s="14">
        <v>45734</v>
      </c>
      <c r="D1067" s="13">
        <v>2025</v>
      </c>
      <c r="E1067" s="13" t="s">
        <v>10</v>
      </c>
      <c r="F1067" s="13" t="s">
        <v>25</v>
      </c>
      <c r="G1067" s="15">
        <v>503.77</v>
      </c>
      <c r="H1067" s="15">
        <v>503.77</v>
      </c>
      <c r="I1067" s="13">
        <v>3</v>
      </c>
      <c r="J1067" s="13">
        <v>3</v>
      </c>
      <c r="K1067" s="13" t="s">
        <v>3346</v>
      </c>
      <c r="L1067" s="15">
        <v>167.92333333333332</v>
      </c>
      <c r="M1067" s="16">
        <v>167.92333333333332</v>
      </c>
    </row>
    <row r="1068" spans="1:13" s="5" customFormat="1" x14ac:dyDescent="0.25">
      <c r="A1068" s="12" t="s">
        <v>2092</v>
      </c>
      <c r="B1068" s="13" t="s">
        <v>804</v>
      </c>
      <c r="C1068" s="14">
        <v>45464</v>
      </c>
      <c r="D1068" s="13">
        <v>2024</v>
      </c>
      <c r="E1068" s="13" t="s">
        <v>21</v>
      </c>
      <c r="F1068" s="13" t="s">
        <v>25</v>
      </c>
      <c r="G1068" s="15"/>
      <c r="H1068" s="15">
        <v>261.8669523809524</v>
      </c>
      <c r="I1068" s="13">
        <v>2</v>
      </c>
      <c r="J1068" s="13">
        <v>2</v>
      </c>
      <c r="K1068" s="13" t="s">
        <v>35</v>
      </c>
      <c r="L1068" s="15">
        <v>130.9334761904762</v>
      </c>
      <c r="M1068" s="16">
        <v>130.9334761904762</v>
      </c>
    </row>
    <row r="1069" spans="1:13" s="5" customFormat="1" x14ac:dyDescent="0.25">
      <c r="A1069" s="12" t="s">
        <v>2093</v>
      </c>
      <c r="B1069" s="13" t="s">
        <v>2094</v>
      </c>
      <c r="C1069" s="14">
        <v>44896</v>
      </c>
      <c r="D1069" s="13">
        <v>2022</v>
      </c>
      <c r="E1069" s="13" t="s">
        <v>14</v>
      </c>
      <c r="F1069" s="13" t="s">
        <v>25</v>
      </c>
      <c r="G1069" s="15">
        <v>1242.82</v>
      </c>
      <c r="H1069" s="15">
        <v>1242.82</v>
      </c>
      <c r="I1069" s="13"/>
      <c r="J1069" s="13">
        <v>10</v>
      </c>
      <c r="K1069" s="13" t="s">
        <v>3346</v>
      </c>
      <c r="L1069" s="15">
        <v>25.892083333333332</v>
      </c>
      <c r="M1069" s="16">
        <v>25.735714285714288</v>
      </c>
    </row>
    <row r="1070" spans="1:13" s="5" customFormat="1" x14ac:dyDescent="0.25">
      <c r="A1070" s="12" t="s">
        <v>2095</v>
      </c>
      <c r="B1070" s="13" t="s">
        <v>2096</v>
      </c>
      <c r="C1070" s="14">
        <v>45024</v>
      </c>
      <c r="D1070" s="13">
        <v>2023</v>
      </c>
      <c r="E1070" s="13" t="s">
        <v>14</v>
      </c>
      <c r="F1070" s="13" t="s">
        <v>25</v>
      </c>
      <c r="G1070" s="15"/>
      <c r="H1070" s="15">
        <v>3548.2821388888883</v>
      </c>
      <c r="I1070" s="13">
        <v>6</v>
      </c>
      <c r="J1070" s="13">
        <v>6</v>
      </c>
      <c r="K1070" s="13" t="s">
        <v>15</v>
      </c>
      <c r="L1070" s="15">
        <v>657.95380952380935</v>
      </c>
      <c r="M1070" s="16">
        <v>657.95380952380935</v>
      </c>
    </row>
    <row r="1071" spans="1:13" s="5" customFormat="1" x14ac:dyDescent="0.25">
      <c r="A1071" s="12" t="s">
        <v>2097</v>
      </c>
      <c r="B1071" s="13" t="s">
        <v>2098</v>
      </c>
      <c r="C1071" s="14">
        <v>45202</v>
      </c>
      <c r="D1071" s="13">
        <v>2023</v>
      </c>
      <c r="E1071" s="13" t="s">
        <v>10</v>
      </c>
      <c r="F1071" s="13" t="s">
        <v>25</v>
      </c>
      <c r="G1071" s="15">
        <v>426.54</v>
      </c>
      <c r="H1071" s="15">
        <v>426.54</v>
      </c>
      <c r="I1071" s="13">
        <v>4</v>
      </c>
      <c r="J1071" s="13">
        <v>4</v>
      </c>
      <c r="K1071" s="13" t="s">
        <v>3346</v>
      </c>
      <c r="L1071" s="15">
        <v>106.63500000000001</v>
      </c>
      <c r="M1071" s="16">
        <v>106.63500000000001</v>
      </c>
    </row>
    <row r="1072" spans="1:13" s="5" customFormat="1" x14ac:dyDescent="0.25">
      <c r="A1072" s="12" t="s">
        <v>2099</v>
      </c>
      <c r="B1072" s="13" t="s">
        <v>2100</v>
      </c>
      <c r="C1072" s="14">
        <v>45726</v>
      </c>
      <c r="D1072" s="13">
        <v>2025</v>
      </c>
      <c r="E1072" s="13" t="s">
        <v>14</v>
      </c>
      <c r="F1072" s="13" t="s">
        <v>22</v>
      </c>
      <c r="G1072" s="15">
        <v>824.98</v>
      </c>
      <c r="H1072" s="15">
        <v>824.98</v>
      </c>
      <c r="I1072" s="13">
        <v>7</v>
      </c>
      <c r="J1072" s="13">
        <v>7</v>
      </c>
      <c r="K1072" s="13" t="s">
        <v>3346</v>
      </c>
      <c r="L1072" s="15">
        <v>117.85428571428572</v>
      </c>
      <c r="M1072" s="16">
        <v>117.85428571428572</v>
      </c>
    </row>
    <row r="1073" spans="1:13" s="5" customFormat="1" x14ac:dyDescent="0.25">
      <c r="A1073" s="12" t="s">
        <v>2101</v>
      </c>
      <c r="B1073" s="13" t="s">
        <v>2102</v>
      </c>
      <c r="C1073" s="14">
        <v>45138</v>
      </c>
      <c r="D1073" s="13">
        <v>2023</v>
      </c>
      <c r="E1073" s="13" t="s">
        <v>3347</v>
      </c>
      <c r="F1073" s="13" t="s">
        <v>34</v>
      </c>
      <c r="G1073" s="15">
        <v>442.05</v>
      </c>
      <c r="H1073" s="15">
        <v>442.05</v>
      </c>
      <c r="I1073" s="13"/>
      <c r="J1073" s="13">
        <v>2</v>
      </c>
      <c r="K1073" s="13" t="s">
        <v>18</v>
      </c>
      <c r="L1073" s="15">
        <v>221.02500000000001</v>
      </c>
      <c r="M1073" s="16">
        <v>214.34435648148147</v>
      </c>
    </row>
    <row r="1074" spans="1:13" s="5" customFormat="1" x14ac:dyDescent="0.25">
      <c r="A1074" s="12" t="s">
        <v>2103</v>
      </c>
      <c r="B1074" s="13" t="s">
        <v>2104</v>
      </c>
      <c r="C1074" s="14">
        <v>44957</v>
      </c>
      <c r="D1074" s="13">
        <v>2023</v>
      </c>
      <c r="E1074" s="13" t="s">
        <v>21</v>
      </c>
      <c r="F1074" s="13" t="s">
        <v>11</v>
      </c>
      <c r="G1074" s="15"/>
      <c r="H1074" s="15">
        <v>1795.33375</v>
      </c>
      <c r="I1074" s="13">
        <v>2</v>
      </c>
      <c r="J1074" s="13">
        <v>2</v>
      </c>
      <c r="K1074" s="13" t="s">
        <v>18</v>
      </c>
      <c r="L1074" s="15">
        <v>897.666875</v>
      </c>
      <c r="M1074" s="16">
        <v>897.666875</v>
      </c>
    </row>
    <row r="1075" spans="1:13" s="5" customFormat="1" x14ac:dyDescent="0.25">
      <c r="A1075" s="12" t="s">
        <v>2105</v>
      </c>
      <c r="B1075" s="13" t="s">
        <v>1588</v>
      </c>
      <c r="C1075" s="14">
        <v>45480</v>
      </c>
      <c r="D1075" s="13">
        <v>2024</v>
      </c>
      <c r="E1075" s="13" t="s">
        <v>3347</v>
      </c>
      <c r="F1075" s="13" t="s">
        <v>11</v>
      </c>
      <c r="G1075" s="15">
        <v>1845.77</v>
      </c>
      <c r="H1075" s="15">
        <v>1845.77</v>
      </c>
      <c r="I1075" s="13"/>
      <c r="J1075" s="13">
        <v>10</v>
      </c>
      <c r="K1075" s="13" t="s">
        <v>15</v>
      </c>
      <c r="L1075" s="15">
        <v>153.81416666666667</v>
      </c>
      <c r="M1075" s="16">
        <v>152.94691534391535</v>
      </c>
    </row>
    <row r="1076" spans="1:13" s="5" customFormat="1" x14ac:dyDescent="0.25">
      <c r="A1076" s="12" t="s">
        <v>2106</v>
      </c>
      <c r="B1076" s="13" t="s">
        <v>2107</v>
      </c>
      <c r="C1076" s="14">
        <v>45118</v>
      </c>
      <c r="D1076" s="13">
        <v>2023</v>
      </c>
      <c r="E1076" s="13" t="s">
        <v>14</v>
      </c>
      <c r="F1076" s="13" t="s">
        <v>22</v>
      </c>
      <c r="G1076" s="15">
        <v>1392.1</v>
      </c>
      <c r="H1076" s="15">
        <v>1392.1</v>
      </c>
      <c r="I1076" s="13">
        <v>7</v>
      </c>
      <c r="J1076" s="13">
        <v>7</v>
      </c>
      <c r="K1076" s="13" t="s">
        <v>35</v>
      </c>
      <c r="L1076" s="15">
        <v>198.87142857142857</v>
      </c>
      <c r="M1076" s="16">
        <v>198.87142857142857</v>
      </c>
    </row>
    <row r="1077" spans="1:13" s="5" customFormat="1" x14ac:dyDescent="0.25">
      <c r="A1077" s="12" t="s">
        <v>2108</v>
      </c>
      <c r="B1077" s="13" t="s">
        <v>2109</v>
      </c>
      <c r="C1077" s="14">
        <v>45894</v>
      </c>
      <c r="D1077" s="13">
        <v>2025</v>
      </c>
      <c r="E1077" s="13" t="s">
        <v>10</v>
      </c>
      <c r="F1077" s="13" t="s">
        <v>11</v>
      </c>
      <c r="G1077" s="15">
        <v>1030.82</v>
      </c>
      <c r="H1077" s="15">
        <v>1030.82</v>
      </c>
      <c r="I1077" s="13"/>
      <c r="J1077" s="13">
        <v>9</v>
      </c>
      <c r="K1077" s="13" t="s">
        <v>18</v>
      </c>
      <c r="L1077" s="15">
        <v>114.53555555555555</v>
      </c>
      <c r="M1077" s="16">
        <v>115.62282208994709</v>
      </c>
    </row>
    <row r="1078" spans="1:13" s="5" customFormat="1" x14ac:dyDescent="0.25">
      <c r="A1078" s="12" t="s">
        <v>2110</v>
      </c>
      <c r="B1078" s="13" t="s">
        <v>2111</v>
      </c>
      <c r="C1078" s="14">
        <v>45513</v>
      </c>
      <c r="D1078" s="13">
        <v>2024</v>
      </c>
      <c r="E1078" s="13" t="s">
        <v>21</v>
      </c>
      <c r="F1078" s="13" t="s">
        <v>25</v>
      </c>
      <c r="G1078" s="15">
        <v>1163.22</v>
      </c>
      <c r="H1078" s="15">
        <v>1163.22</v>
      </c>
      <c r="I1078" s="13">
        <v>6</v>
      </c>
      <c r="J1078" s="13">
        <v>6</v>
      </c>
      <c r="K1078" s="13" t="s">
        <v>15</v>
      </c>
      <c r="L1078" s="15">
        <v>193.87</v>
      </c>
      <c r="M1078" s="16">
        <v>193.87</v>
      </c>
    </row>
    <row r="1079" spans="1:13" s="5" customFormat="1" x14ac:dyDescent="0.25">
      <c r="A1079" s="12" t="s">
        <v>2112</v>
      </c>
      <c r="B1079" s="13" t="s">
        <v>2113</v>
      </c>
      <c r="C1079" s="14">
        <v>45809</v>
      </c>
      <c r="D1079" s="13">
        <v>2025</v>
      </c>
      <c r="E1079" s="13" t="s">
        <v>14</v>
      </c>
      <c r="F1079" s="13" t="s">
        <v>34</v>
      </c>
      <c r="G1079" s="15">
        <v>1502.06</v>
      </c>
      <c r="H1079" s="15">
        <v>1502.06</v>
      </c>
      <c r="I1079" s="13">
        <v>8</v>
      </c>
      <c r="J1079" s="13">
        <v>8</v>
      </c>
      <c r="K1079" s="13" t="s">
        <v>3348</v>
      </c>
      <c r="L1079" s="15">
        <v>187.75749999999999</v>
      </c>
      <c r="M1079" s="16">
        <v>187.75749999999999</v>
      </c>
    </row>
    <row r="1080" spans="1:13" s="5" customFormat="1" x14ac:dyDescent="0.25">
      <c r="A1080" s="12" t="s">
        <v>2114</v>
      </c>
      <c r="B1080" s="13" t="s">
        <v>2115</v>
      </c>
      <c r="C1080" s="14">
        <v>44925</v>
      </c>
      <c r="D1080" s="13">
        <v>2022</v>
      </c>
      <c r="E1080" s="13" t="s">
        <v>10</v>
      </c>
      <c r="F1080" s="13" t="s">
        <v>34</v>
      </c>
      <c r="G1080" s="15">
        <v>1435.88</v>
      </c>
      <c r="H1080" s="15">
        <v>1435.88</v>
      </c>
      <c r="I1080" s="13">
        <v>9</v>
      </c>
      <c r="J1080" s="13">
        <v>9</v>
      </c>
      <c r="K1080" s="13" t="s">
        <v>3346</v>
      </c>
      <c r="L1080" s="15">
        <v>159.54222222222222</v>
      </c>
      <c r="M1080" s="16">
        <v>159.54222222222222</v>
      </c>
    </row>
    <row r="1081" spans="1:13" s="5" customFormat="1" x14ac:dyDescent="0.25">
      <c r="A1081" s="12" t="s">
        <v>2116</v>
      </c>
      <c r="B1081" s="13" t="s">
        <v>2117</v>
      </c>
      <c r="C1081" s="14">
        <v>44999</v>
      </c>
      <c r="D1081" s="13">
        <v>2023</v>
      </c>
      <c r="E1081" s="13" t="s">
        <v>21</v>
      </c>
      <c r="F1081" s="13" t="s">
        <v>34</v>
      </c>
      <c r="G1081" s="15">
        <v>35.19</v>
      </c>
      <c r="H1081" s="15">
        <v>35.19</v>
      </c>
      <c r="I1081" s="13">
        <v>2</v>
      </c>
      <c r="J1081" s="13">
        <v>2</v>
      </c>
      <c r="K1081" s="13" t="s">
        <v>15</v>
      </c>
      <c r="L1081" s="15">
        <v>17.594999999999999</v>
      </c>
      <c r="M1081" s="16">
        <v>17.594999999999999</v>
      </c>
    </row>
    <row r="1082" spans="1:13" s="5" customFormat="1" x14ac:dyDescent="0.25">
      <c r="A1082" s="12" t="s">
        <v>2118</v>
      </c>
      <c r="B1082" s="13" t="s">
        <v>2119</v>
      </c>
      <c r="C1082" s="14">
        <v>45381</v>
      </c>
      <c r="D1082" s="13">
        <v>2024</v>
      </c>
      <c r="E1082" s="13" t="s">
        <v>3347</v>
      </c>
      <c r="F1082" s="13" t="s">
        <v>22</v>
      </c>
      <c r="G1082" s="15"/>
      <c r="H1082" s="15">
        <v>164.27017777777775</v>
      </c>
      <c r="I1082" s="13">
        <v>1</v>
      </c>
      <c r="J1082" s="13">
        <v>1</v>
      </c>
      <c r="K1082" s="13" t="s">
        <v>18</v>
      </c>
      <c r="L1082" s="15">
        <v>164.27017777777775</v>
      </c>
      <c r="M1082" s="16">
        <v>164.27017777777775</v>
      </c>
    </row>
    <row r="1083" spans="1:13" s="5" customFormat="1" x14ac:dyDescent="0.25">
      <c r="A1083" s="12" t="s">
        <v>2120</v>
      </c>
      <c r="B1083" s="13" t="s">
        <v>2121</v>
      </c>
      <c r="C1083" s="14">
        <v>45639</v>
      </c>
      <c r="D1083" s="13">
        <v>2024</v>
      </c>
      <c r="E1083" s="13" t="s">
        <v>3347</v>
      </c>
      <c r="F1083" s="13" t="s">
        <v>34</v>
      </c>
      <c r="G1083" s="15">
        <v>1082.54</v>
      </c>
      <c r="H1083" s="15">
        <v>1082.54</v>
      </c>
      <c r="I1083" s="13">
        <v>4</v>
      </c>
      <c r="J1083" s="13">
        <v>4</v>
      </c>
      <c r="K1083" s="13" t="s">
        <v>3348</v>
      </c>
      <c r="L1083" s="15">
        <v>270.63499999999999</v>
      </c>
      <c r="M1083" s="16">
        <v>270.63499999999999</v>
      </c>
    </row>
    <row r="1084" spans="1:13" s="5" customFormat="1" x14ac:dyDescent="0.25">
      <c r="A1084" s="12" t="s">
        <v>2122</v>
      </c>
      <c r="B1084" s="13" t="s">
        <v>2123</v>
      </c>
      <c r="C1084" s="14">
        <v>45502</v>
      </c>
      <c r="D1084" s="13">
        <v>2024</v>
      </c>
      <c r="E1084" s="13" t="s">
        <v>10</v>
      </c>
      <c r="F1084" s="13" t="s">
        <v>22</v>
      </c>
      <c r="G1084" s="15">
        <v>923.88</v>
      </c>
      <c r="H1084" s="15">
        <v>923.88</v>
      </c>
      <c r="I1084" s="13">
        <v>5</v>
      </c>
      <c r="J1084" s="13">
        <v>5</v>
      </c>
      <c r="K1084" s="13" t="s">
        <v>35</v>
      </c>
      <c r="L1084" s="15">
        <v>184.77600000000001</v>
      </c>
      <c r="M1084" s="16">
        <v>184.77600000000001</v>
      </c>
    </row>
    <row r="1085" spans="1:13" s="5" customFormat="1" x14ac:dyDescent="0.25">
      <c r="A1085" s="12" t="s">
        <v>2124</v>
      </c>
      <c r="B1085" s="13" t="s">
        <v>2125</v>
      </c>
      <c r="C1085" s="14">
        <v>45290</v>
      </c>
      <c r="D1085" s="13">
        <v>2023</v>
      </c>
      <c r="E1085" s="13" t="s">
        <v>3347</v>
      </c>
      <c r="F1085" s="13" t="s">
        <v>34</v>
      </c>
      <c r="G1085" s="15">
        <v>1820.06</v>
      </c>
      <c r="H1085" s="15">
        <v>1820.06</v>
      </c>
      <c r="I1085" s="13">
        <v>5</v>
      </c>
      <c r="J1085" s="13">
        <v>5</v>
      </c>
      <c r="K1085" s="13" t="s">
        <v>3348</v>
      </c>
      <c r="L1085" s="15">
        <v>364.012</v>
      </c>
      <c r="M1085" s="16">
        <v>364.012</v>
      </c>
    </row>
    <row r="1086" spans="1:13" s="5" customFormat="1" x14ac:dyDescent="0.25">
      <c r="A1086" s="12" t="s">
        <v>2126</v>
      </c>
      <c r="B1086" s="13" t="s">
        <v>2127</v>
      </c>
      <c r="C1086" s="14">
        <v>45743</v>
      </c>
      <c r="D1086" s="13">
        <v>2025</v>
      </c>
      <c r="E1086" s="13" t="s">
        <v>14</v>
      </c>
      <c r="F1086" s="13" t="s">
        <v>34</v>
      </c>
      <c r="G1086" s="15">
        <v>848.68</v>
      </c>
      <c r="H1086" s="15">
        <v>848.68</v>
      </c>
      <c r="I1086" s="13">
        <v>5</v>
      </c>
      <c r="J1086" s="13">
        <v>5</v>
      </c>
      <c r="K1086" s="13" t="s">
        <v>3346</v>
      </c>
      <c r="L1086" s="15">
        <v>169.73599999999999</v>
      </c>
      <c r="M1086" s="16">
        <v>169.73599999999999</v>
      </c>
    </row>
    <row r="1087" spans="1:13" s="5" customFormat="1" x14ac:dyDescent="0.25">
      <c r="A1087" s="12" t="s">
        <v>2128</v>
      </c>
      <c r="B1087" s="13" t="s">
        <v>2129</v>
      </c>
      <c r="C1087" s="14">
        <v>45572</v>
      </c>
      <c r="D1087" s="13">
        <v>2024</v>
      </c>
      <c r="E1087" s="13" t="s">
        <v>14</v>
      </c>
      <c r="F1087" s="13" t="s">
        <v>34</v>
      </c>
      <c r="G1087" s="15">
        <v>479.34</v>
      </c>
      <c r="H1087" s="15">
        <v>479.34</v>
      </c>
      <c r="I1087" s="13">
        <v>8</v>
      </c>
      <c r="J1087" s="13">
        <v>8</v>
      </c>
      <c r="K1087" s="13" t="s">
        <v>18</v>
      </c>
      <c r="L1087" s="15">
        <v>59.917499999999997</v>
      </c>
      <c r="M1087" s="16">
        <v>59.917499999999997</v>
      </c>
    </row>
    <row r="1088" spans="1:13" s="5" customFormat="1" x14ac:dyDescent="0.25">
      <c r="A1088" s="12" t="s">
        <v>2130</v>
      </c>
      <c r="B1088" s="13" t="s">
        <v>2131</v>
      </c>
      <c r="C1088" s="14">
        <v>45184</v>
      </c>
      <c r="D1088" s="13">
        <v>2023</v>
      </c>
      <c r="E1088" s="13" t="s">
        <v>10</v>
      </c>
      <c r="F1088" s="13" t="s">
        <v>25</v>
      </c>
      <c r="G1088" s="15">
        <v>1327.69</v>
      </c>
      <c r="H1088" s="15">
        <v>1327.69</v>
      </c>
      <c r="I1088" s="13">
        <v>7</v>
      </c>
      <c r="J1088" s="13">
        <v>7</v>
      </c>
      <c r="K1088" s="13" t="s">
        <v>35</v>
      </c>
      <c r="L1088" s="15">
        <v>189.67000000000002</v>
      </c>
      <c r="M1088" s="16">
        <v>189.67000000000002</v>
      </c>
    </row>
    <row r="1089" spans="1:13" s="5" customFormat="1" x14ac:dyDescent="0.25">
      <c r="A1089" s="12" t="s">
        <v>2132</v>
      </c>
      <c r="B1089" s="13" t="s">
        <v>2133</v>
      </c>
      <c r="C1089" s="14">
        <v>45875</v>
      </c>
      <c r="D1089" s="13">
        <v>2025</v>
      </c>
      <c r="E1089" s="13" t="s">
        <v>10</v>
      </c>
      <c r="F1089" s="13" t="s">
        <v>34</v>
      </c>
      <c r="G1089" s="15">
        <v>1640.02</v>
      </c>
      <c r="H1089" s="15">
        <v>1640.02</v>
      </c>
      <c r="I1089" s="13">
        <v>4</v>
      </c>
      <c r="J1089" s="13">
        <v>4</v>
      </c>
      <c r="K1089" s="13" t="s">
        <v>35</v>
      </c>
      <c r="L1089" s="15">
        <v>410.005</v>
      </c>
      <c r="M1089" s="16">
        <v>410.005</v>
      </c>
    </row>
    <row r="1090" spans="1:13" s="5" customFormat="1" x14ac:dyDescent="0.25">
      <c r="A1090" s="12" t="s">
        <v>2134</v>
      </c>
      <c r="B1090" s="13" t="s">
        <v>2135</v>
      </c>
      <c r="C1090" s="14">
        <v>44877</v>
      </c>
      <c r="D1090" s="13">
        <v>2022</v>
      </c>
      <c r="E1090" s="13" t="s">
        <v>21</v>
      </c>
      <c r="F1090" s="13" t="s">
        <v>22</v>
      </c>
      <c r="G1090" s="15"/>
      <c r="H1090" s="15">
        <v>648.8416666666667</v>
      </c>
      <c r="I1090" s="13">
        <v>7</v>
      </c>
      <c r="J1090" s="13">
        <v>7</v>
      </c>
      <c r="K1090" s="13" t="s">
        <v>3348</v>
      </c>
      <c r="L1090" s="15">
        <v>92.691666666666677</v>
      </c>
      <c r="M1090" s="16">
        <v>92.691666666666663</v>
      </c>
    </row>
    <row r="1091" spans="1:13" s="5" customFormat="1" x14ac:dyDescent="0.25">
      <c r="A1091" s="12" t="s">
        <v>2136</v>
      </c>
      <c r="B1091" s="13" t="s">
        <v>2137</v>
      </c>
      <c r="C1091" s="14">
        <v>45692</v>
      </c>
      <c r="D1091" s="13">
        <v>2025</v>
      </c>
      <c r="E1091" s="13" t="s">
        <v>10</v>
      </c>
      <c r="F1091" s="13" t="s">
        <v>11</v>
      </c>
      <c r="G1091" s="15">
        <v>1731.49</v>
      </c>
      <c r="H1091" s="15">
        <v>1731.49</v>
      </c>
      <c r="I1091" s="13">
        <v>1</v>
      </c>
      <c r="J1091" s="13">
        <v>1</v>
      </c>
      <c r="K1091" s="13" t="s">
        <v>3346</v>
      </c>
      <c r="L1091" s="15">
        <v>1731.49</v>
      </c>
      <c r="M1091" s="16">
        <v>1731.49</v>
      </c>
    </row>
    <row r="1092" spans="1:13" s="5" customFormat="1" x14ac:dyDescent="0.25">
      <c r="A1092" s="12" t="s">
        <v>2138</v>
      </c>
      <c r="B1092" s="13" t="s">
        <v>1338</v>
      </c>
      <c r="C1092" s="14">
        <v>44934</v>
      </c>
      <c r="D1092" s="13">
        <v>2023</v>
      </c>
      <c r="E1092" s="13" t="s">
        <v>21</v>
      </c>
      <c r="F1092" s="13" t="s">
        <v>25</v>
      </c>
      <c r="G1092" s="15"/>
      <c r="H1092" s="15">
        <v>193.89933333333337</v>
      </c>
      <c r="I1092" s="13">
        <v>2</v>
      </c>
      <c r="J1092" s="13">
        <v>2</v>
      </c>
      <c r="K1092" s="13" t="s">
        <v>18</v>
      </c>
      <c r="L1092" s="15">
        <v>96.949666666666687</v>
      </c>
      <c r="M1092" s="16">
        <v>96.949666666666687</v>
      </c>
    </row>
    <row r="1093" spans="1:13" s="5" customFormat="1" x14ac:dyDescent="0.25">
      <c r="A1093" s="12" t="s">
        <v>2139</v>
      </c>
      <c r="B1093" s="13" t="s">
        <v>2140</v>
      </c>
      <c r="C1093" s="14">
        <v>45873</v>
      </c>
      <c r="D1093" s="13">
        <v>2025</v>
      </c>
      <c r="E1093" s="13" t="s">
        <v>21</v>
      </c>
      <c r="F1093" s="13" t="s">
        <v>34</v>
      </c>
      <c r="G1093" s="15">
        <v>581.13</v>
      </c>
      <c r="H1093" s="15">
        <v>581.13</v>
      </c>
      <c r="I1093" s="13">
        <v>2</v>
      </c>
      <c r="J1093" s="13">
        <v>2</v>
      </c>
      <c r="K1093" s="13" t="s">
        <v>3348</v>
      </c>
      <c r="L1093" s="15">
        <v>290.565</v>
      </c>
      <c r="M1093" s="16">
        <v>290.565</v>
      </c>
    </row>
    <row r="1094" spans="1:13" s="5" customFormat="1" x14ac:dyDescent="0.25">
      <c r="A1094" s="12" t="s">
        <v>2141</v>
      </c>
      <c r="B1094" s="13" t="s">
        <v>2142</v>
      </c>
      <c r="C1094" s="14">
        <v>45256</v>
      </c>
      <c r="D1094" s="13">
        <v>2023</v>
      </c>
      <c r="E1094" s="13" t="s">
        <v>10</v>
      </c>
      <c r="F1094" s="13" t="s">
        <v>25</v>
      </c>
      <c r="G1094" s="15"/>
      <c r="H1094" s="15">
        <v>1003.8087857142857</v>
      </c>
      <c r="I1094" s="13">
        <v>3</v>
      </c>
      <c r="J1094" s="13">
        <v>3</v>
      </c>
      <c r="K1094" s="13" t="s">
        <v>3348</v>
      </c>
      <c r="L1094" s="15">
        <v>334.60292857142855</v>
      </c>
      <c r="M1094" s="16">
        <v>334.60292857142855</v>
      </c>
    </row>
    <row r="1095" spans="1:13" s="5" customFormat="1" x14ac:dyDescent="0.25">
      <c r="A1095" s="12" t="s">
        <v>2143</v>
      </c>
      <c r="B1095" s="13" t="s">
        <v>2144</v>
      </c>
      <c r="C1095" s="14">
        <v>45168</v>
      </c>
      <c r="D1095" s="13">
        <v>2023</v>
      </c>
      <c r="E1095" s="13" t="s">
        <v>10</v>
      </c>
      <c r="F1095" s="13" t="s">
        <v>34</v>
      </c>
      <c r="G1095" s="15">
        <v>1190.1300000000001</v>
      </c>
      <c r="H1095" s="15">
        <v>1190.1300000000001</v>
      </c>
      <c r="I1095" s="13">
        <v>2</v>
      </c>
      <c r="J1095" s="13">
        <v>2</v>
      </c>
      <c r="K1095" s="13" t="s">
        <v>3346</v>
      </c>
      <c r="L1095" s="15">
        <v>595.06500000000005</v>
      </c>
      <c r="M1095" s="16">
        <v>595.06500000000005</v>
      </c>
    </row>
    <row r="1096" spans="1:13" s="5" customFormat="1" x14ac:dyDescent="0.25">
      <c r="A1096" s="12" t="s">
        <v>2145</v>
      </c>
      <c r="B1096" s="13" t="s">
        <v>73</v>
      </c>
      <c r="C1096" s="14">
        <v>45529</v>
      </c>
      <c r="D1096" s="13">
        <v>2024</v>
      </c>
      <c r="E1096" s="13" t="s">
        <v>21</v>
      </c>
      <c r="F1096" s="13" t="s">
        <v>22</v>
      </c>
      <c r="G1096" s="15">
        <v>689.31</v>
      </c>
      <c r="H1096" s="15">
        <v>689.31</v>
      </c>
      <c r="I1096" s="13">
        <v>5</v>
      </c>
      <c r="J1096" s="13">
        <v>5</v>
      </c>
      <c r="K1096" s="13" t="s">
        <v>3346</v>
      </c>
      <c r="L1096" s="15">
        <v>137.86199999999999</v>
      </c>
      <c r="M1096" s="16">
        <v>137.86199999999999</v>
      </c>
    </row>
    <row r="1097" spans="1:13" s="5" customFormat="1" x14ac:dyDescent="0.25">
      <c r="A1097" s="12" t="s">
        <v>2146</v>
      </c>
      <c r="B1097" s="13" t="s">
        <v>307</v>
      </c>
      <c r="C1097" s="14">
        <v>45009</v>
      </c>
      <c r="D1097" s="13">
        <v>2023</v>
      </c>
      <c r="E1097" s="13" t="s">
        <v>21</v>
      </c>
      <c r="F1097" s="13" t="s">
        <v>11</v>
      </c>
      <c r="G1097" s="15">
        <v>534.1</v>
      </c>
      <c r="H1097" s="15">
        <v>534.1</v>
      </c>
      <c r="I1097" s="13">
        <v>4</v>
      </c>
      <c r="J1097" s="13">
        <v>4</v>
      </c>
      <c r="K1097" s="13" t="s">
        <v>35</v>
      </c>
      <c r="L1097" s="15">
        <v>133.52500000000001</v>
      </c>
      <c r="M1097" s="16">
        <v>133.52500000000001</v>
      </c>
    </row>
    <row r="1098" spans="1:13" s="5" customFormat="1" x14ac:dyDescent="0.25">
      <c r="A1098" s="12" t="s">
        <v>2147</v>
      </c>
      <c r="B1098" s="13" t="s">
        <v>2148</v>
      </c>
      <c r="C1098" s="14">
        <v>45726</v>
      </c>
      <c r="D1098" s="13">
        <v>2025</v>
      </c>
      <c r="E1098" s="13" t="s">
        <v>21</v>
      </c>
      <c r="F1098" s="13" t="s">
        <v>34</v>
      </c>
      <c r="G1098" s="15"/>
      <c r="H1098" s="15">
        <v>177.42493333333331</v>
      </c>
      <c r="I1098" s="13">
        <v>1</v>
      </c>
      <c r="J1098" s="13">
        <v>1</v>
      </c>
      <c r="K1098" s="13" t="s">
        <v>3346</v>
      </c>
      <c r="L1098" s="15">
        <v>177.42493333333331</v>
      </c>
      <c r="M1098" s="16">
        <v>177.42493333333331</v>
      </c>
    </row>
    <row r="1099" spans="1:13" s="5" customFormat="1" x14ac:dyDescent="0.25">
      <c r="A1099" s="12" t="s">
        <v>2149</v>
      </c>
      <c r="B1099" s="13" t="s">
        <v>2150</v>
      </c>
      <c r="C1099" s="14">
        <v>45467</v>
      </c>
      <c r="D1099" s="13">
        <v>2024</v>
      </c>
      <c r="E1099" s="13" t="s">
        <v>14</v>
      </c>
      <c r="F1099" s="13" t="s">
        <v>34</v>
      </c>
      <c r="G1099" s="15">
        <v>1621.45</v>
      </c>
      <c r="H1099" s="15">
        <v>1621.45</v>
      </c>
      <c r="I1099" s="13">
        <v>4</v>
      </c>
      <c r="J1099" s="13">
        <v>4</v>
      </c>
      <c r="K1099" s="13" t="s">
        <v>15</v>
      </c>
      <c r="L1099" s="15">
        <v>405.36250000000001</v>
      </c>
      <c r="M1099" s="16">
        <v>405.36250000000001</v>
      </c>
    </row>
    <row r="1100" spans="1:13" s="5" customFormat="1" x14ac:dyDescent="0.25">
      <c r="A1100" s="12" t="s">
        <v>2151</v>
      </c>
      <c r="B1100" s="13" t="s">
        <v>2152</v>
      </c>
      <c r="C1100" s="14">
        <v>45134</v>
      </c>
      <c r="D1100" s="13">
        <v>2023</v>
      </c>
      <c r="E1100" s="13" t="s">
        <v>10</v>
      </c>
      <c r="F1100" s="13" t="s">
        <v>25</v>
      </c>
      <c r="G1100" s="15">
        <v>634.84</v>
      </c>
      <c r="H1100" s="15">
        <v>634.84</v>
      </c>
      <c r="I1100" s="13">
        <v>7</v>
      </c>
      <c r="J1100" s="13">
        <v>7</v>
      </c>
      <c r="K1100" s="13" t="s">
        <v>3346</v>
      </c>
      <c r="L1100" s="15">
        <v>90.691428571428574</v>
      </c>
      <c r="M1100" s="16">
        <v>90.691428571428574</v>
      </c>
    </row>
    <row r="1101" spans="1:13" s="5" customFormat="1" x14ac:dyDescent="0.25">
      <c r="A1101" s="12" t="s">
        <v>2153</v>
      </c>
      <c r="B1101" s="13" t="s">
        <v>2154</v>
      </c>
      <c r="C1101" s="14">
        <v>45405</v>
      </c>
      <c r="D1101" s="13">
        <v>2024</v>
      </c>
      <c r="E1101" s="13" t="s">
        <v>21</v>
      </c>
      <c r="F1101" s="13" t="s">
        <v>25</v>
      </c>
      <c r="G1101" s="15">
        <v>1083.6400000000001</v>
      </c>
      <c r="H1101" s="15">
        <v>1083.6400000000001</v>
      </c>
      <c r="I1101" s="13">
        <v>10</v>
      </c>
      <c r="J1101" s="13">
        <v>10</v>
      </c>
      <c r="K1101" s="13" t="s">
        <v>35</v>
      </c>
      <c r="L1101" s="15">
        <v>108.364</v>
      </c>
      <c r="M1101" s="16">
        <v>108.364</v>
      </c>
    </row>
    <row r="1102" spans="1:13" s="5" customFormat="1" x14ac:dyDescent="0.25">
      <c r="A1102" s="12" t="s">
        <v>2155</v>
      </c>
      <c r="B1102" s="13" t="s">
        <v>2156</v>
      </c>
      <c r="C1102" s="14">
        <v>45912</v>
      </c>
      <c r="D1102" s="13">
        <v>2025</v>
      </c>
      <c r="E1102" s="13" t="s">
        <v>10</v>
      </c>
      <c r="F1102" s="13" t="s">
        <v>22</v>
      </c>
      <c r="G1102" s="15">
        <v>1249.8599999999999</v>
      </c>
      <c r="H1102" s="15">
        <v>1249.8599999999999</v>
      </c>
      <c r="I1102" s="13">
        <v>8</v>
      </c>
      <c r="J1102" s="13">
        <v>8</v>
      </c>
      <c r="K1102" s="13" t="s">
        <v>3346</v>
      </c>
      <c r="L1102" s="15">
        <v>156.23249999999999</v>
      </c>
      <c r="M1102" s="16">
        <v>156.23249999999999</v>
      </c>
    </row>
    <row r="1103" spans="1:13" s="5" customFormat="1" x14ac:dyDescent="0.25">
      <c r="A1103" s="12" t="s">
        <v>2157</v>
      </c>
      <c r="B1103" s="13" t="s">
        <v>2158</v>
      </c>
      <c r="C1103" s="14">
        <v>45198</v>
      </c>
      <c r="D1103" s="13">
        <v>2023</v>
      </c>
      <c r="E1103" s="13" t="s">
        <v>3347</v>
      </c>
      <c r="F1103" s="13" t="s">
        <v>22</v>
      </c>
      <c r="G1103" s="15">
        <v>305.32</v>
      </c>
      <c r="H1103" s="15">
        <v>305.32</v>
      </c>
      <c r="I1103" s="13">
        <v>7</v>
      </c>
      <c r="J1103" s="13">
        <v>7</v>
      </c>
      <c r="K1103" s="13" t="s">
        <v>3346</v>
      </c>
      <c r="L1103" s="15">
        <v>43.617142857142859</v>
      </c>
      <c r="M1103" s="16">
        <v>43.617142857142859</v>
      </c>
    </row>
    <row r="1104" spans="1:13" s="5" customFormat="1" x14ac:dyDescent="0.25">
      <c r="A1104" s="12" t="s">
        <v>2159</v>
      </c>
      <c r="B1104" s="13" t="s">
        <v>2160</v>
      </c>
      <c r="C1104" s="14">
        <v>45528</v>
      </c>
      <c r="D1104" s="13">
        <v>2024</v>
      </c>
      <c r="E1104" s="13" t="s">
        <v>14</v>
      </c>
      <c r="F1104" s="13" t="s">
        <v>34</v>
      </c>
      <c r="G1104" s="15">
        <v>355.03</v>
      </c>
      <c r="H1104" s="15">
        <v>355.03</v>
      </c>
      <c r="I1104" s="13">
        <v>8</v>
      </c>
      <c r="J1104" s="13">
        <v>8</v>
      </c>
      <c r="K1104" s="13" t="s">
        <v>18</v>
      </c>
      <c r="L1104" s="15">
        <v>44.378749999999997</v>
      </c>
      <c r="M1104" s="16">
        <v>44.378749999999997</v>
      </c>
    </row>
    <row r="1105" spans="1:13" s="5" customFormat="1" x14ac:dyDescent="0.25">
      <c r="A1105" s="12" t="s">
        <v>2161</v>
      </c>
      <c r="B1105" s="13" t="s">
        <v>395</v>
      </c>
      <c r="C1105" s="14">
        <v>45067</v>
      </c>
      <c r="D1105" s="13">
        <v>2023</v>
      </c>
      <c r="E1105" s="13" t="s">
        <v>3347</v>
      </c>
      <c r="F1105" s="13" t="s">
        <v>22</v>
      </c>
      <c r="G1105" s="15">
        <v>1625.64</v>
      </c>
      <c r="H1105" s="15">
        <v>1625.64</v>
      </c>
      <c r="I1105" s="13">
        <v>5</v>
      </c>
      <c r="J1105" s="13">
        <v>5</v>
      </c>
      <c r="K1105" s="13" t="s">
        <v>3348</v>
      </c>
      <c r="L1105" s="15">
        <v>325.12800000000004</v>
      </c>
      <c r="M1105" s="16">
        <v>325.12800000000004</v>
      </c>
    </row>
    <row r="1106" spans="1:13" s="5" customFormat="1" x14ac:dyDescent="0.25">
      <c r="A1106" s="12" t="s">
        <v>2162</v>
      </c>
      <c r="B1106" s="13" t="s">
        <v>2163</v>
      </c>
      <c r="C1106" s="14">
        <v>44868</v>
      </c>
      <c r="D1106" s="13">
        <v>2022</v>
      </c>
      <c r="E1106" s="13" t="s">
        <v>21</v>
      </c>
      <c r="F1106" s="13" t="s">
        <v>34</v>
      </c>
      <c r="G1106" s="15">
        <v>223.35</v>
      </c>
      <c r="H1106" s="15">
        <v>223.35</v>
      </c>
      <c r="I1106" s="13">
        <v>6</v>
      </c>
      <c r="J1106" s="13">
        <v>6</v>
      </c>
      <c r="K1106" s="13" t="s">
        <v>35</v>
      </c>
      <c r="L1106" s="15">
        <v>37.225000000000001</v>
      </c>
      <c r="M1106" s="16">
        <v>37.225000000000001</v>
      </c>
    </row>
    <row r="1107" spans="1:13" s="5" customFormat="1" x14ac:dyDescent="0.25">
      <c r="A1107" s="12" t="s">
        <v>2164</v>
      </c>
      <c r="B1107" s="13" t="s">
        <v>2165</v>
      </c>
      <c r="C1107" s="14">
        <v>45331</v>
      </c>
      <c r="D1107" s="13">
        <v>2024</v>
      </c>
      <c r="E1107" s="13" t="s">
        <v>21</v>
      </c>
      <c r="F1107" s="13" t="s">
        <v>22</v>
      </c>
      <c r="G1107" s="15">
        <v>1375.48</v>
      </c>
      <c r="H1107" s="15">
        <v>1375.48</v>
      </c>
      <c r="I1107" s="13">
        <v>10</v>
      </c>
      <c r="J1107" s="13">
        <v>10</v>
      </c>
      <c r="K1107" s="13" t="s">
        <v>35</v>
      </c>
      <c r="L1107" s="15">
        <v>137.548</v>
      </c>
      <c r="M1107" s="16">
        <v>137.548</v>
      </c>
    </row>
    <row r="1108" spans="1:13" s="5" customFormat="1" x14ac:dyDescent="0.25">
      <c r="A1108" s="12" t="s">
        <v>2166</v>
      </c>
      <c r="B1108" s="13" t="s">
        <v>2167</v>
      </c>
      <c r="C1108" s="14">
        <v>45228</v>
      </c>
      <c r="D1108" s="13">
        <v>2023</v>
      </c>
      <c r="E1108" s="13" t="s">
        <v>10</v>
      </c>
      <c r="F1108" s="13" t="s">
        <v>25</v>
      </c>
      <c r="G1108" s="15">
        <v>508.98</v>
      </c>
      <c r="H1108" s="15">
        <v>508.98</v>
      </c>
      <c r="I1108" s="13">
        <v>4</v>
      </c>
      <c r="J1108" s="13">
        <v>4</v>
      </c>
      <c r="K1108" s="13" t="s">
        <v>3346</v>
      </c>
      <c r="L1108" s="15">
        <v>127.245</v>
      </c>
      <c r="M1108" s="16">
        <v>127.245</v>
      </c>
    </row>
    <row r="1109" spans="1:13" s="5" customFormat="1" x14ac:dyDescent="0.25">
      <c r="A1109" s="12" t="s">
        <v>2168</v>
      </c>
      <c r="B1109" s="13" t="s">
        <v>2169</v>
      </c>
      <c r="C1109" s="14">
        <v>45080</v>
      </c>
      <c r="D1109" s="13">
        <v>2023</v>
      </c>
      <c r="E1109" s="13" t="s">
        <v>3347</v>
      </c>
      <c r="F1109" s="13" t="s">
        <v>25</v>
      </c>
      <c r="G1109" s="15">
        <v>797.54</v>
      </c>
      <c r="H1109" s="15">
        <v>797.54</v>
      </c>
      <c r="I1109" s="13">
        <v>6</v>
      </c>
      <c r="J1109" s="13">
        <v>6</v>
      </c>
      <c r="K1109" s="13" t="s">
        <v>3348</v>
      </c>
      <c r="L1109" s="15">
        <v>132.92333333333332</v>
      </c>
      <c r="M1109" s="16">
        <v>132.92333333333332</v>
      </c>
    </row>
    <row r="1110" spans="1:13" s="5" customFormat="1" x14ac:dyDescent="0.25">
      <c r="A1110" s="12" t="s">
        <v>2170</v>
      </c>
      <c r="B1110" s="13" t="s">
        <v>2171</v>
      </c>
      <c r="C1110" s="14">
        <v>45095</v>
      </c>
      <c r="D1110" s="13">
        <v>2023</v>
      </c>
      <c r="E1110" s="13" t="s">
        <v>3347</v>
      </c>
      <c r="F1110" s="13" t="s">
        <v>22</v>
      </c>
      <c r="G1110" s="15">
        <v>1648.43</v>
      </c>
      <c r="H1110" s="15">
        <v>1648.43</v>
      </c>
      <c r="I1110" s="13"/>
      <c r="J1110" s="13">
        <v>4</v>
      </c>
      <c r="K1110" s="13" t="s">
        <v>3346</v>
      </c>
      <c r="L1110" s="15">
        <v>412.10750000000002</v>
      </c>
      <c r="M1110" s="16">
        <v>378.24253439153443</v>
      </c>
    </row>
    <row r="1111" spans="1:13" s="5" customFormat="1" x14ac:dyDescent="0.25">
      <c r="A1111" s="12" t="s">
        <v>2172</v>
      </c>
      <c r="B1111" s="13" t="s">
        <v>2173</v>
      </c>
      <c r="C1111" s="14">
        <v>44964</v>
      </c>
      <c r="D1111" s="13">
        <v>2023</v>
      </c>
      <c r="E1111" s="13" t="s">
        <v>14</v>
      </c>
      <c r="F1111" s="13" t="s">
        <v>34</v>
      </c>
      <c r="G1111" s="15">
        <v>1753.6</v>
      </c>
      <c r="H1111" s="15">
        <v>1753.6</v>
      </c>
      <c r="I1111" s="13">
        <v>10</v>
      </c>
      <c r="J1111" s="13">
        <v>10</v>
      </c>
      <c r="K1111" s="13" t="s">
        <v>35</v>
      </c>
      <c r="L1111" s="15">
        <v>175.35999999999999</v>
      </c>
      <c r="M1111" s="16">
        <v>175.35999999999999</v>
      </c>
    </row>
    <row r="1112" spans="1:13" s="5" customFormat="1" x14ac:dyDescent="0.25">
      <c r="A1112" s="12" t="s">
        <v>2174</v>
      </c>
      <c r="B1112" s="13" t="s">
        <v>368</v>
      </c>
      <c r="C1112" s="14">
        <v>44936</v>
      </c>
      <c r="D1112" s="13">
        <v>2023</v>
      </c>
      <c r="E1112" s="13" t="s">
        <v>14</v>
      </c>
      <c r="F1112" s="13" t="s">
        <v>11</v>
      </c>
      <c r="G1112" s="15">
        <v>510.72</v>
      </c>
      <c r="H1112" s="15">
        <v>510.72</v>
      </c>
      <c r="I1112" s="13">
        <v>4</v>
      </c>
      <c r="J1112" s="13">
        <v>4</v>
      </c>
      <c r="K1112" s="13" t="s">
        <v>35</v>
      </c>
      <c r="L1112" s="15">
        <v>127.68</v>
      </c>
      <c r="M1112" s="16">
        <v>127.68</v>
      </c>
    </row>
    <row r="1113" spans="1:13" s="5" customFormat="1" x14ac:dyDescent="0.25">
      <c r="A1113" s="12" t="s">
        <v>2175</v>
      </c>
      <c r="B1113" s="13" t="s">
        <v>2176</v>
      </c>
      <c r="C1113" s="14">
        <v>45448</v>
      </c>
      <c r="D1113" s="13">
        <v>2024</v>
      </c>
      <c r="E1113" s="13" t="s">
        <v>21</v>
      </c>
      <c r="F1113" s="13" t="s">
        <v>25</v>
      </c>
      <c r="G1113" s="15">
        <v>428.13</v>
      </c>
      <c r="H1113" s="15">
        <v>428.13</v>
      </c>
      <c r="I1113" s="13">
        <v>2</v>
      </c>
      <c r="J1113" s="13">
        <v>2</v>
      </c>
      <c r="K1113" s="13" t="s">
        <v>3348</v>
      </c>
      <c r="L1113" s="15">
        <v>214.065</v>
      </c>
      <c r="M1113" s="16">
        <v>214.065</v>
      </c>
    </row>
    <row r="1114" spans="1:13" s="5" customFormat="1" x14ac:dyDescent="0.25">
      <c r="A1114" s="12" t="s">
        <v>2177</v>
      </c>
      <c r="B1114" s="13" t="s">
        <v>2178</v>
      </c>
      <c r="C1114" s="14">
        <v>45554</v>
      </c>
      <c r="D1114" s="13">
        <v>2024</v>
      </c>
      <c r="E1114" s="13" t="s">
        <v>3347</v>
      </c>
      <c r="F1114" s="13" t="s">
        <v>22</v>
      </c>
      <c r="G1114" s="15">
        <v>1200.7</v>
      </c>
      <c r="H1114" s="15">
        <v>1200.7</v>
      </c>
      <c r="I1114" s="13">
        <v>4</v>
      </c>
      <c r="J1114" s="13">
        <v>4</v>
      </c>
      <c r="K1114" s="13" t="s">
        <v>3346</v>
      </c>
      <c r="L1114" s="15">
        <v>300.17500000000001</v>
      </c>
      <c r="M1114" s="16">
        <v>300.17500000000001</v>
      </c>
    </row>
    <row r="1115" spans="1:13" s="5" customFormat="1" x14ac:dyDescent="0.25">
      <c r="A1115" s="12" t="s">
        <v>2179</v>
      </c>
      <c r="B1115" s="13" t="s">
        <v>2180</v>
      </c>
      <c r="C1115" s="14">
        <v>44921</v>
      </c>
      <c r="D1115" s="13">
        <v>2022</v>
      </c>
      <c r="E1115" s="13" t="s">
        <v>21</v>
      </c>
      <c r="F1115" s="13" t="s">
        <v>11</v>
      </c>
      <c r="G1115" s="15">
        <v>1482.35</v>
      </c>
      <c r="H1115" s="15">
        <v>1482.35</v>
      </c>
      <c r="I1115" s="13">
        <v>7</v>
      </c>
      <c r="J1115" s="13">
        <v>7</v>
      </c>
      <c r="K1115" s="13" t="s">
        <v>18</v>
      </c>
      <c r="L1115" s="15">
        <v>211.76428571428571</v>
      </c>
      <c r="M1115" s="16">
        <v>211.76428571428571</v>
      </c>
    </row>
    <row r="1116" spans="1:13" s="5" customFormat="1" x14ac:dyDescent="0.25">
      <c r="A1116" s="12" t="s">
        <v>2181</v>
      </c>
      <c r="B1116" s="13" t="s">
        <v>2182</v>
      </c>
      <c r="C1116" s="14">
        <v>45042</v>
      </c>
      <c r="D1116" s="13">
        <v>2023</v>
      </c>
      <c r="E1116" s="13" t="s">
        <v>10</v>
      </c>
      <c r="F1116" s="13" t="s">
        <v>22</v>
      </c>
      <c r="G1116" s="15">
        <v>844.03</v>
      </c>
      <c r="H1116" s="15">
        <v>844.03</v>
      </c>
      <c r="I1116" s="13">
        <v>5</v>
      </c>
      <c r="J1116" s="13">
        <v>5</v>
      </c>
      <c r="K1116" s="13" t="s">
        <v>3348</v>
      </c>
      <c r="L1116" s="15">
        <v>168.80599999999998</v>
      </c>
      <c r="M1116" s="16">
        <v>168.80599999999998</v>
      </c>
    </row>
    <row r="1117" spans="1:13" s="5" customFormat="1" x14ac:dyDescent="0.25">
      <c r="A1117" s="12" t="s">
        <v>2183</v>
      </c>
      <c r="B1117" s="13" t="s">
        <v>2184</v>
      </c>
      <c r="C1117" s="14">
        <v>45415</v>
      </c>
      <c r="D1117" s="13">
        <v>2024</v>
      </c>
      <c r="E1117" s="13" t="s">
        <v>10</v>
      </c>
      <c r="F1117" s="13" t="s">
        <v>22</v>
      </c>
      <c r="G1117" s="15">
        <v>728.09</v>
      </c>
      <c r="H1117" s="15">
        <v>728.09</v>
      </c>
      <c r="I1117" s="13">
        <v>7</v>
      </c>
      <c r="J1117" s="13">
        <v>7</v>
      </c>
      <c r="K1117" s="13" t="s">
        <v>3348</v>
      </c>
      <c r="L1117" s="15">
        <v>104.01285714285714</v>
      </c>
      <c r="M1117" s="16">
        <v>104.01285714285714</v>
      </c>
    </row>
    <row r="1118" spans="1:13" s="5" customFormat="1" x14ac:dyDescent="0.25">
      <c r="A1118" s="12" t="s">
        <v>2185</v>
      </c>
      <c r="B1118" s="13" t="s">
        <v>2186</v>
      </c>
      <c r="C1118" s="14">
        <v>45206</v>
      </c>
      <c r="D1118" s="13">
        <v>2023</v>
      </c>
      <c r="E1118" s="13" t="s">
        <v>10</v>
      </c>
      <c r="F1118" s="13" t="s">
        <v>34</v>
      </c>
      <c r="G1118" s="15">
        <v>1697.35</v>
      </c>
      <c r="H1118" s="15">
        <v>1697.35</v>
      </c>
      <c r="I1118" s="13"/>
      <c r="J1118" s="13">
        <v>10</v>
      </c>
      <c r="K1118" s="13" t="s">
        <v>15</v>
      </c>
      <c r="L1118" s="15">
        <v>169.73499999999999</v>
      </c>
      <c r="M1118" s="16">
        <v>162.767875</v>
      </c>
    </row>
    <row r="1119" spans="1:13" s="5" customFormat="1" x14ac:dyDescent="0.25">
      <c r="A1119" s="12" t="s">
        <v>2187</v>
      </c>
      <c r="B1119" s="13" t="s">
        <v>2188</v>
      </c>
      <c r="C1119" s="14">
        <v>45583</v>
      </c>
      <c r="D1119" s="13">
        <v>2024</v>
      </c>
      <c r="E1119" s="13" t="s">
        <v>14</v>
      </c>
      <c r="F1119" s="13" t="s">
        <v>11</v>
      </c>
      <c r="G1119" s="15">
        <v>1351.39</v>
      </c>
      <c r="H1119" s="15">
        <v>1351.39</v>
      </c>
      <c r="I1119" s="13">
        <v>9</v>
      </c>
      <c r="J1119" s="13">
        <v>9</v>
      </c>
      <c r="K1119" s="13" t="s">
        <v>15</v>
      </c>
      <c r="L1119" s="15">
        <v>150.15444444444447</v>
      </c>
      <c r="M1119" s="16">
        <v>150.15444444444447</v>
      </c>
    </row>
    <row r="1120" spans="1:13" s="5" customFormat="1" x14ac:dyDescent="0.25">
      <c r="A1120" s="12" t="s">
        <v>2189</v>
      </c>
      <c r="B1120" s="13" t="s">
        <v>2190</v>
      </c>
      <c r="C1120" s="14">
        <v>45352</v>
      </c>
      <c r="D1120" s="13">
        <v>2024</v>
      </c>
      <c r="E1120" s="13" t="s">
        <v>14</v>
      </c>
      <c r="F1120" s="13" t="s">
        <v>25</v>
      </c>
      <c r="G1120" s="15">
        <v>956.02</v>
      </c>
      <c r="H1120" s="15">
        <v>956.02</v>
      </c>
      <c r="I1120" s="13">
        <v>6</v>
      </c>
      <c r="J1120" s="13">
        <v>6</v>
      </c>
      <c r="K1120" s="13" t="s">
        <v>3348</v>
      </c>
      <c r="L1120" s="15">
        <v>159.33666666666667</v>
      </c>
      <c r="M1120" s="16">
        <v>159.33666666666667</v>
      </c>
    </row>
    <row r="1121" spans="1:13" s="5" customFormat="1" x14ac:dyDescent="0.25">
      <c r="A1121" s="12" t="s">
        <v>2191</v>
      </c>
      <c r="B1121" s="13" t="s">
        <v>2192</v>
      </c>
      <c r="C1121" s="14">
        <v>45128</v>
      </c>
      <c r="D1121" s="13">
        <v>2023</v>
      </c>
      <c r="E1121" s="13" t="s">
        <v>14</v>
      </c>
      <c r="F1121" s="13" t="s">
        <v>34</v>
      </c>
      <c r="G1121" s="15">
        <v>998.95</v>
      </c>
      <c r="H1121" s="15">
        <v>998.95</v>
      </c>
      <c r="I1121" s="13">
        <v>4</v>
      </c>
      <c r="J1121" s="13">
        <v>4</v>
      </c>
      <c r="K1121" s="13" t="s">
        <v>18</v>
      </c>
      <c r="L1121" s="15">
        <v>249.73750000000001</v>
      </c>
      <c r="M1121" s="16">
        <v>249.73750000000001</v>
      </c>
    </row>
    <row r="1122" spans="1:13" s="5" customFormat="1" x14ac:dyDescent="0.25">
      <c r="A1122" s="12" t="s">
        <v>2193</v>
      </c>
      <c r="B1122" s="13" t="s">
        <v>2194</v>
      </c>
      <c r="C1122" s="14">
        <v>45771</v>
      </c>
      <c r="D1122" s="13">
        <v>2025</v>
      </c>
      <c r="E1122" s="13" t="s">
        <v>21</v>
      </c>
      <c r="F1122" s="13" t="s">
        <v>22</v>
      </c>
      <c r="G1122" s="15"/>
      <c r="H1122" s="15">
        <v>3548.2821388888883</v>
      </c>
      <c r="I1122" s="13">
        <v>9</v>
      </c>
      <c r="J1122" s="13">
        <v>9</v>
      </c>
      <c r="K1122" s="13" t="s">
        <v>15</v>
      </c>
      <c r="L1122" s="15">
        <v>566.1393333333333</v>
      </c>
      <c r="M1122" s="16">
        <v>566.1393333333333</v>
      </c>
    </row>
    <row r="1123" spans="1:13" s="5" customFormat="1" x14ac:dyDescent="0.25">
      <c r="A1123" s="12" t="s">
        <v>2195</v>
      </c>
      <c r="B1123" s="13" t="s">
        <v>2196</v>
      </c>
      <c r="C1123" s="14">
        <v>45823</v>
      </c>
      <c r="D1123" s="13">
        <v>2025</v>
      </c>
      <c r="E1123" s="13" t="s">
        <v>21</v>
      </c>
      <c r="F1123" s="13" t="s">
        <v>34</v>
      </c>
      <c r="G1123" s="15"/>
      <c r="H1123" s="15">
        <v>1636.925892857143</v>
      </c>
      <c r="I1123" s="13">
        <v>10</v>
      </c>
      <c r="J1123" s="13">
        <v>10</v>
      </c>
      <c r="K1123" s="13" t="s">
        <v>18</v>
      </c>
      <c r="L1123" s="15">
        <v>163.69258928571429</v>
      </c>
      <c r="M1123" s="16">
        <v>163.69258928571429</v>
      </c>
    </row>
    <row r="1124" spans="1:13" s="5" customFormat="1" x14ac:dyDescent="0.25">
      <c r="A1124" s="12" t="s">
        <v>2197</v>
      </c>
      <c r="B1124" s="13" t="s">
        <v>2198</v>
      </c>
      <c r="C1124" s="14">
        <v>45775</v>
      </c>
      <c r="D1124" s="13">
        <v>2025</v>
      </c>
      <c r="E1124" s="13" t="s">
        <v>21</v>
      </c>
      <c r="F1124" s="13" t="s">
        <v>22</v>
      </c>
      <c r="G1124" s="15">
        <v>374.06</v>
      </c>
      <c r="H1124" s="15">
        <v>374.06</v>
      </c>
      <c r="I1124" s="13">
        <v>1</v>
      </c>
      <c r="J1124" s="13">
        <v>1</v>
      </c>
      <c r="K1124" s="13" t="s">
        <v>18</v>
      </c>
      <c r="L1124" s="15">
        <v>374.06</v>
      </c>
      <c r="M1124" s="16">
        <v>374.06</v>
      </c>
    </row>
    <row r="1125" spans="1:13" s="5" customFormat="1" x14ac:dyDescent="0.25">
      <c r="A1125" s="12" t="s">
        <v>2199</v>
      </c>
      <c r="B1125" s="13" t="s">
        <v>2200</v>
      </c>
      <c r="C1125" s="14">
        <v>45125</v>
      </c>
      <c r="D1125" s="13">
        <v>2023</v>
      </c>
      <c r="E1125" s="13" t="s">
        <v>10</v>
      </c>
      <c r="F1125" s="13" t="s">
        <v>25</v>
      </c>
      <c r="G1125" s="15">
        <v>1690.19</v>
      </c>
      <c r="H1125" s="15">
        <v>1690.19</v>
      </c>
      <c r="I1125" s="13"/>
      <c r="J1125" s="13">
        <v>10</v>
      </c>
      <c r="K1125" s="13" t="s">
        <v>35</v>
      </c>
      <c r="L1125" s="15">
        <v>153.65363636363637</v>
      </c>
      <c r="M1125" s="16">
        <v>150.75611111111112</v>
      </c>
    </row>
    <row r="1126" spans="1:13" s="5" customFormat="1" x14ac:dyDescent="0.25">
      <c r="A1126" s="12" t="s">
        <v>2201</v>
      </c>
      <c r="B1126" s="13" t="s">
        <v>2202</v>
      </c>
      <c r="C1126" s="14">
        <v>45069</v>
      </c>
      <c r="D1126" s="13">
        <v>2023</v>
      </c>
      <c r="E1126" s="13" t="s">
        <v>21</v>
      </c>
      <c r="F1126" s="13" t="s">
        <v>25</v>
      </c>
      <c r="G1126" s="15">
        <v>1040.58</v>
      </c>
      <c r="H1126" s="15">
        <v>1040.58</v>
      </c>
      <c r="I1126" s="13"/>
      <c r="J1126" s="13">
        <v>6</v>
      </c>
      <c r="K1126" s="13" t="s">
        <v>3346</v>
      </c>
      <c r="L1126" s="15">
        <v>173.42999999999998</v>
      </c>
      <c r="M1126" s="16">
        <v>183.67878472222225</v>
      </c>
    </row>
    <row r="1127" spans="1:13" s="5" customFormat="1" x14ac:dyDescent="0.25">
      <c r="A1127" s="12" t="s">
        <v>2203</v>
      </c>
      <c r="B1127" s="13" t="s">
        <v>2204</v>
      </c>
      <c r="C1127" s="14">
        <v>45010</v>
      </c>
      <c r="D1127" s="13">
        <v>2023</v>
      </c>
      <c r="E1127" s="13" t="s">
        <v>21</v>
      </c>
      <c r="F1127" s="13" t="s">
        <v>22</v>
      </c>
      <c r="G1127" s="15">
        <v>335.57</v>
      </c>
      <c r="H1127" s="15">
        <v>335.57</v>
      </c>
      <c r="I1127" s="13"/>
      <c r="J1127" s="13">
        <v>1</v>
      </c>
      <c r="K1127" s="13" t="s">
        <v>15</v>
      </c>
      <c r="L1127" s="15">
        <v>335.57</v>
      </c>
      <c r="M1127" s="16">
        <v>272.82067893217896</v>
      </c>
    </row>
    <row r="1128" spans="1:13" s="5" customFormat="1" x14ac:dyDescent="0.25">
      <c r="A1128" s="12" t="s">
        <v>2205</v>
      </c>
      <c r="B1128" s="13" t="s">
        <v>2206</v>
      </c>
      <c r="C1128" s="14">
        <v>45846</v>
      </c>
      <c r="D1128" s="13">
        <v>2025</v>
      </c>
      <c r="E1128" s="13" t="s">
        <v>3347</v>
      </c>
      <c r="F1128" s="13" t="s">
        <v>22</v>
      </c>
      <c r="G1128" s="15">
        <v>1770.12</v>
      </c>
      <c r="H1128" s="15">
        <v>1770.12</v>
      </c>
      <c r="I1128" s="13">
        <v>3</v>
      </c>
      <c r="J1128" s="13">
        <v>3</v>
      </c>
      <c r="K1128" s="13" t="s">
        <v>3348</v>
      </c>
      <c r="L1128" s="15">
        <v>590.04</v>
      </c>
      <c r="M1128" s="16">
        <v>590.04</v>
      </c>
    </row>
    <row r="1129" spans="1:13" s="5" customFormat="1" x14ac:dyDescent="0.25">
      <c r="A1129" s="12" t="s">
        <v>2207</v>
      </c>
      <c r="B1129" s="13" t="s">
        <v>2208</v>
      </c>
      <c r="C1129" s="14">
        <v>45715</v>
      </c>
      <c r="D1129" s="13">
        <v>2025</v>
      </c>
      <c r="E1129" s="13" t="s">
        <v>14</v>
      </c>
      <c r="F1129" s="13" t="s">
        <v>22</v>
      </c>
      <c r="G1129" s="15">
        <v>1461.87</v>
      </c>
      <c r="H1129" s="15">
        <v>1461.87</v>
      </c>
      <c r="I1129" s="13">
        <v>4</v>
      </c>
      <c r="J1129" s="13">
        <v>4</v>
      </c>
      <c r="K1129" s="13" t="s">
        <v>18</v>
      </c>
      <c r="L1129" s="15">
        <v>365.46749999999997</v>
      </c>
      <c r="M1129" s="16">
        <v>365.46749999999997</v>
      </c>
    </row>
    <row r="1130" spans="1:13" s="5" customFormat="1" x14ac:dyDescent="0.25">
      <c r="A1130" s="12" t="s">
        <v>2209</v>
      </c>
      <c r="B1130" s="13" t="s">
        <v>2210</v>
      </c>
      <c r="C1130" s="14">
        <v>45429</v>
      </c>
      <c r="D1130" s="13">
        <v>2024</v>
      </c>
      <c r="E1130" s="13" t="s">
        <v>10</v>
      </c>
      <c r="F1130" s="13" t="s">
        <v>34</v>
      </c>
      <c r="G1130" s="15">
        <v>586.78</v>
      </c>
      <c r="H1130" s="15">
        <v>586.78</v>
      </c>
      <c r="I1130" s="13">
        <v>9</v>
      </c>
      <c r="J1130" s="13">
        <v>9</v>
      </c>
      <c r="K1130" s="13" t="s">
        <v>15</v>
      </c>
      <c r="L1130" s="15">
        <v>65.197777777777773</v>
      </c>
      <c r="M1130" s="16">
        <v>65.197777777777773</v>
      </c>
    </row>
    <row r="1131" spans="1:13" s="5" customFormat="1" x14ac:dyDescent="0.25">
      <c r="A1131" s="12" t="s">
        <v>2211</v>
      </c>
      <c r="B1131" s="13" t="s">
        <v>2212</v>
      </c>
      <c r="C1131" s="14">
        <v>45539</v>
      </c>
      <c r="D1131" s="13">
        <v>2024</v>
      </c>
      <c r="E1131" s="13" t="s">
        <v>3347</v>
      </c>
      <c r="F1131" s="13" t="s">
        <v>11</v>
      </c>
      <c r="G1131" s="15">
        <v>1315.4</v>
      </c>
      <c r="H1131" s="15">
        <v>1315.4</v>
      </c>
      <c r="I1131" s="13">
        <v>1</v>
      </c>
      <c r="J1131" s="13">
        <v>1</v>
      </c>
      <c r="K1131" s="13" t="s">
        <v>3348</v>
      </c>
      <c r="L1131" s="15">
        <v>1315.4</v>
      </c>
      <c r="M1131" s="16">
        <v>1315.4</v>
      </c>
    </row>
    <row r="1132" spans="1:13" s="5" customFormat="1" x14ac:dyDescent="0.25">
      <c r="A1132" s="12" t="s">
        <v>2213</v>
      </c>
      <c r="B1132" s="13" t="s">
        <v>2214</v>
      </c>
      <c r="C1132" s="14">
        <v>44959</v>
      </c>
      <c r="D1132" s="13">
        <v>2023</v>
      </c>
      <c r="E1132" s="13" t="s">
        <v>10</v>
      </c>
      <c r="F1132" s="13" t="s">
        <v>22</v>
      </c>
      <c r="G1132" s="15">
        <v>440.85</v>
      </c>
      <c r="H1132" s="15">
        <v>440.85</v>
      </c>
      <c r="I1132" s="13">
        <v>6</v>
      </c>
      <c r="J1132" s="13">
        <v>6</v>
      </c>
      <c r="K1132" s="13" t="s">
        <v>35</v>
      </c>
      <c r="L1132" s="15">
        <v>73.475000000000009</v>
      </c>
      <c r="M1132" s="16">
        <v>73.475000000000009</v>
      </c>
    </row>
    <row r="1133" spans="1:13" s="5" customFormat="1" x14ac:dyDescent="0.25">
      <c r="A1133" s="12" t="s">
        <v>2215</v>
      </c>
      <c r="B1133" s="13" t="s">
        <v>2216</v>
      </c>
      <c r="C1133" s="14">
        <v>45087</v>
      </c>
      <c r="D1133" s="13">
        <v>2023</v>
      </c>
      <c r="E1133" s="13" t="s">
        <v>14</v>
      </c>
      <c r="F1133" s="13" t="s">
        <v>25</v>
      </c>
      <c r="G1133" s="15">
        <v>252.13</v>
      </c>
      <c r="H1133" s="15">
        <v>252.13</v>
      </c>
      <c r="I1133" s="13">
        <v>9</v>
      </c>
      <c r="J1133" s="13">
        <v>9</v>
      </c>
      <c r="K1133" s="13" t="s">
        <v>15</v>
      </c>
      <c r="L1133" s="15">
        <v>28.014444444444443</v>
      </c>
      <c r="M1133" s="16">
        <v>28.014444444444443</v>
      </c>
    </row>
    <row r="1134" spans="1:13" s="5" customFormat="1" x14ac:dyDescent="0.25">
      <c r="A1134" s="12" t="s">
        <v>2217</v>
      </c>
      <c r="B1134" s="13" t="s">
        <v>1789</v>
      </c>
      <c r="C1134" s="14">
        <v>44905</v>
      </c>
      <c r="D1134" s="13">
        <v>2022</v>
      </c>
      <c r="E1134" s="13" t="s">
        <v>14</v>
      </c>
      <c r="F1134" s="13" t="s">
        <v>25</v>
      </c>
      <c r="G1134" s="15"/>
      <c r="H1134" s="15">
        <v>498.13380042016814</v>
      </c>
      <c r="I1134" s="13">
        <v>3</v>
      </c>
      <c r="J1134" s="13">
        <v>3</v>
      </c>
      <c r="K1134" s="13" t="s">
        <v>18</v>
      </c>
      <c r="L1134" s="15">
        <v>166.04460014005605</v>
      </c>
      <c r="M1134" s="16">
        <v>166.04460014005605</v>
      </c>
    </row>
    <row r="1135" spans="1:13" s="5" customFormat="1" x14ac:dyDescent="0.25">
      <c r="A1135" s="12" t="s">
        <v>2218</v>
      </c>
      <c r="B1135" s="13" t="s">
        <v>1074</v>
      </c>
      <c r="C1135" s="14">
        <v>45243</v>
      </c>
      <c r="D1135" s="13">
        <v>2023</v>
      </c>
      <c r="E1135" s="13" t="s">
        <v>14</v>
      </c>
      <c r="F1135" s="13" t="s">
        <v>25</v>
      </c>
      <c r="G1135" s="15"/>
      <c r="H1135" s="15">
        <v>2003.1565000000001</v>
      </c>
      <c r="I1135" s="13">
        <v>9</v>
      </c>
      <c r="J1135" s="13">
        <v>9</v>
      </c>
      <c r="K1135" s="13" t="s">
        <v>3348</v>
      </c>
      <c r="L1135" s="15">
        <v>222.57294444444446</v>
      </c>
      <c r="M1135" s="16">
        <v>222.57294444444446</v>
      </c>
    </row>
    <row r="1136" spans="1:13" s="5" customFormat="1" x14ac:dyDescent="0.25">
      <c r="A1136" s="12" t="s">
        <v>2219</v>
      </c>
      <c r="B1136" s="13" t="s">
        <v>2220</v>
      </c>
      <c r="C1136" s="14">
        <v>45549</v>
      </c>
      <c r="D1136" s="13">
        <v>2024</v>
      </c>
      <c r="E1136" s="13" t="s">
        <v>3347</v>
      </c>
      <c r="F1136" s="13" t="s">
        <v>11</v>
      </c>
      <c r="G1136" s="15">
        <v>756.04</v>
      </c>
      <c r="H1136" s="15">
        <v>756.04</v>
      </c>
      <c r="I1136" s="13">
        <v>8</v>
      </c>
      <c r="J1136" s="13">
        <v>8</v>
      </c>
      <c r="K1136" s="13" t="s">
        <v>18</v>
      </c>
      <c r="L1136" s="15">
        <v>94.504999999999995</v>
      </c>
      <c r="M1136" s="16">
        <v>94.504999999999995</v>
      </c>
    </row>
    <row r="1137" spans="1:13" s="5" customFormat="1" x14ac:dyDescent="0.25">
      <c r="A1137" s="12" t="s">
        <v>2221</v>
      </c>
      <c r="B1137" s="13" t="s">
        <v>2222</v>
      </c>
      <c r="C1137" s="14">
        <v>45259</v>
      </c>
      <c r="D1137" s="13">
        <v>2023</v>
      </c>
      <c r="E1137" s="13" t="s">
        <v>14</v>
      </c>
      <c r="F1137" s="13" t="s">
        <v>25</v>
      </c>
      <c r="G1137" s="15">
        <v>630.94000000000005</v>
      </c>
      <c r="H1137" s="15">
        <v>630.94000000000005</v>
      </c>
      <c r="I1137" s="13">
        <v>3</v>
      </c>
      <c r="J1137" s="13">
        <v>3</v>
      </c>
      <c r="K1137" s="13" t="s">
        <v>3346</v>
      </c>
      <c r="L1137" s="15">
        <v>210.31333333333336</v>
      </c>
      <c r="M1137" s="16">
        <v>210.31333333333336</v>
      </c>
    </row>
    <row r="1138" spans="1:13" s="5" customFormat="1" x14ac:dyDescent="0.25">
      <c r="A1138" s="12" t="s">
        <v>2223</v>
      </c>
      <c r="B1138" s="13" t="s">
        <v>2025</v>
      </c>
      <c r="C1138" s="14">
        <v>45049</v>
      </c>
      <c r="D1138" s="13">
        <v>2023</v>
      </c>
      <c r="E1138" s="13" t="s">
        <v>10</v>
      </c>
      <c r="F1138" s="13" t="s">
        <v>22</v>
      </c>
      <c r="G1138" s="15">
        <v>640.71</v>
      </c>
      <c r="H1138" s="15">
        <v>640.71</v>
      </c>
      <c r="I1138" s="13">
        <v>10</v>
      </c>
      <c r="J1138" s="13">
        <v>10</v>
      </c>
      <c r="K1138" s="13" t="s">
        <v>3348</v>
      </c>
      <c r="L1138" s="15">
        <v>64.070999999999998</v>
      </c>
      <c r="M1138" s="16">
        <v>64.070999999999998</v>
      </c>
    </row>
    <row r="1139" spans="1:13" s="5" customFormat="1" x14ac:dyDescent="0.25">
      <c r="A1139" s="12" t="s">
        <v>2224</v>
      </c>
      <c r="B1139" s="13" t="s">
        <v>2225</v>
      </c>
      <c r="C1139" s="14">
        <v>45890</v>
      </c>
      <c r="D1139" s="13">
        <v>2025</v>
      </c>
      <c r="E1139" s="13" t="s">
        <v>3347</v>
      </c>
      <c r="F1139" s="13" t="s">
        <v>34</v>
      </c>
      <c r="G1139" s="15">
        <v>972.01</v>
      </c>
      <c r="H1139" s="15">
        <v>972.01</v>
      </c>
      <c r="I1139" s="13">
        <v>5</v>
      </c>
      <c r="J1139" s="13">
        <v>5</v>
      </c>
      <c r="K1139" s="13" t="s">
        <v>35</v>
      </c>
      <c r="L1139" s="15">
        <v>194.40199999999999</v>
      </c>
      <c r="M1139" s="16">
        <v>194.40199999999999</v>
      </c>
    </row>
    <row r="1140" spans="1:13" s="5" customFormat="1" x14ac:dyDescent="0.25">
      <c r="A1140" s="12" t="s">
        <v>2226</v>
      </c>
      <c r="B1140" s="13" t="s">
        <v>2227</v>
      </c>
      <c r="C1140" s="14">
        <v>45893</v>
      </c>
      <c r="D1140" s="13">
        <v>2025</v>
      </c>
      <c r="E1140" s="13" t="s">
        <v>10</v>
      </c>
      <c r="F1140" s="13" t="s">
        <v>11</v>
      </c>
      <c r="G1140" s="15">
        <v>780.65</v>
      </c>
      <c r="H1140" s="15">
        <v>780.65</v>
      </c>
      <c r="I1140" s="13">
        <v>7</v>
      </c>
      <c r="J1140" s="13">
        <v>7</v>
      </c>
      <c r="K1140" s="13" t="s">
        <v>35</v>
      </c>
      <c r="L1140" s="15">
        <v>111.52142857142857</v>
      </c>
      <c r="M1140" s="16">
        <v>111.52142857142857</v>
      </c>
    </row>
    <row r="1141" spans="1:13" s="5" customFormat="1" x14ac:dyDescent="0.25">
      <c r="A1141" s="12" t="s">
        <v>2228</v>
      </c>
      <c r="B1141" s="13" t="s">
        <v>859</v>
      </c>
      <c r="C1141" s="14">
        <v>45164</v>
      </c>
      <c r="D1141" s="13">
        <v>2023</v>
      </c>
      <c r="E1141" s="13" t="s">
        <v>3347</v>
      </c>
      <c r="F1141" s="13" t="s">
        <v>22</v>
      </c>
      <c r="G1141" s="15">
        <v>1858.66</v>
      </c>
      <c r="H1141" s="15">
        <v>1858.66</v>
      </c>
      <c r="I1141" s="13">
        <v>8</v>
      </c>
      <c r="J1141" s="13">
        <v>8</v>
      </c>
      <c r="K1141" s="13" t="s">
        <v>3348</v>
      </c>
      <c r="L1141" s="15">
        <v>232.33250000000001</v>
      </c>
      <c r="M1141" s="16">
        <v>232.33250000000001</v>
      </c>
    </row>
    <row r="1142" spans="1:13" s="5" customFormat="1" x14ac:dyDescent="0.25">
      <c r="A1142" s="12" t="s">
        <v>2229</v>
      </c>
      <c r="B1142" s="13" t="s">
        <v>2230</v>
      </c>
      <c r="C1142" s="14">
        <v>45479</v>
      </c>
      <c r="D1142" s="13">
        <v>2024</v>
      </c>
      <c r="E1142" s="13" t="s">
        <v>10</v>
      </c>
      <c r="F1142" s="13" t="s">
        <v>11</v>
      </c>
      <c r="G1142" s="15">
        <v>376.33</v>
      </c>
      <c r="H1142" s="15">
        <v>376.33</v>
      </c>
      <c r="I1142" s="13">
        <v>2</v>
      </c>
      <c r="J1142" s="13">
        <v>2</v>
      </c>
      <c r="K1142" s="13" t="s">
        <v>18</v>
      </c>
      <c r="L1142" s="15">
        <v>188.16499999999999</v>
      </c>
      <c r="M1142" s="16">
        <v>188.16499999999999</v>
      </c>
    </row>
    <row r="1143" spans="1:13" s="5" customFormat="1" x14ac:dyDescent="0.25">
      <c r="A1143" s="12" t="s">
        <v>2231</v>
      </c>
      <c r="B1143" s="13" t="s">
        <v>2232</v>
      </c>
      <c r="C1143" s="14">
        <v>45300</v>
      </c>
      <c r="D1143" s="13">
        <v>2024</v>
      </c>
      <c r="E1143" s="13" t="s">
        <v>3347</v>
      </c>
      <c r="F1143" s="13" t="s">
        <v>11</v>
      </c>
      <c r="G1143" s="15">
        <v>920.32</v>
      </c>
      <c r="H1143" s="15">
        <v>920.32</v>
      </c>
      <c r="I1143" s="13">
        <v>4</v>
      </c>
      <c r="J1143" s="13">
        <v>4</v>
      </c>
      <c r="K1143" s="13" t="s">
        <v>35</v>
      </c>
      <c r="L1143" s="15">
        <v>230.08</v>
      </c>
      <c r="M1143" s="16">
        <v>230.08</v>
      </c>
    </row>
    <row r="1144" spans="1:13" s="5" customFormat="1" x14ac:dyDescent="0.25">
      <c r="A1144" s="12" t="s">
        <v>2233</v>
      </c>
      <c r="B1144" s="13" t="s">
        <v>2234</v>
      </c>
      <c r="C1144" s="14">
        <v>45377</v>
      </c>
      <c r="D1144" s="13">
        <v>2024</v>
      </c>
      <c r="E1144" s="13" t="s">
        <v>3347</v>
      </c>
      <c r="F1144" s="13" t="s">
        <v>34</v>
      </c>
      <c r="G1144" s="15">
        <v>701.52</v>
      </c>
      <c r="H1144" s="15">
        <v>701.52</v>
      </c>
      <c r="I1144" s="13">
        <v>4</v>
      </c>
      <c r="J1144" s="13">
        <v>4</v>
      </c>
      <c r="K1144" s="13" t="s">
        <v>18</v>
      </c>
      <c r="L1144" s="15">
        <v>175.38</v>
      </c>
      <c r="M1144" s="16">
        <v>175.38</v>
      </c>
    </row>
    <row r="1145" spans="1:13" s="5" customFormat="1" x14ac:dyDescent="0.25">
      <c r="A1145" s="12" t="s">
        <v>2235</v>
      </c>
      <c r="B1145" s="13" t="s">
        <v>2236</v>
      </c>
      <c r="C1145" s="14">
        <v>45602</v>
      </c>
      <c r="D1145" s="13">
        <v>2024</v>
      </c>
      <c r="E1145" s="13" t="s">
        <v>14</v>
      </c>
      <c r="F1145" s="13" t="s">
        <v>22</v>
      </c>
      <c r="G1145" s="15"/>
      <c r="H1145" s="15">
        <v>2469.2514000000001</v>
      </c>
      <c r="I1145" s="13">
        <v>6</v>
      </c>
      <c r="J1145" s="13">
        <v>6</v>
      </c>
      <c r="K1145" s="13" t="s">
        <v>35</v>
      </c>
      <c r="L1145" s="15">
        <v>411.5419</v>
      </c>
      <c r="M1145" s="16">
        <v>411.5419</v>
      </c>
    </row>
    <row r="1146" spans="1:13" s="5" customFormat="1" x14ac:dyDescent="0.25">
      <c r="A1146" s="12" t="s">
        <v>2237</v>
      </c>
      <c r="B1146" s="13" t="s">
        <v>2238</v>
      </c>
      <c r="C1146" s="14">
        <v>45307</v>
      </c>
      <c r="D1146" s="13">
        <v>2024</v>
      </c>
      <c r="E1146" s="13" t="s">
        <v>14</v>
      </c>
      <c r="F1146" s="13" t="s">
        <v>22</v>
      </c>
      <c r="G1146" s="15">
        <v>1733.7</v>
      </c>
      <c r="H1146" s="15">
        <v>1733.7</v>
      </c>
      <c r="I1146" s="13">
        <v>5</v>
      </c>
      <c r="J1146" s="13">
        <v>5</v>
      </c>
      <c r="K1146" s="13" t="s">
        <v>15</v>
      </c>
      <c r="L1146" s="15">
        <v>346.74</v>
      </c>
      <c r="M1146" s="16">
        <v>346.74</v>
      </c>
    </row>
    <row r="1147" spans="1:13" s="5" customFormat="1" x14ac:dyDescent="0.25">
      <c r="A1147" s="12" t="s">
        <v>2239</v>
      </c>
      <c r="B1147" s="13" t="s">
        <v>2240</v>
      </c>
      <c r="C1147" s="14">
        <v>45476</v>
      </c>
      <c r="D1147" s="13">
        <v>2024</v>
      </c>
      <c r="E1147" s="13" t="s">
        <v>21</v>
      </c>
      <c r="F1147" s="13" t="s">
        <v>25</v>
      </c>
      <c r="G1147" s="15">
        <v>1428.17</v>
      </c>
      <c r="H1147" s="15">
        <v>1428.17</v>
      </c>
      <c r="I1147" s="13"/>
      <c r="J1147" s="13">
        <v>10</v>
      </c>
      <c r="K1147" s="13" t="s">
        <v>35</v>
      </c>
      <c r="L1147" s="15">
        <v>129.83363636363637</v>
      </c>
      <c r="M1147" s="16">
        <v>130.9334761904762</v>
      </c>
    </row>
    <row r="1148" spans="1:13" s="5" customFormat="1" x14ac:dyDescent="0.25">
      <c r="A1148" s="12" t="s">
        <v>2241</v>
      </c>
      <c r="B1148" s="13" t="s">
        <v>2242</v>
      </c>
      <c r="C1148" s="14">
        <v>44960</v>
      </c>
      <c r="D1148" s="13">
        <v>2023</v>
      </c>
      <c r="E1148" s="13" t="s">
        <v>10</v>
      </c>
      <c r="F1148" s="13" t="s">
        <v>34</v>
      </c>
      <c r="G1148" s="15">
        <v>1691.08</v>
      </c>
      <c r="H1148" s="15">
        <v>1691.08</v>
      </c>
      <c r="I1148" s="13">
        <v>8</v>
      </c>
      <c r="J1148" s="13">
        <v>8</v>
      </c>
      <c r="K1148" s="13" t="s">
        <v>3348</v>
      </c>
      <c r="L1148" s="15">
        <v>211.38499999999999</v>
      </c>
      <c r="M1148" s="16">
        <v>211.38499999999999</v>
      </c>
    </row>
    <row r="1149" spans="1:13" s="5" customFormat="1" x14ac:dyDescent="0.25">
      <c r="A1149" s="12" t="s">
        <v>2243</v>
      </c>
      <c r="B1149" s="13" t="s">
        <v>2244</v>
      </c>
      <c r="C1149" s="14">
        <v>45931</v>
      </c>
      <c r="D1149" s="13">
        <v>2025</v>
      </c>
      <c r="E1149" s="13" t="s">
        <v>14</v>
      </c>
      <c r="F1149" s="13" t="s">
        <v>34</v>
      </c>
      <c r="G1149" s="15"/>
      <c r="H1149" s="15">
        <v>1519.9443333333334</v>
      </c>
      <c r="I1149" s="13">
        <v>8</v>
      </c>
      <c r="J1149" s="13">
        <v>8</v>
      </c>
      <c r="K1149" s="13" t="s">
        <v>15</v>
      </c>
      <c r="L1149" s="15">
        <v>189.99304166666667</v>
      </c>
      <c r="M1149" s="16">
        <v>189.99304166666667</v>
      </c>
    </row>
    <row r="1150" spans="1:13" s="5" customFormat="1" x14ac:dyDescent="0.25">
      <c r="A1150" s="12" t="s">
        <v>2245</v>
      </c>
      <c r="B1150" s="13" t="s">
        <v>2246</v>
      </c>
      <c r="C1150" s="14">
        <v>45187</v>
      </c>
      <c r="D1150" s="13">
        <v>2023</v>
      </c>
      <c r="E1150" s="13" t="s">
        <v>14</v>
      </c>
      <c r="F1150" s="13" t="s">
        <v>11</v>
      </c>
      <c r="G1150" s="15">
        <v>70.599999999999994</v>
      </c>
      <c r="H1150" s="15">
        <v>70.599999999999994</v>
      </c>
      <c r="I1150" s="13">
        <v>2</v>
      </c>
      <c r="J1150" s="13">
        <v>2</v>
      </c>
      <c r="K1150" s="13" t="s">
        <v>18</v>
      </c>
      <c r="L1150" s="15">
        <v>35.299999999999997</v>
      </c>
      <c r="M1150" s="16">
        <v>35.299999999999997</v>
      </c>
    </row>
    <row r="1151" spans="1:13" s="5" customFormat="1" x14ac:dyDescent="0.25">
      <c r="A1151" s="12" t="s">
        <v>2247</v>
      </c>
      <c r="B1151" s="13" t="s">
        <v>2248</v>
      </c>
      <c r="C1151" s="14">
        <v>45432</v>
      </c>
      <c r="D1151" s="13">
        <v>2024</v>
      </c>
      <c r="E1151" s="13" t="s">
        <v>21</v>
      </c>
      <c r="F1151" s="13" t="s">
        <v>11</v>
      </c>
      <c r="G1151" s="15">
        <v>1950.66</v>
      </c>
      <c r="H1151" s="15">
        <v>1950.66</v>
      </c>
      <c r="I1151" s="13">
        <v>3</v>
      </c>
      <c r="J1151" s="13">
        <v>3</v>
      </c>
      <c r="K1151" s="13" t="s">
        <v>15</v>
      </c>
      <c r="L1151" s="15">
        <v>650.22</v>
      </c>
      <c r="M1151" s="16">
        <v>650.22</v>
      </c>
    </row>
    <row r="1152" spans="1:13" s="5" customFormat="1" x14ac:dyDescent="0.25">
      <c r="A1152" s="12" t="s">
        <v>2249</v>
      </c>
      <c r="B1152" s="13" t="s">
        <v>2250</v>
      </c>
      <c r="C1152" s="14">
        <v>45813</v>
      </c>
      <c r="D1152" s="13">
        <v>2025</v>
      </c>
      <c r="E1152" s="13" t="s">
        <v>10</v>
      </c>
      <c r="F1152" s="13" t="s">
        <v>34</v>
      </c>
      <c r="G1152" s="15">
        <v>131.1</v>
      </c>
      <c r="H1152" s="15">
        <v>131.1</v>
      </c>
      <c r="I1152" s="13">
        <v>6</v>
      </c>
      <c r="J1152" s="13">
        <v>6</v>
      </c>
      <c r="K1152" s="13" t="s">
        <v>15</v>
      </c>
      <c r="L1152" s="15">
        <v>21.849999999999998</v>
      </c>
      <c r="M1152" s="16">
        <v>21.849999999999998</v>
      </c>
    </row>
    <row r="1153" spans="1:13" s="5" customFormat="1" x14ac:dyDescent="0.25">
      <c r="A1153" s="12" t="s">
        <v>2251</v>
      </c>
      <c r="B1153" s="13" t="s">
        <v>2252</v>
      </c>
      <c r="C1153" s="14">
        <v>44989</v>
      </c>
      <c r="D1153" s="13">
        <v>2023</v>
      </c>
      <c r="E1153" s="13" t="s">
        <v>3347</v>
      </c>
      <c r="F1153" s="13" t="s">
        <v>22</v>
      </c>
      <c r="G1153" s="15">
        <v>1123.82</v>
      </c>
      <c r="H1153" s="15">
        <v>1123.82</v>
      </c>
      <c r="I1153" s="13">
        <v>5</v>
      </c>
      <c r="J1153" s="13">
        <v>5</v>
      </c>
      <c r="K1153" s="13" t="s">
        <v>18</v>
      </c>
      <c r="L1153" s="15">
        <v>224.76399999999998</v>
      </c>
      <c r="M1153" s="16">
        <v>224.76399999999998</v>
      </c>
    </row>
    <row r="1154" spans="1:13" s="5" customFormat="1" x14ac:dyDescent="0.25">
      <c r="A1154" s="12" t="s">
        <v>2253</v>
      </c>
      <c r="B1154" s="13" t="s">
        <v>2254</v>
      </c>
      <c r="C1154" s="14">
        <v>45877</v>
      </c>
      <c r="D1154" s="13">
        <v>2025</v>
      </c>
      <c r="E1154" s="13" t="s">
        <v>3347</v>
      </c>
      <c r="F1154" s="13" t="s">
        <v>22</v>
      </c>
      <c r="G1154" s="15">
        <v>33.229999999999997</v>
      </c>
      <c r="H1154" s="15">
        <v>33.229999999999997</v>
      </c>
      <c r="I1154" s="13">
        <v>7</v>
      </c>
      <c r="J1154" s="13">
        <v>7</v>
      </c>
      <c r="K1154" s="13" t="s">
        <v>15</v>
      </c>
      <c r="L1154" s="15">
        <v>4.7471428571428564</v>
      </c>
      <c r="M1154" s="16">
        <v>4.7471428571428564</v>
      </c>
    </row>
    <row r="1155" spans="1:13" s="5" customFormat="1" x14ac:dyDescent="0.25">
      <c r="A1155" s="12" t="s">
        <v>2255</v>
      </c>
      <c r="B1155" s="13" t="s">
        <v>2256</v>
      </c>
      <c r="C1155" s="14">
        <v>44969</v>
      </c>
      <c r="D1155" s="13">
        <v>2023</v>
      </c>
      <c r="E1155" s="13" t="s">
        <v>3347</v>
      </c>
      <c r="F1155" s="13" t="s">
        <v>11</v>
      </c>
      <c r="G1155" s="15">
        <v>1071.6199999999999</v>
      </c>
      <c r="H1155" s="15">
        <v>1071.6199999999999</v>
      </c>
      <c r="I1155" s="13">
        <v>7</v>
      </c>
      <c r="J1155" s="13">
        <v>7</v>
      </c>
      <c r="K1155" s="13" t="s">
        <v>35</v>
      </c>
      <c r="L1155" s="15">
        <v>153.08857142857141</v>
      </c>
      <c r="M1155" s="16">
        <v>153.08857142857141</v>
      </c>
    </row>
    <row r="1156" spans="1:13" s="5" customFormat="1" x14ac:dyDescent="0.25">
      <c r="A1156" s="12" t="s">
        <v>2257</v>
      </c>
      <c r="B1156" s="13" t="s">
        <v>2258</v>
      </c>
      <c r="C1156" s="14">
        <v>45837</v>
      </c>
      <c r="D1156" s="13">
        <v>2025</v>
      </c>
      <c r="E1156" s="13" t="s">
        <v>21</v>
      </c>
      <c r="F1156" s="13" t="s">
        <v>22</v>
      </c>
      <c r="G1156" s="15">
        <v>111.71</v>
      </c>
      <c r="H1156" s="15">
        <v>111.71</v>
      </c>
      <c r="I1156" s="13">
        <v>6</v>
      </c>
      <c r="J1156" s="13">
        <v>6</v>
      </c>
      <c r="K1156" s="13" t="s">
        <v>35</v>
      </c>
      <c r="L1156" s="15">
        <v>18.618333333333332</v>
      </c>
      <c r="M1156" s="16">
        <v>18.618333333333332</v>
      </c>
    </row>
    <row r="1157" spans="1:13" s="5" customFormat="1" x14ac:dyDescent="0.25">
      <c r="A1157" s="12" t="s">
        <v>2259</v>
      </c>
      <c r="B1157" s="13" t="s">
        <v>2260</v>
      </c>
      <c r="C1157" s="14">
        <v>45106</v>
      </c>
      <c r="D1157" s="13">
        <v>2023</v>
      </c>
      <c r="E1157" s="13" t="s">
        <v>14</v>
      </c>
      <c r="F1157" s="13" t="s">
        <v>11</v>
      </c>
      <c r="G1157" s="15"/>
      <c r="H1157" s="15">
        <v>313.25808333333327</v>
      </c>
      <c r="I1157" s="13">
        <v>1</v>
      </c>
      <c r="J1157" s="13">
        <v>1</v>
      </c>
      <c r="K1157" s="13" t="s">
        <v>3346</v>
      </c>
      <c r="L1157" s="15">
        <v>313.25808333333327</v>
      </c>
      <c r="M1157" s="16">
        <v>313.25808333333327</v>
      </c>
    </row>
    <row r="1158" spans="1:13" s="5" customFormat="1" x14ac:dyDescent="0.25">
      <c r="A1158" s="12" t="s">
        <v>2261</v>
      </c>
      <c r="B1158" s="13" t="s">
        <v>2262</v>
      </c>
      <c r="C1158" s="14">
        <v>44954</v>
      </c>
      <c r="D1158" s="13">
        <v>2023</v>
      </c>
      <c r="E1158" s="13" t="s">
        <v>21</v>
      </c>
      <c r="F1158" s="13" t="s">
        <v>11</v>
      </c>
      <c r="G1158" s="15"/>
      <c r="H1158" s="15">
        <v>1860.6415714285711</v>
      </c>
      <c r="I1158" s="13">
        <v>9</v>
      </c>
      <c r="J1158" s="13">
        <v>9</v>
      </c>
      <c r="K1158" s="13" t="s">
        <v>3348</v>
      </c>
      <c r="L1158" s="15">
        <v>206.73795238095235</v>
      </c>
      <c r="M1158" s="16">
        <v>206.73795238095235</v>
      </c>
    </row>
    <row r="1159" spans="1:13" s="5" customFormat="1" x14ac:dyDescent="0.25">
      <c r="A1159" s="12" t="s">
        <v>2263</v>
      </c>
      <c r="B1159" s="13" t="s">
        <v>2264</v>
      </c>
      <c r="C1159" s="14">
        <v>44860</v>
      </c>
      <c r="D1159" s="13">
        <v>2022</v>
      </c>
      <c r="E1159" s="13" t="s">
        <v>3347</v>
      </c>
      <c r="F1159" s="13" t="s">
        <v>22</v>
      </c>
      <c r="G1159" s="15">
        <v>1209.26</v>
      </c>
      <c r="H1159" s="15">
        <v>1209.26</v>
      </c>
      <c r="I1159" s="13">
        <v>4</v>
      </c>
      <c r="J1159" s="13">
        <v>4</v>
      </c>
      <c r="K1159" s="13" t="s">
        <v>15</v>
      </c>
      <c r="L1159" s="15">
        <v>302.315</v>
      </c>
      <c r="M1159" s="16">
        <v>302.315</v>
      </c>
    </row>
    <row r="1160" spans="1:13" s="5" customFormat="1" x14ac:dyDescent="0.25">
      <c r="A1160" s="12" t="s">
        <v>2265</v>
      </c>
      <c r="B1160" s="13" t="s">
        <v>2266</v>
      </c>
      <c r="C1160" s="14">
        <v>44897</v>
      </c>
      <c r="D1160" s="13">
        <v>2022</v>
      </c>
      <c r="E1160" s="13" t="s">
        <v>3347</v>
      </c>
      <c r="F1160" s="13" t="s">
        <v>25</v>
      </c>
      <c r="G1160" s="15">
        <v>1979.08</v>
      </c>
      <c r="H1160" s="15">
        <v>1979.08</v>
      </c>
      <c r="I1160" s="13">
        <v>10</v>
      </c>
      <c r="J1160" s="13">
        <v>10</v>
      </c>
      <c r="K1160" s="13" t="s">
        <v>3346</v>
      </c>
      <c r="L1160" s="15">
        <v>197.90799999999999</v>
      </c>
      <c r="M1160" s="16">
        <v>197.90799999999999</v>
      </c>
    </row>
    <row r="1161" spans="1:13" s="5" customFormat="1" x14ac:dyDescent="0.25">
      <c r="A1161" s="12" t="s">
        <v>2267</v>
      </c>
      <c r="B1161" s="13" t="s">
        <v>2268</v>
      </c>
      <c r="C1161" s="14">
        <v>45605</v>
      </c>
      <c r="D1161" s="13">
        <v>2024</v>
      </c>
      <c r="E1161" s="13" t="s">
        <v>3347</v>
      </c>
      <c r="F1161" s="13" t="s">
        <v>25</v>
      </c>
      <c r="G1161" s="15">
        <v>1643.12</v>
      </c>
      <c r="H1161" s="15">
        <v>1643.12</v>
      </c>
      <c r="I1161" s="13">
        <v>2</v>
      </c>
      <c r="J1161" s="13">
        <v>2</v>
      </c>
      <c r="K1161" s="13" t="s">
        <v>15</v>
      </c>
      <c r="L1161" s="15">
        <v>821.56</v>
      </c>
      <c r="M1161" s="16">
        <v>821.56</v>
      </c>
    </row>
    <row r="1162" spans="1:13" s="5" customFormat="1" x14ac:dyDescent="0.25">
      <c r="A1162" s="12" t="s">
        <v>2269</v>
      </c>
      <c r="B1162" s="13" t="s">
        <v>2270</v>
      </c>
      <c r="C1162" s="14">
        <v>45290</v>
      </c>
      <c r="D1162" s="13">
        <v>2023</v>
      </c>
      <c r="E1162" s="13" t="s">
        <v>10</v>
      </c>
      <c r="F1162" s="13" t="s">
        <v>11</v>
      </c>
      <c r="G1162" s="15">
        <v>532.66</v>
      </c>
      <c r="H1162" s="15">
        <v>532.66</v>
      </c>
      <c r="I1162" s="13">
        <v>1</v>
      </c>
      <c r="J1162" s="13">
        <v>1</v>
      </c>
      <c r="K1162" s="13" t="s">
        <v>18</v>
      </c>
      <c r="L1162" s="15">
        <v>532.66</v>
      </c>
      <c r="M1162" s="16">
        <v>532.66</v>
      </c>
    </row>
    <row r="1163" spans="1:13" s="5" customFormat="1" x14ac:dyDescent="0.25">
      <c r="A1163" s="12" t="s">
        <v>2271</v>
      </c>
      <c r="B1163" s="13" t="s">
        <v>2272</v>
      </c>
      <c r="C1163" s="14">
        <v>44883</v>
      </c>
      <c r="D1163" s="13">
        <v>2022</v>
      </c>
      <c r="E1163" s="13" t="s">
        <v>14</v>
      </c>
      <c r="F1163" s="13" t="s">
        <v>34</v>
      </c>
      <c r="G1163" s="15"/>
      <c r="H1163" s="15">
        <v>1200.56</v>
      </c>
      <c r="I1163" s="13">
        <v>8</v>
      </c>
      <c r="J1163" s="13">
        <v>8</v>
      </c>
      <c r="K1163" s="13" t="s">
        <v>15</v>
      </c>
      <c r="L1163" s="15">
        <v>150.07</v>
      </c>
      <c r="M1163" s="16">
        <v>150.07</v>
      </c>
    </row>
    <row r="1164" spans="1:13" s="5" customFormat="1" x14ac:dyDescent="0.25">
      <c r="A1164" s="12" t="s">
        <v>2273</v>
      </c>
      <c r="B1164" s="13" t="s">
        <v>2274</v>
      </c>
      <c r="C1164" s="14">
        <v>45455</v>
      </c>
      <c r="D1164" s="13">
        <v>2024</v>
      </c>
      <c r="E1164" s="13" t="s">
        <v>3347</v>
      </c>
      <c r="F1164" s="13" t="s">
        <v>11</v>
      </c>
      <c r="G1164" s="15"/>
      <c r="H1164" s="15">
        <v>917.6814920634921</v>
      </c>
      <c r="I1164" s="13">
        <v>6</v>
      </c>
      <c r="J1164" s="13">
        <v>6</v>
      </c>
      <c r="K1164" s="13" t="s">
        <v>15</v>
      </c>
      <c r="L1164" s="15">
        <v>152.94691534391535</v>
      </c>
      <c r="M1164" s="16">
        <v>152.94691534391535</v>
      </c>
    </row>
    <row r="1165" spans="1:13" s="5" customFormat="1" x14ac:dyDescent="0.25">
      <c r="A1165" s="12" t="s">
        <v>2275</v>
      </c>
      <c r="B1165" s="13" t="s">
        <v>2276</v>
      </c>
      <c r="C1165" s="14">
        <v>45273</v>
      </c>
      <c r="D1165" s="13">
        <v>2023</v>
      </c>
      <c r="E1165" s="13" t="s">
        <v>10</v>
      </c>
      <c r="F1165" s="13" t="s">
        <v>34</v>
      </c>
      <c r="G1165" s="15">
        <v>1598.77</v>
      </c>
      <c r="H1165" s="15">
        <v>1598.77</v>
      </c>
      <c r="I1165" s="13">
        <v>1</v>
      </c>
      <c r="J1165" s="13">
        <v>1</v>
      </c>
      <c r="K1165" s="13" t="s">
        <v>3348</v>
      </c>
      <c r="L1165" s="15">
        <v>1598.77</v>
      </c>
      <c r="M1165" s="16">
        <v>1598.77</v>
      </c>
    </row>
    <row r="1166" spans="1:13" s="5" customFormat="1" x14ac:dyDescent="0.25">
      <c r="A1166" s="12" t="s">
        <v>2277</v>
      </c>
      <c r="B1166" s="13" t="s">
        <v>2278</v>
      </c>
      <c r="C1166" s="14">
        <v>44932</v>
      </c>
      <c r="D1166" s="13">
        <v>2023</v>
      </c>
      <c r="E1166" s="13" t="s">
        <v>21</v>
      </c>
      <c r="F1166" s="13" t="s">
        <v>22</v>
      </c>
      <c r="G1166" s="15">
        <v>714.82</v>
      </c>
      <c r="H1166" s="15">
        <v>714.82</v>
      </c>
      <c r="I1166" s="13">
        <v>1</v>
      </c>
      <c r="J1166" s="13">
        <v>1</v>
      </c>
      <c r="K1166" s="13" t="s">
        <v>3348</v>
      </c>
      <c r="L1166" s="15">
        <v>714.82</v>
      </c>
      <c r="M1166" s="16">
        <v>714.82</v>
      </c>
    </row>
    <row r="1167" spans="1:13" s="5" customFormat="1" x14ac:dyDescent="0.25">
      <c r="A1167" s="12" t="s">
        <v>2279</v>
      </c>
      <c r="B1167" s="13" t="s">
        <v>2280</v>
      </c>
      <c r="C1167" s="14">
        <v>45017</v>
      </c>
      <c r="D1167" s="13">
        <v>2023</v>
      </c>
      <c r="E1167" s="13" t="s">
        <v>21</v>
      </c>
      <c r="F1167" s="13" t="s">
        <v>22</v>
      </c>
      <c r="G1167" s="15">
        <v>1523.23</v>
      </c>
      <c r="H1167" s="15">
        <v>1523.23</v>
      </c>
      <c r="I1167" s="13">
        <v>9</v>
      </c>
      <c r="J1167" s="13">
        <v>9</v>
      </c>
      <c r="K1167" s="13" t="s">
        <v>15</v>
      </c>
      <c r="L1167" s="15">
        <v>169.24777777777777</v>
      </c>
      <c r="M1167" s="16">
        <v>169.24777777777777</v>
      </c>
    </row>
    <row r="1168" spans="1:13" s="5" customFormat="1" x14ac:dyDescent="0.25">
      <c r="A1168" s="12" t="s">
        <v>2281</v>
      </c>
      <c r="B1168" s="13" t="s">
        <v>2282</v>
      </c>
      <c r="C1168" s="14">
        <v>45597</v>
      </c>
      <c r="D1168" s="13">
        <v>2024</v>
      </c>
      <c r="E1168" s="13" t="s">
        <v>3347</v>
      </c>
      <c r="F1168" s="13" t="s">
        <v>25</v>
      </c>
      <c r="G1168" s="15"/>
      <c r="H1168" s="15">
        <v>2385.7613888888891</v>
      </c>
      <c r="I1168" s="13">
        <v>7</v>
      </c>
      <c r="J1168" s="13">
        <v>7</v>
      </c>
      <c r="K1168" s="13" t="s">
        <v>3348</v>
      </c>
      <c r="L1168" s="15">
        <v>340.82305555555558</v>
      </c>
      <c r="M1168" s="16">
        <v>340.82305555555558</v>
      </c>
    </row>
    <row r="1169" spans="1:13" s="5" customFormat="1" x14ac:dyDescent="0.25">
      <c r="A1169" s="12" t="s">
        <v>2283</v>
      </c>
      <c r="B1169" s="13" t="s">
        <v>2284</v>
      </c>
      <c r="C1169" s="14">
        <v>45110</v>
      </c>
      <c r="D1169" s="13">
        <v>2023</v>
      </c>
      <c r="E1169" s="13" t="s">
        <v>14</v>
      </c>
      <c r="F1169" s="13" t="s">
        <v>34</v>
      </c>
      <c r="G1169" s="15">
        <v>1324.84</v>
      </c>
      <c r="H1169" s="15">
        <v>1324.84</v>
      </c>
      <c r="I1169" s="13">
        <v>3</v>
      </c>
      <c r="J1169" s="13">
        <v>3</v>
      </c>
      <c r="K1169" s="13" t="s">
        <v>3348</v>
      </c>
      <c r="L1169" s="15">
        <v>441.61333333333329</v>
      </c>
      <c r="M1169" s="16">
        <v>441.61333333333329</v>
      </c>
    </row>
    <row r="1170" spans="1:13" s="5" customFormat="1" x14ac:dyDescent="0.25">
      <c r="A1170" s="12" t="s">
        <v>2285</v>
      </c>
      <c r="B1170" s="13" t="s">
        <v>2286</v>
      </c>
      <c r="C1170" s="14">
        <v>45327</v>
      </c>
      <c r="D1170" s="13">
        <v>2024</v>
      </c>
      <c r="E1170" s="13" t="s">
        <v>21</v>
      </c>
      <c r="F1170" s="13" t="s">
        <v>22</v>
      </c>
      <c r="G1170" s="15">
        <v>176.83</v>
      </c>
      <c r="H1170" s="15">
        <v>176.83</v>
      </c>
      <c r="I1170" s="13">
        <v>10</v>
      </c>
      <c r="J1170" s="13">
        <v>10</v>
      </c>
      <c r="K1170" s="13" t="s">
        <v>18</v>
      </c>
      <c r="L1170" s="15">
        <v>17.683</v>
      </c>
      <c r="M1170" s="16">
        <v>17.683</v>
      </c>
    </row>
    <row r="1171" spans="1:13" s="5" customFormat="1" x14ac:dyDescent="0.25">
      <c r="A1171" s="12" t="s">
        <v>2287</v>
      </c>
      <c r="B1171" s="13" t="s">
        <v>2288</v>
      </c>
      <c r="C1171" s="14">
        <v>45620</v>
      </c>
      <c r="D1171" s="13">
        <v>2024</v>
      </c>
      <c r="E1171" s="13" t="s">
        <v>3347</v>
      </c>
      <c r="F1171" s="13" t="s">
        <v>22</v>
      </c>
      <c r="G1171" s="15">
        <v>698.5</v>
      </c>
      <c r="H1171" s="15">
        <v>698.5</v>
      </c>
      <c r="I1171" s="13">
        <v>8</v>
      </c>
      <c r="J1171" s="13">
        <v>8</v>
      </c>
      <c r="K1171" s="13" t="s">
        <v>3346</v>
      </c>
      <c r="L1171" s="15">
        <v>87.3125</v>
      </c>
      <c r="M1171" s="16">
        <v>87.3125</v>
      </c>
    </row>
    <row r="1172" spans="1:13" s="5" customFormat="1" x14ac:dyDescent="0.25">
      <c r="A1172" s="12" t="s">
        <v>2289</v>
      </c>
      <c r="B1172" s="13" t="s">
        <v>2290</v>
      </c>
      <c r="C1172" s="14">
        <v>45034</v>
      </c>
      <c r="D1172" s="13">
        <v>2023</v>
      </c>
      <c r="E1172" s="13" t="s">
        <v>3347</v>
      </c>
      <c r="F1172" s="13" t="s">
        <v>11</v>
      </c>
      <c r="G1172" s="15">
        <v>1358.85</v>
      </c>
      <c r="H1172" s="15">
        <v>1358.85</v>
      </c>
      <c r="I1172" s="13">
        <v>1</v>
      </c>
      <c r="J1172" s="13">
        <v>1</v>
      </c>
      <c r="K1172" s="13" t="s">
        <v>18</v>
      </c>
      <c r="L1172" s="15">
        <v>1358.85</v>
      </c>
      <c r="M1172" s="16">
        <v>1358.85</v>
      </c>
    </row>
    <row r="1173" spans="1:13" s="5" customFormat="1" x14ac:dyDescent="0.25">
      <c r="A1173" s="12" t="s">
        <v>2291</v>
      </c>
      <c r="B1173" s="13" t="s">
        <v>2292</v>
      </c>
      <c r="C1173" s="14">
        <v>45491</v>
      </c>
      <c r="D1173" s="13">
        <v>2024</v>
      </c>
      <c r="E1173" s="13" t="s">
        <v>21</v>
      </c>
      <c r="F1173" s="13" t="s">
        <v>11</v>
      </c>
      <c r="G1173" s="15">
        <v>1011.35</v>
      </c>
      <c r="H1173" s="15">
        <v>1011.35</v>
      </c>
      <c r="I1173" s="13">
        <v>3</v>
      </c>
      <c r="J1173" s="13">
        <v>3</v>
      </c>
      <c r="K1173" s="13" t="s">
        <v>35</v>
      </c>
      <c r="L1173" s="15">
        <v>337.11666666666667</v>
      </c>
      <c r="M1173" s="16">
        <v>337.11666666666667</v>
      </c>
    </row>
    <row r="1174" spans="1:13" s="5" customFormat="1" x14ac:dyDescent="0.25">
      <c r="A1174" s="12" t="s">
        <v>2293</v>
      </c>
      <c r="B1174" s="13" t="s">
        <v>2294</v>
      </c>
      <c r="C1174" s="14">
        <v>45093</v>
      </c>
      <c r="D1174" s="13">
        <v>2023</v>
      </c>
      <c r="E1174" s="13" t="s">
        <v>21</v>
      </c>
      <c r="F1174" s="13" t="s">
        <v>34</v>
      </c>
      <c r="G1174" s="15">
        <v>1329.38</v>
      </c>
      <c r="H1174" s="15">
        <v>1329.38</v>
      </c>
      <c r="I1174" s="13">
        <v>7</v>
      </c>
      <c r="J1174" s="13">
        <v>7</v>
      </c>
      <c r="K1174" s="13" t="s">
        <v>3348</v>
      </c>
      <c r="L1174" s="15">
        <v>189.91142857142859</v>
      </c>
      <c r="M1174" s="16">
        <v>189.91142857142859</v>
      </c>
    </row>
    <row r="1175" spans="1:13" s="5" customFormat="1" x14ac:dyDescent="0.25">
      <c r="A1175" s="12" t="s">
        <v>2295</v>
      </c>
      <c r="B1175" s="13" t="s">
        <v>2296</v>
      </c>
      <c r="C1175" s="14">
        <v>45280</v>
      </c>
      <c r="D1175" s="13">
        <v>2023</v>
      </c>
      <c r="E1175" s="13" t="s">
        <v>10</v>
      </c>
      <c r="F1175" s="13" t="s">
        <v>34</v>
      </c>
      <c r="G1175" s="15"/>
      <c r="H1175" s="15">
        <v>371.47104166666668</v>
      </c>
      <c r="I1175" s="13">
        <v>1</v>
      </c>
      <c r="J1175" s="13">
        <v>1</v>
      </c>
      <c r="K1175" s="13" t="s">
        <v>3348</v>
      </c>
      <c r="L1175" s="15">
        <v>371.47104166666668</v>
      </c>
      <c r="M1175" s="16">
        <v>371.47104166666668</v>
      </c>
    </row>
    <row r="1176" spans="1:13" s="5" customFormat="1" x14ac:dyDescent="0.25">
      <c r="A1176" s="12" t="s">
        <v>2297</v>
      </c>
      <c r="B1176" s="13" t="s">
        <v>2298</v>
      </c>
      <c r="C1176" s="14">
        <v>45116</v>
      </c>
      <c r="D1176" s="13">
        <v>2023</v>
      </c>
      <c r="E1176" s="13" t="s">
        <v>10</v>
      </c>
      <c r="F1176" s="13" t="s">
        <v>22</v>
      </c>
      <c r="G1176" s="15">
        <v>1396.82</v>
      </c>
      <c r="H1176" s="15">
        <v>1396.82</v>
      </c>
      <c r="I1176" s="13">
        <v>6</v>
      </c>
      <c r="J1176" s="13">
        <v>6</v>
      </c>
      <c r="K1176" s="13" t="s">
        <v>3348</v>
      </c>
      <c r="L1176" s="15">
        <v>232.80333333333331</v>
      </c>
      <c r="M1176" s="16">
        <v>232.80333333333331</v>
      </c>
    </row>
    <row r="1177" spans="1:13" s="5" customFormat="1" x14ac:dyDescent="0.25">
      <c r="A1177" s="12" t="s">
        <v>2299</v>
      </c>
      <c r="B1177" s="13" t="s">
        <v>2300</v>
      </c>
      <c r="C1177" s="14">
        <v>45161</v>
      </c>
      <c r="D1177" s="13">
        <v>2023</v>
      </c>
      <c r="E1177" s="13" t="s">
        <v>14</v>
      </c>
      <c r="F1177" s="13" t="s">
        <v>34</v>
      </c>
      <c r="G1177" s="15">
        <v>921.75</v>
      </c>
      <c r="H1177" s="15">
        <v>921.75</v>
      </c>
      <c r="I1177" s="13">
        <v>9</v>
      </c>
      <c r="J1177" s="13">
        <v>9</v>
      </c>
      <c r="K1177" s="13" t="s">
        <v>3348</v>
      </c>
      <c r="L1177" s="15">
        <v>102.41666666666667</v>
      </c>
      <c r="M1177" s="16">
        <v>102.41666666666667</v>
      </c>
    </row>
    <row r="1178" spans="1:13" s="5" customFormat="1" x14ac:dyDescent="0.25">
      <c r="A1178" s="12" t="s">
        <v>2301</v>
      </c>
      <c r="B1178" s="13" t="s">
        <v>2302</v>
      </c>
      <c r="C1178" s="14">
        <v>45041</v>
      </c>
      <c r="D1178" s="13">
        <v>2023</v>
      </c>
      <c r="E1178" s="13" t="s">
        <v>3347</v>
      </c>
      <c r="F1178" s="13" t="s">
        <v>34</v>
      </c>
      <c r="G1178" s="15">
        <v>1352.05</v>
      </c>
      <c r="H1178" s="15">
        <v>1352.05</v>
      </c>
      <c r="I1178" s="13">
        <v>7</v>
      </c>
      <c r="J1178" s="13">
        <v>7</v>
      </c>
      <c r="K1178" s="13" t="s">
        <v>18</v>
      </c>
      <c r="L1178" s="15">
        <v>193.15</v>
      </c>
      <c r="M1178" s="16">
        <v>193.15</v>
      </c>
    </row>
    <row r="1179" spans="1:13" s="5" customFormat="1" x14ac:dyDescent="0.25">
      <c r="A1179" s="12" t="s">
        <v>2303</v>
      </c>
      <c r="B1179" s="13" t="s">
        <v>2304</v>
      </c>
      <c r="C1179" s="14">
        <v>45575</v>
      </c>
      <c r="D1179" s="13">
        <v>2024</v>
      </c>
      <c r="E1179" s="13" t="s">
        <v>10</v>
      </c>
      <c r="F1179" s="13" t="s">
        <v>34</v>
      </c>
      <c r="G1179" s="15">
        <v>1158.21</v>
      </c>
      <c r="H1179" s="15">
        <v>1158.21</v>
      </c>
      <c r="I1179" s="13">
        <v>9</v>
      </c>
      <c r="J1179" s="13">
        <v>9</v>
      </c>
      <c r="K1179" s="13" t="s">
        <v>3348</v>
      </c>
      <c r="L1179" s="15">
        <v>128.69</v>
      </c>
      <c r="M1179" s="16">
        <v>128.69</v>
      </c>
    </row>
    <row r="1180" spans="1:13" s="5" customFormat="1" x14ac:dyDescent="0.25">
      <c r="A1180" s="12" t="s">
        <v>2305</v>
      </c>
      <c r="B1180" s="13" t="s">
        <v>2306</v>
      </c>
      <c r="C1180" s="14">
        <v>45648</v>
      </c>
      <c r="D1180" s="13">
        <v>2024</v>
      </c>
      <c r="E1180" s="13" t="s">
        <v>3347</v>
      </c>
      <c r="F1180" s="13" t="s">
        <v>11</v>
      </c>
      <c r="G1180" s="15"/>
      <c r="H1180" s="15">
        <v>3548.2821388888883</v>
      </c>
      <c r="I1180" s="13">
        <v>9</v>
      </c>
      <c r="J1180" s="13">
        <v>9</v>
      </c>
      <c r="K1180" s="13" t="s">
        <v>3348</v>
      </c>
      <c r="L1180" s="15">
        <v>661.73085317460323</v>
      </c>
      <c r="M1180" s="16">
        <v>661.73085317460323</v>
      </c>
    </row>
    <row r="1181" spans="1:13" s="5" customFormat="1" x14ac:dyDescent="0.25">
      <c r="A1181" s="12" t="s">
        <v>2307</v>
      </c>
      <c r="B1181" s="13" t="s">
        <v>2308</v>
      </c>
      <c r="C1181" s="14">
        <v>45394</v>
      </c>
      <c r="D1181" s="13">
        <v>2024</v>
      </c>
      <c r="E1181" s="13" t="s">
        <v>21</v>
      </c>
      <c r="F1181" s="13" t="s">
        <v>22</v>
      </c>
      <c r="G1181" s="15">
        <v>166.45</v>
      </c>
      <c r="H1181" s="15">
        <v>166.45</v>
      </c>
      <c r="I1181" s="13">
        <v>2</v>
      </c>
      <c r="J1181" s="13">
        <v>2</v>
      </c>
      <c r="K1181" s="13" t="s">
        <v>3348</v>
      </c>
      <c r="L1181" s="15">
        <v>83.224999999999994</v>
      </c>
      <c r="M1181" s="16">
        <v>83.224999999999994</v>
      </c>
    </row>
    <row r="1182" spans="1:13" s="5" customFormat="1" x14ac:dyDescent="0.25">
      <c r="A1182" s="12" t="s">
        <v>2309</v>
      </c>
      <c r="B1182" s="13" t="s">
        <v>2310</v>
      </c>
      <c r="C1182" s="14">
        <v>45656</v>
      </c>
      <c r="D1182" s="13">
        <v>2024</v>
      </c>
      <c r="E1182" s="13" t="s">
        <v>21</v>
      </c>
      <c r="F1182" s="13" t="s">
        <v>11</v>
      </c>
      <c r="G1182" s="15">
        <v>426.96</v>
      </c>
      <c r="H1182" s="15">
        <v>426.96</v>
      </c>
      <c r="I1182" s="13">
        <v>4</v>
      </c>
      <c r="J1182" s="13">
        <v>4</v>
      </c>
      <c r="K1182" s="13" t="s">
        <v>35</v>
      </c>
      <c r="L1182" s="15">
        <v>106.74</v>
      </c>
      <c r="M1182" s="16">
        <v>106.74</v>
      </c>
    </row>
    <row r="1183" spans="1:13" s="5" customFormat="1" x14ac:dyDescent="0.25">
      <c r="A1183" s="12" t="s">
        <v>2311</v>
      </c>
      <c r="B1183" s="13" t="s">
        <v>2312</v>
      </c>
      <c r="C1183" s="14">
        <v>45240</v>
      </c>
      <c r="D1183" s="13">
        <v>2023</v>
      </c>
      <c r="E1183" s="13" t="s">
        <v>3347</v>
      </c>
      <c r="F1183" s="13" t="s">
        <v>34</v>
      </c>
      <c r="G1183" s="15">
        <v>202.53</v>
      </c>
      <c r="H1183" s="15">
        <v>202.53</v>
      </c>
      <c r="I1183" s="13">
        <v>2</v>
      </c>
      <c r="J1183" s="13">
        <v>2</v>
      </c>
      <c r="K1183" s="13" t="s">
        <v>35</v>
      </c>
      <c r="L1183" s="15">
        <v>101.265</v>
      </c>
      <c r="M1183" s="16">
        <v>101.265</v>
      </c>
    </row>
    <row r="1184" spans="1:13" s="5" customFormat="1" x14ac:dyDescent="0.25">
      <c r="A1184" s="12" t="s">
        <v>2313</v>
      </c>
      <c r="B1184" s="13" t="s">
        <v>2314</v>
      </c>
      <c r="C1184" s="14">
        <v>45536</v>
      </c>
      <c r="D1184" s="13">
        <v>2024</v>
      </c>
      <c r="E1184" s="13" t="s">
        <v>14</v>
      </c>
      <c r="F1184" s="13" t="s">
        <v>22</v>
      </c>
      <c r="G1184" s="15"/>
      <c r="H1184" s="15">
        <v>3292.3352</v>
      </c>
      <c r="I1184" s="13">
        <v>8</v>
      </c>
      <c r="J1184" s="13">
        <v>8</v>
      </c>
      <c r="K1184" s="13" t="s">
        <v>35</v>
      </c>
      <c r="L1184" s="15">
        <v>411.5419</v>
      </c>
      <c r="M1184" s="16">
        <v>411.5419</v>
      </c>
    </row>
    <row r="1185" spans="1:13" s="5" customFormat="1" x14ac:dyDescent="0.25">
      <c r="A1185" s="12" t="s">
        <v>2315</v>
      </c>
      <c r="B1185" s="13" t="s">
        <v>2316</v>
      </c>
      <c r="C1185" s="14">
        <v>44922</v>
      </c>
      <c r="D1185" s="13">
        <v>2022</v>
      </c>
      <c r="E1185" s="13" t="s">
        <v>14</v>
      </c>
      <c r="F1185" s="13" t="s">
        <v>34</v>
      </c>
      <c r="G1185" s="15">
        <v>513.79999999999995</v>
      </c>
      <c r="H1185" s="15">
        <v>513.79999999999995</v>
      </c>
      <c r="I1185" s="13">
        <v>2</v>
      </c>
      <c r="J1185" s="13">
        <v>2</v>
      </c>
      <c r="K1185" s="13" t="s">
        <v>15</v>
      </c>
      <c r="L1185" s="15">
        <v>256.89999999999998</v>
      </c>
      <c r="M1185" s="16">
        <v>256.89999999999998</v>
      </c>
    </row>
    <row r="1186" spans="1:13" s="5" customFormat="1" x14ac:dyDescent="0.25">
      <c r="A1186" s="12" t="s">
        <v>2317</v>
      </c>
      <c r="B1186" s="13" t="s">
        <v>2318</v>
      </c>
      <c r="C1186" s="14">
        <v>45488</v>
      </c>
      <c r="D1186" s="13">
        <v>2024</v>
      </c>
      <c r="E1186" s="13" t="s">
        <v>14</v>
      </c>
      <c r="F1186" s="13" t="s">
        <v>25</v>
      </c>
      <c r="G1186" s="15">
        <v>626.21</v>
      </c>
      <c r="H1186" s="15">
        <v>626.21</v>
      </c>
      <c r="I1186" s="13">
        <v>8</v>
      </c>
      <c r="J1186" s="13">
        <v>8</v>
      </c>
      <c r="K1186" s="13" t="s">
        <v>3348</v>
      </c>
      <c r="L1186" s="15">
        <v>78.276250000000005</v>
      </c>
      <c r="M1186" s="16">
        <v>78.276250000000005</v>
      </c>
    </row>
    <row r="1187" spans="1:13" s="5" customFormat="1" x14ac:dyDescent="0.25">
      <c r="A1187" s="12" t="s">
        <v>2319</v>
      </c>
      <c r="B1187" s="13" t="s">
        <v>2320</v>
      </c>
      <c r="C1187" s="14">
        <v>45221</v>
      </c>
      <c r="D1187" s="13">
        <v>2023</v>
      </c>
      <c r="E1187" s="13" t="s">
        <v>10</v>
      </c>
      <c r="F1187" s="13" t="s">
        <v>34</v>
      </c>
      <c r="G1187" s="15">
        <v>680.1</v>
      </c>
      <c r="H1187" s="15">
        <v>680.1</v>
      </c>
      <c r="I1187" s="13">
        <v>9</v>
      </c>
      <c r="J1187" s="13">
        <v>9</v>
      </c>
      <c r="K1187" s="13" t="s">
        <v>35</v>
      </c>
      <c r="L1187" s="15">
        <v>75.566666666666663</v>
      </c>
      <c r="M1187" s="16">
        <v>75.566666666666663</v>
      </c>
    </row>
    <row r="1188" spans="1:13" s="5" customFormat="1" x14ac:dyDescent="0.25">
      <c r="A1188" s="12" t="s">
        <v>2321</v>
      </c>
      <c r="B1188" s="13" t="s">
        <v>2322</v>
      </c>
      <c r="C1188" s="14">
        <v>45233</v>
      </c>
      <c r="D1188" s="13">
        <v>2023</v>
      </c>
      <c r="E1188" s="13" t="s">
        <v>21</v>
      </c>
      <c r="F1188" s="13" t="s">
        <v>11</v>
      </c>
      <c r="G1188" s="15">
        <v>1567.41</v>
      </c>
      <c r="H1188" s="15">
        <v>1567.41</v>
      </c>
      <c r="I1188" s="13">
        <v>1</v>
      </c>
      <c r="J1188" s="13">
        <v>1</v>
      </c>
      <c r="K1188" s="13" t="s">
        <v>18</v>
      </c>
      <c r="L1188" s="15">
        <v>1567.41</v>
      </c>
      <c r="M1188" s="16">
        <v>1567.41</v>
      </c>
    </row>
    <row r="1189" spans="1:13" s="5" customFormat="1" x14ac:dyDescent="0.25">
      <c r="A1189" s="12" t="s">
        <v>2323</v>
      </c>
      <c r="B1189" s="13" t="s">
        <v>2324</v>
      </c>
      <c r="C1189" s="14">
        <v>44974</v>
      </c>
      <c r="D1189" s="13">
        <v>2023</v>
      </c>
      <c r="E1189" s="13" t="s">
        <v>10</v>
      </c>
      <c r="F1189" s="13" t="s">
        <v>11</v>
      </c>
      <c r="G1189" s="15">
        <v>549.19000000000005</v>
      </c>
      <c r="H1189" s="15">
        <v>549.19000000000005</v>
      </c>
      <c r="I1189" s="13">
        <v>4</v>
      </c>
      <c r="J1189" s="13">
        <v>4</v>
      </c>
      <c r="K1189" s="13" t="s">
        <v>15</v>
      </c>
      <c r="L1189" s="15">
        <v>137.29750000000001</v>
      </c>
      <c r="M1189" s="16">
        <v>137.29750000000001</v>
      </c>
    </row>
    <row r="1190" spans="1:13" s="5" customFormat="1" x14ac:dyDescent="0.25">
      <c r="A1190" s="12" t="s">
        <v>2325</v>
      </c>
      <c r="B1190" s="13" t="s">
        <v>2326</v>
      </c>
      <c r="C1190" s="14">
        <v>44866</v>
      </c>
      <c r="D1190" s="13">
        <v>2022</v>
      </c>
      <c r="E1190" s="13" t="s">
        <v>10</v>
      </c>
      <c r="F1190" s="13" t="s">
        <v>34</v>
      </c>
      <c r="G1190" s="15">
        <v>178.92</v>
      </c>
      <c r="H1190" s="15">
        <v>178.92</v>
      </c>
      <c r="I1190" s="13">
        <v>5</v>
      </c>
      <c r="J1190" s="13">
        <v>5</v>
      </c>
      <c r="K1190" s="13" t="s">
        <v>3348</v>
      </c>
      <c r="L1190" s="15">
        <v>35.783999999999999</v>
      </c>
      <c r="M1190" s="16">
        <v>35.783999999999999</v>
      </c>
    </row>
    <row r="1191" spans="1:13" s="5" customFormat="1" x14ac:dyDescent="0.25">
      <c r="A1191" s="12" t="s">
        <v>2327</v>
      </c>
      <c r="B1191" s="13" t="s">
        <v>2328</v>
      </c>
      <c r="C1191" s="14">
        <v>45892</v>
      </c>
      <c r="D1191" s="13">
        <v>2025</v>
      </c>
      <c r="E1191" s="13" t="s">
        <v>3347</v>
      </c>
      <c r="F1191" s="13" t="s">
        <v>34</v>
      </c>
      <c r="G1191" s="15"/>
      <c r="H1191" s="15">
        <v>3548.2821388888883</v>
      </c>
      <c r="I1191" s="13">
        <v>6</v>
      </c>
      <c r="J1191" s="13">
        <v>6</v>
      </c>
      <c r="K1191" s="13" t="s">
        <v>18</v>
      </c>
      <c r="L1191" s="15">
        <v>609.77208333333328</v>
      </c>
      <c r="M1191" s="16">
        <v>609.77208333333328</v>
      </c>
    </row>
    <row r="1192" spans="1:13" s="5" customFormat="1" x14ac:dyDescent="0.25">
      <c r="A1192" s="12" t="s">
        <v>2329</v>
      </c>
      <c r="B1192" s="13" t="s">
        <v>2330</v>
      </c>
      <c r="C1192" s="14">
        <v>45483</v>
      </c>
      <c r="D1192" s="13">
        <v>2024</v>
      </c>
      <c r="E1192" s="13" t="s">
        <v>14</v>
      </c>
      <c r="F1192" s="13" t="s">
        <v>34</v>
      </c>
      <c r="G1192" s="15">
        <v>1493.68</v>
      </c>
      <c r="H1192" s="15">
        <v>1493.68</v>
      </c>
      <c r="I1192" s="13">
        <v>7</v>
      </c>
      <c r="J1192" s="13">
        <v>7</v>
      </c>
      <c r="K1192" s="13" t="s">
        <v>18</v>
      </c>
      <c r="L1192" s="15">
        <v>213.38285714285715</v>
      </c>
      <c r="M1192" s="16">
        <v>213.38285714285715</v>
      </c>
    </row>
    <row r="1193" spans="1:13" s="5" customFormat="1" x14ac:dyDescent="0.25">
      <c r="A1193" s="12" t="s">
        <v>2331</v>
      </c>
      <c r="B1193" s="13" t="s">
        <v>2332</v>
      </c>
      <c r="C1193" s="14">
        <v>45075</v>
      </c>
      <c r="D1193" s="13">
        <v>2023</v>
      </c>
      <c r="E1193" s="13" t="s">
        <v>21</v>
      </c>
      <c r="F1193" s="13" t="s">
        <v>22</v>
      </c>
      <c r="G1193" s="15">
        <v>470.86</v>
      </c>
      <c r="H1193" s="15">
        <v>470.86</v>
      </c>
      <c r="I1193" s="13">
        <v>6</v>
      </c>
      <c r="J1193" s="13">
        <v>6</v>
      </c>
      <c r="K1193" s="13" t="s">
        <v>3346</v>
      </c>
      <c r="L1193" s="15">
        <v>78.476666666666674</v>
      </c>
      <c r="M1193" s="16">
        <v>78.476666666666674</v>
      </c>
    </row>
    <row r="1194" spans="1:13" s="5" customFormat="1" x14ac:dyDescent="0.25">
      <c r="A1194" s="12" t="s">
        <v>2333</v>
      </c>
      <c r="B1194" s="13" t="s">
        <v>2334</v>
      </c>
      <c r="C1194" s="14">
        <v>45220</v>
      </c>
      <c r="D1194" s="13">
        <v>2023</v>
      </c>
      <c r="E1194" s="13" t="s">
        <v>14</v>
      </c>
      <c r="F1194" s="13" t="s">
        <v>34</v>
      </c>
      <c r="G1194" s="15">
        <v>654.89</v>
      </c>
      <c r="H1194" s="15">
        <v>654.89</v>
      </c>
      <c r="I1194" s="13">
        <v>3</v>
      </c>
      <c r="J1194" s="13">
        <v>3</v>
      </c>
      <c r="K1194" s="13" t="s">
        <v>18</v>
      </c>
      <c r="L1194" s="15">
        <v>218.29666666666665</v>
      </c>
      <c r="M1194" s="16">
        <v>218.29666666666665</v>
      </c>
    </row>
    <row r="1195" spans="1:13" s="5" customFormat="1" x14ac:dyDescent="0.25">
      <c r="A1195" s="12" t="s">
        <v>2335</v>
      </c>
      <c r="B1195" s="13" t="s">
        <v>2336</v>
      </c>
      <c r="C1195" s="14">
        <v>45562</v>
      </c>
      <c r="D1195" s="13">
        <v>2024</v>
      </c>
      <c r="E1195" s="13" t="s">
        <v>3347</v>
      </c>
      <c r="F1195" s="13" t="s">
        <v>25</v>
      </c>
      <c r="G1195" s="15"/>
      <c r="H1195" s="15">
        <v>2519.8363333333332</v>
      </c>
      <c r="I1195" s="13">
        <v>7</v>
      </c>
      <c r="J1195" s="13">
        <v>7</v>
      </c>
      <c r="K1195" s="13" t="s">
        <v>35</v>
      </c>
      <c r="L1195" s="15">
        <v>359.97661904761901</v>
      </c>
      <c r="M1195" s="16">
        <v>359.97661904761901</v>
      </c>
    </row>
    <row r="1196" spans="1:13" s="5" customFormat="1" x14ac:dyDescent="0.25">
      <c r="A1196" s="12" t="s">
        <v>2337</v>
      </c>
      <c r="B1196" s="13" t="s">
        <v>2338</v>
      </c>
      <c r="C1196" s="14">
        <v>44878</v>
      </c>
      <c r="D1196" s="13">
        <v>2022</v>
      </c>
      <c r="E1196" s="13" t="s">
        <v>21</v>
      </c>
      <c r="F1196" s="13" t="s">
        <v>25</v>
      </c>
      <c r="G1196" s="15"/>
      <c r="H1196" s="15">
        <v>2011.9129738095241</v>
      </c>
      <c r="I1196" s="13">
        <v>6</v>
      </c>
      <c r="J1196" s="13">
        <v>6</v>
      </c>
      <c r="K1196" s="13" t="s">
        <v>18</v>
      </c>
      <c r="L1196" s="15">
        <v>335.31882896825402</v>
      </c>
      <c r="M1196" s="16">
        <v>335.31882896825402</v>
      </c>
    </row>
    <row r="1197" spans="1:13" s="5" customFormat="1" x14ac:dyDescent="0.25">
      <c r="A1197" s="12" t="s">
        <v>2339</v>
      </c>
      <c r="B1197" s="13" t="s">
        <v>2340</v>
      </c>
      <c r="C1197" s="14">
        <v>44921</v>
      </c>
      <c r="D1197" s="13">
        <v>2022</v>
      </c>
      <c r="E1197" s="13" t="s">
        <v>3347</v>
      </c>
      <c r="F1197" s="13" t="s">
        <v>22</v>
      </c>
      <c r="G1197" s="15"/>
      <c r="H1197" s="15">
        <v>812.91499999999996</v>
      </c>
      <c r="I1197" s="13">
        <v>1</v>
      </c>
      <c r="J1197" s="13">
        <v>1</v>
      </c>
      <c r="K1197" s="13" t="s">
        <v>3348</v>
      </c>
      <c r="L1197" s="15">
        <v>812.91499999999996</v>
      </c>
      <c r="M1197" s="16">
        <v>812.91499999999996</v>
      </c>
    </row>
    <row r="1198" spans="1:13" s="5" customFormat="1" x14ac:dyDescent="0.25">
      <c r="A1198" s="12" t="s">
        <v>2341</v>
      </c>
      <c r="B1198" s="13" t="s">
        <v>2342</v>
      </c>
      <c r="C1198" s="14">
        <v>45929</v>
      </c>
      <c r="D1198" s="13">
        <v>2025</v>
      </c>
      <c r="E1198" s="13" t="s">
        <v>21</v>
      </c>
      <c r="F1198" s="13" t="s">
        <v>22</v>
      </c>
      <c r="G1198" s="15">
        <v>88.29</v>
      </c>
      <c r="H1198" s="15">
        <v>88.29</v>
      </c>
      <c r="I1198" s="13"/>
      <c r="J1198" s="13">
        <v>1</v>
      </c>
      <c r="K1198" s="13" t="s">
        <v>3348</v>
      </c>
      <c r="L1198" s="15">
        <v>88.29</v>
      </c>
      <c r="M1198" s="16">
        <v>125.25285714285714</v>
      </c>
    </row>
    <row r="1199" spans="1:13" s="5" customFormat="1" x14ac:dyDescent="0.25">
      <c r="A1199" s="12" t="s">
        <v>2343</v>
      </c>
      <c r="B1199" s="13" t="s">
        <v>2344</v>
      </c>
      <c r="C1199" s="14">
        <v>45951</v>
      </c>
      <c r="D1199" s="13">
        <v>2025</v>
      </c>
      <c r="E1199" s="13" t="s">
        <v>21</v>
      </c>
      <c r="F1199" s="13" t="s">
        <v>22</v>
      </c>
      <c r="G1199" s="15">
        <v>372.53</v>
      </c>
      <c r="H1199" s="15">
        <v>372.53</v>
      </c>
      <c r="I1199" s="13"/>
      <c r="J1199" s="13">
        <v>1</v>
      </c>
      <c r="K1199" s="13" t="s">
        <v>35</v>
      </c>
      <c r="L1199" s="15">
        <v>372.53</v>
      </c>
      <c r="M1199" s="16">
        <v>298.37445578231291</v>
      </c>
    </row>
    <row r="1200" spans="1:13" s="5" customFormat="1" x14ac:dyDescent="0.25">
      <c r="A1200" s="12" t="s">
        <v>2345</v>
      </c>
      <c r="B1200" s="13" t="s">
        <v>2346</v>
      </c>
      <c r="C1200" s="14">
        <v>45283</v>
      </c>
      <c r="D1200" s="13">
        <v>2023</v>
      </c>
      <c r="E1200" s="13" t="s">
        <v>3347</v>
      </c>
      <c r="F1200" s="13" t="s">
        <v>34</v>
      </c>
      <c r="G1200" s="15">
        <v>716.46</v>
      </c>
      <c r="H1200" s="15">
        <v>716.46</v>
      </c>
      <c r="I1200" s="13">
        <v>5</v>
      </c>
      <c r="J1200" s="13">
        <v>5</v>
      </c>
      <c r="K1200" s="13" t="s">
        <v>18</v>
      </c>
      <c r="L1200" s="15">
        <v>143.292</v>
      </c>
      <c r="M1200" s="16">
        <v>143.292</v>
      </c>
    </row>
    <row r="1201" spans="1:13" s="5" customFormat="1" x14ac:dyDescent="0.25">
      <c r="A1201" s="12" t="s">
        <v>2347</v>
      </c>
      <c r="B1201" s="13" t="s">
        <v>2348</v>
      </c>
      <c r="C1201" s="14">
        <v>45514</v>
      </c>
      <c r="D1201" s="13">
        <v>2024</v>
      </c>
      <c r="E1201" s="13" t="s">
        <v>21</v>
      </c>
      <c r="F1201" s="13" t="s">
        <v>22</v>
      </c>
      <c r="G1201" s="15">
        <v>1142.9000000000001</v>
      </c>
      <c r="H1201" s="15">
        <v>1142.9000000000001</v>
      </c>
      <c r="I1201" s="13">
        <v>9</v>
      </c>
      <c r="J1201" s="13">
        <v>9</v>
      </c>
      <c r="K1201" s="13" t="s">
        <v>15</v>
      </c>
      <c r="L1201" s="15">
        <v>126.98888888888889</v>
      </c>
      <c r="M1201" s="16">
        <v>126.98888888888889</v>
      </c>
    </row>
    <row r="1202" spans="1:13" s="5" customFormat="1" x14ac:dyDescent="0.25">
      <c r="A1202" s="12" t="s">
        <v>2349</v>
      </c>
      <c r="B1202" s="13" t="s">
        <v>2350</v>
      </c>
      <c r="C1202" s="14">
        <v>45365</v>
      </c>
      <c r="D1202" s="13">
        <v>2024</v>
      </c>
      <c r="E1202" s="13" t="s">
        <v>21</v>
      </c>
      <c r="F1202" s="13" t="s">
        <v>34</v>
      </c>
      <c r="G1202" s="15">
        <v>115.25</v>
      </c>
      <c r="H1202" s="15">
        <v>115.25</v>
      </c>
      <c r="I1202" s="13">
        <v>7</v>
      </c>
      <c r="J1202" s="13">
        <v>7</v>
      </c>
      <c r="K1202" s="13" t="s">
        <v>3346</v>
      </c>
      <c r="L1202" s="15">
        <v>16.464285714285715</v>
      </c>
      <c r="M1202" s="16">
        <v>16.464285714285715</v>
      </c>
    </row>
    <row r="1203" spans="1:13" s="5" customFormat="1" x14ac:dyDescent="0.25">
      <c r="A1203" s="12" t="s">
        <v>2351</v>
      </c>
      <c r="B1203" s="13" t="s">
        <v>2352</v>
      </c>
      <c r="C1203" s="14">
        <v>45686</v>
      </c>
      <c r="D1203" s="13">
        <v>2025</v>
      </c>
      <c r="E1203" s="13" t="s">
        <v>3347</v>
      </c>
      <c r="F1203" s="13" t="s">
        <v>22</v>
      </c>
      <c r="G1203" s="15">
        <v>1372.26</v>
      </c>
      <c r="H1203" s="15">
        <v>1372.26</v>
      </c>
      <c r="I1203" s="13">
        <v>10</v>
      </c>
      <c r="J1203" s="13">
        <v>10</v>
      </c>
      <c r="K1203" s="13" t="s">
        <v>3348</v>
      </c>
      <c r="L1203" s="15">
        <v>137.226</v>
      </c>
      <c r="M1203" s="16">
        <v>137.226</v>
      </c>
    </row>
    <row r="1204" spans="1:13" s="5" customFormat="1" x14ac:dyDescent="0.25">
      <c r="A1204" s="12" t="s">
        <v>2353</v>
      </c>
      <c r="B1204" s="13" t="s">
        <v>2354</v>
      </c>
      <c r="C1204" s="14">
        <v>45717</v>
      </c>
      <c r="D1204" s="13">
        <v>2025</v>
      </c>
      <c r="E1204" s="13" t="s">
        <v>3347</v>
      </c>
      <c r="F1204" s="13" t="s">
        <v>25</v>
      </c>
      <c r="G1204" s="15">
        <v>156.05000000000001</v>
      </c>
      <c r="H1204" s="15">
        <v>156.05000000000001</v>
      </c>
      <c r="I1204" s="13">
        <v>1</v>
      </c>
      <c r="J1204" s="13">
        <v>1</v>
      </c>
      <c r="K1204" s="13" t="s">
        <v>18</v>
      </c>
      <c r="L1204" s="15">
        <v>156.05000000000001</v>
      </c>
      <c r="M1204" s="16">
        <v>156.05000000000001</v>
      </c>
    </row>
    <row r="1205" spans="1:13" s="5" customFormat="1" x14ac:dyDescent="0.25">
      <c r="A1205" s="12" t="s">
        <v>2355</v>
      </c>
      <c r="B1205" s="13" t="s">
        <v>2356</v>
      </c>
      <c r="C1205" s="14">
        <v>45020</v>
      </c>
      <c r="D1205" s="13">
        <v>2023</v>
      </c>
      <c r="E1205" s="13" t="s">
        <v>3347</v>
      </c>
      <c r="F1205" s="13" t="s">
        <v>25</v>
      </c>
      <c r="G1205" s="15">
        <v>923.25</v>
      </c>
      <c r="H1205" s="15">
        <v>923.25</v>
      </c>
      <c r="I1205" s="13">
        <v>2</v>
      </c>
      <c r="J1205" s="13">
        <v>2</v>
      </c>
      <c r="K1205" s="13" t="s">
        <v>3348</v>
      </c>
      <c r="L1205" s="15">
        <v>461.625</v>
      </c>
      <c r="M1205" s="16">
        <v>461.625</v>
      </c>
    </row>
    <row r="1206" spans="1:13" s="5" customFormat="1" x14ac:dyDescent="0.25">
      <c r="A1206" s="12" t="s">
        <v>2357</v>
      </c>
      <c r="B1206" s="13" t="s">
        <v>2358</v>
      </c>
      <c r="C1206" s="14">
        <v>45538</v>
      </c>
      <c r="D1206" s="13">
        <v>2024</v>
      </c>
      <c r="E1206" s="13" t="s">
        <v>14</v>
      </c>
      <c r="F1206" s="13" t="s">
        <v>25</v>
      </c>
      <c r="G1206" s="15">
        <v>1895.2</v>
      </c>
      <c r="H1206" s="15">
        <v>1895.2</v>
      </c>
      <c r="I1206" s="13">
        <v>9</v>
      </c>
      <c r="J1206" s="13">
        <v>9</v>
      </c>
      <c r="K1206" s="13" t="s">
        <v>35</v>
      </c>
      <c r="L1206" s="15">
        <v>210.57777777777778</v>
      </c>
      <c r="M1206" s="16">
        <v>210.57777777777778</v>
      </c>
    </row>
    <row r="1207" spans="1:13" s="5" customFormat="1" x14ac:dyDescent="0.25">
      <c r="A1207" s="12" t="s">
        <v>2359</v>
      </c>
      <c r="B1207" s="13" t="s">
        <v>2360</v>
      </c>
      <c r="C1207" s="14">
        <v>45278</v>
      </c>
      <c r="D1207" s="13">
        <v>2023</v>
      </c>
      <c r="E1207" s="13" t="s">
        <v>21</v>
      </c>
      <c r="F1207" s="13" t="s">
        <v>11</v>
      </c>
      <c r="G1207" s="15">
        <v>1387.42</v>
      </c>
      <c r="H1207" s="15">
        <v>1387.42</v>
      </c>
      <c r="I1207" s="13">
        <v>2</v>
      </c>
      <c r="J1207" s="13">
        <v>2</v>
      </c>
      <c r="K1207" s="13" t="s">
        <v>3346</v>
      </c>
      <c r="L1207" s="15">
        <v>693.71</v>
      </c>
      <c r="M1207" s="16">
        <v>693.71</v>
      </c>
    </row>
    <row r="1208" spans="1:13" s="5" customFormat="1" x14ac:dyDescent="0.25">
      <c r="A1208" s="12" t="s">
        <v>2361</v>
      </c>
      <c r="B1208" s="13" t="s">
        <v>2362</v>
      </c>
      <c r="C1208" s="14">
        <v>45410</v>
      </c>
      <c r="D1208" s="13">
        <v>2024</v>
      </c>
      <c r="E1208" s="13" t="s">
        <v>21</v>
      </c>
      <c r="F1208" s="13" t="s">
        <v>34</v>
      </c>
      <c r="G1208" s="15">
        <v>1040.29</v>
      </c>
      <c r="H1208" s="15">
        <v>1040.29</v>
      </c>
      <c r="I1208" s="13">
        <v>5</v>
      </c>
      <c r="J1208" s="13">
        <v>5</v>
      </c>
      <c r="K1208" s="13" t="s">
        <v>15</v>
      </c>
      <c r="L1208" s="15">
        <v>208.05799999999999</v>
      </c>
      <c r="M1208" s="16">
        <v>208.05799999999999</v>
      </c>
    </row>
    <row r="1209" spans="1:13" s="5" customFormat="1" x14ac:dyDescent="0.25">
      <c r="A1209" s="12" t="s">
        <v>2363</v>
      </c>
      <c r="B1209" s="13" t="s">
        <v>2364</v>
      </c>
      <c r="C1209" s="14">
        <v>45485</v>
      </c>
      <c r="D1209" s="13">
        <v>2024</v>
      </c>
      <c r="E1209" s="13" t="s">
        <v>10</v>
      </c>
      <c r="F1209" s="13" t="s">
        <v>34</v>
      </c>
      <c r="G1209" s="15">
        <v>1747.66</v>
      </c>
      <c r="H1209" s="15">
        <v>1747.66</v>
      </c>
      <c r="I1209" s="13">
        <v>3</v>
      </c>
      <c r="J1209" s="13">
        <v>3</v>
      </c>
      <c r="K1209" s="13" t="s">
        <v>35</v>
      </c>
      <c r="L1209" s="15">
        <v>582.5533333333334</v>
      </c>
      <c r="M1209" s="16">
        <v>582.5533333333334</v>
      </c>
    </row>
    <row r="1210" spans="1:13" s="5" customFormat="1" x14ac:dyDescent="0.25">
      <c r="A1210" s="12" t="s">
        <v>2365</v>
      </c>
      <c r="B1210" s="13" t="s">
        <v>2366</v>
      </c>
      <c r="C1210" s="14">
        <v>45700</v>
      </c>
      <c r="D1210" s="13">
        <v>2025</v>
      </c>
      <c r="E1210" s="13" t="s">
        <v>14</v>
      </c>
      <c r="F1210" s="13" t="s">
        <v>34</v>
      </c>
      <c r="G1210" s="15">
        <v>1706.45</v>
      </c>
      <c r="H1210" s="15">
        <v>1706.45</v>
      </c>
      <c r="I1210" s="13">
        <v>6</v>
      </c>
      <c r="J1210" s="13">
        <v>6</v>
      </c>
      <c r="K1210" s="13" t="s">
        <v>15</v>
      </c>
      <c r="L1210" s="15">
        <v>284.40833333333336</v>
      </c>
      <c r="M1210" s="16">
        <v>284.40833333333336</v>
      </c>
    </row>
    <row r="1211" spans="1:13" s="5" customFormat="1" x14ac:dyDescent="0.25">
      <c r="A1211" s="12" t="s">
        <v>2367</v>
      </c>
      <c r="B1211" s="13" t="s">
        <v>2368</v>
      </c>
      <c r="C1211" s="14">
        <v>45432</v>
      </c>
      <c r="D1211" s="13">
        <v>2024</v>
      </c>
      <c r="E1211" s="13" t="s">
        <v>21</v>
      </c>
      <c r="F1211" s="13" t="s">
        <v>34</v>
      </c>
      <c r="G1211" s="15"/>
      <c r="H1211" s="15">
        <v>2050.6052222222224</v>
      </c>
      <c r="I1211" s="13">
        <v>7</v>
      </c>
      <c r="J1211" s="13">
        <v>7</v>
      </c>
      <c r="K1211" s="13" t="s">
        <v>15</v>
      </c>
      <c r="L1211" s="15">
        <v>292.9436031746032</v>
      </c>
      <c r="M1211" s="16">
        <v>292.9436031746032</v>
      </c>
    </row>
    <row r="1212" spans="1:13" s="5" customFormat="1" x14ac:dyDescent="0.25">
      <c r="A1212" s="12" t="s">
        <v>2369</v>
      </c>
      <c r="B1212" s="13" t="s">
        <v>2131</v>
      </c>
      <c r="C1212" s="14">
        <v>45447</v>
      </c>
      <c r="D1212" s="13">
        <v>2024</v>
      </c>
      <c r="E1212" s="13" t="s">
        <v>3347</v>
      </c>
      <c r="F1212" s="13" t="s">
        <v>34</v>
      </c>
      <c r="G1212" s="15">
        <v>411.9</v>
      </c>
      <c r="H1212" s="15">
        <v>411.9</v>
      </c>
      <c r="I1212" s="13">
        <v>1</v>
      </c>
      <c r="J1212" s="13">
        <v>1</v>
      </c>
      <c r="K1212" s="13" t="s">
        <v>3346</v>
      </c>
      <c r="L1212" s="15">
        <v>411.9</v>
      </c>
      <c r="M1212" s="16">
        <v>411.9</v>
      </c>
    </row>
    <row r="1213" spans="1:13" s="5" customFormat="1" x14ac:dyDescent="0.25">
      <c r="A1213" s="12" t="s">
        <v>2370</v>
      </c>
      <c r="B1213" s="13" t="s">
        <v>2371</v>
      </c>
      <c r="C1213" s="14">
        <v>45854</v>
      </c>
      <c r="D1213" s="13">
        <v>2025</v>
      </c>
      <c r="E1213" s="13" t="s">
        <v>3347</v>
      </c>
      <c r="F1213" s="13" t="s">
        <v>34</v>
      </c>
      <c r="G1213" s="15">
        <v>1968.9</v>
      </c>
      <c r="H1213" s="15">
        <v>1968.9</v>
      </c>
      <c r="I1213" s="13"/>
      <c r="J1213" s="13">
        <v>10</v>
      </c>
      <c r="K1213" s="13" t="s">
        <v>3348</v>
      </c>
      <c r="L1213" s="15">
        <v>196.89000000000001</v>
      </c>
      <c r="M1213" s="16">
        <v>194.67406249999996</v>
      </c>
    </row>
    <row r="1214" spans="1:13" s="5" customFormat="1" x14ac:dyDescent="0.25">
      <c r="A1214" s="12" t="s">
        <v>2372</v>
      </c>
      <c r="B1214" s="13" t="s">
        <v>2373</v>
      </c>
      <c r="C1214" s="14">
        <v>45259</v>
      </c>
      <c r="D1214" s="13">
        <v>2023</v>
      </c>
      <c r="E1214" s="13" t="s">
        <v>3347</v>
      </c>
      <c r="F1214" s="13" t="s">
        <v>22</v>
      </c>
      <c r="G1214" s="15">
        <v>1098.71</v>
      </c>
      <c r="H1214" s="15">
        <v>1098.71</v>
      </c>
      <c r="I1214" s="13">
        <v>9</v>
      </c>
      <c r="J1214" s="13">
        <v>9</v>
      </c>
      <c r="K1214" s="13" t="s">
        <v>18</v>
      </c>
      <c r="L1214" s="15">
        <v>122.0788888888889</v>
      </c>
      <c r="M1214" s="16">
        <v>122.0788888888889</v>
      </c>
    </row>
    <row r="1215" spans="1:13" s="5" customFormat="1" x14ac:dyDescent="0.25">
      <c r="A1215" s="12" t="s">
        <v>2374</v>
      </c>
      <c r="B1215" s="13" t="s">
        <v>2375</v>
      </c>
      <c r="C1215" s="14">
        <v>45179</v>
      </c>
      <c r="D1215" s="13">
        <v>2023</v>
      </c>
      <c r="E1215" s="13" t="s">
        <v>21</v>
      </c>
      <c r="F1215" s="13" t="s">
        <v>22</v>
      </c>
      <c r="G1215" s="15">
        <v>461.21</v>
      </c>
      <c r="H1215" s="15">
        <v>461.21</v>
      </c>
      <c r="I1215" s="13">
        <v>9</v>
      </c>
      <c r="J1215" s="13">
        <v>9</v>
      </c>
      <c r="K1215" s="13" t="s">
        <v>3346</v>
      </c>
      <c r="L1215" s="15">
        <v>51.245555555555555</v>
      </c>
      <c r="M1215" s="16">
        <v>51.245555555555555</v>
      </c>
    </row>
    <row r="1216" spans="1:13" s="5" customFormat="1" x14ac:dyDescent="0.25">
      <c r="A1216" s="12" t="s">
        <v>2376</v>
      </c>
      <c r="B1216" s="13" t="s">
        <v>2377</v>
      </c>
      <c r="C1216" s="14">
        <v>45065</v>
      </c>
      <c r="D1216" s="13">
        <v>2023</v>
      </c>
      <c r="E1216" s="13" t="s">
        <v>3347</v>
      </c>
      <c r="F1216" s="13" t="s">
        <v>22</v>
      </c>
      <c r="G1216" s="15">
        <v>1529.65</v>
      </c>
      <c r="H1216" s="15">
        <v>1529.65</v>
      </c>
      <c r="I1216" s="13">
        <v>8</v>
      </c>
      <c r="J1216" s="13">
        <v>8</v>
      </c>
      <c r="K1216" s="13" t="s">
        <v>35</v>
      </c>
      <c r="L1216" s="15">
        <v>191.20625000000001</v>
      </c>
      <c r="M1216" s="16">
        <v>191.20625000000001</v>
      </c>
    </row>
    <row r="1217" spans="1:13" s="5" customFormat="1" x14ac:dyDescent="0.25">
      <c r="A1217" s="12" t="s">
        <v>2378</v>
      </c>
      <c r="B1217" s="13" t="s">
        <v>2379</v>
      </c>
      <c r="C1217" s="14">
        <v>45478</v>
      </c>
      <c r="D1217" s="13">
        <v>2024</v>
      </c>
      <c r="E1217" s="13" t="s">
        <v>3347</v>
      </c>
      <c r="F1217" s="13" t="s">
        <v>22</v>
      </c>
      <c r="G1217" s="15">
        <v>1994.81</v>
      </c>
      <c r="H1217" s="15">
        <v>1994.81</v>
      </c>
      <c r="I1217" s="13">
        <v>7</v>
      </c>
      <c r="J1217" s="13">
        <v>7</v>
      </c>
      <c r="K1217" s="13" t="s">
        <v>3346</v>
      </c>
      <c r="L1217" s="15">
        <v>284.97285714285715</v>
      </c>
      <c r="M1217" s="16">
        <v>284.97285714285715</v>
      </c>
    </row>
    <row r="1218" spans="1:13" s="5" customFormat="1" x14ac:dyDescent="0.25">
      <c r="A1218" s="12" t="s">
        <v>2380</v>
      </c>
      <c r="B1218" s="13" t="s">
        <v>2381</v>
      </c>
      <c r="C1218" s="14">
        <v>45426</v>
      </c>
      <c r="D1218" s="13">
        <v>2024</v>
      </c>
      <c r="E1218" s="13" t="s">
        <v>14</v>
      </c>
      <c r="F1218" s="13" t="s">
        <v>34</v>
      </c>
      <c r="G1218" s="15">
        <v>1516.06</v>
      </c>
      <c r="H1218" s="15">
        <v>1516.06</v>
      </c>
      <c r="I1218" s="13">
        <v>10</v>
      </c>
      <c r="J1218" s="13">
        <v>10</v>
      </c>
      <c r="K1218" s="13" t="s">
        <v>18</v>
      </c>
      <c r="L1218" s="15">
        <v>151.60599999999999</v>
      </c>
      <c r="M1218" s="16">
        <v>151.60599999999999</v>
      </c>
    </row>
    <row r="1219" spans="1:13" s="5" customFormat="1" x14ac:dyDescent="0.25">
      <c r="A1219" s="12" t="s">
        <v>2382</v>
      </c>
      <c r="B1219" s="13" t="s">
        <v>2296</v>
      </c>
      <c r="C1219" s="14">
        <v>45655</v>
      </c>
      <c r="D1219" s="13">
        <v>2024</v>
      </c>
      <c r="E1219" s="13" t="s">
        <v>3347</v>
      </c>
      <c r="F1219" s="13" t="s">
        <v>25</v>
      </c>
      <c r="G1219" s="15">
        <v>718.52</v>
      </c>
      <c r="H1219" s="15">
        <v>718.52</v>
      </c>
      <c r="I1219" s="13">
        <v>4</v>
      </c>
      <c r="J1219" s="13">
        <v>4</v>
      </c>
      <c r="K1219" s="13" t="s">
        <v>18</v>
      </c>
      <c r="L1219" s="15">
        <v>179.63</v>
      </c>
      <c r="M1219" s="16">
        <v>179.63</v>
      </c>
    </row>
    <row r="1220" spans="1:13" s="5" customFormat="1" x14ac:dyDescent="0.25">
      <c r="A1220" s="12" t="s">
        <v>2383</v>
      </c>
      <c r="B1220" s="13" t="s">
        <v>2384</v>
      </c>
      <c r="C1220" s="14">
        <v>45357</v>
      </c>
      <c r="D1220" s="13">
        <v>2024</v>
      </c>
      <c r="E1220" s="13" t="s">
        <v>10</v>
      </c>
      <c r="F1220" s="13" t="s">
        <v>34</v>
      </c>
      <c r="G1220" s="15">
        <v>1784.52</v>
      </c>
      <c r="H1220" s="15">
        <v>1784.52</v>
      </c>
      <c r="I1220" s="13"/>
      <c r="J1220" s="13">
        <v>5</v>
      </c>
      <c r="K1220" s="13" t="s">
        <v>15</v>
      </c>
      <c r="L1220" s="15">
        <v>356.904</v>
      </c>
      <c r="M1220" s="16">
        <v>357.88896944444446</v>
      </c>
    </row>
    <row r="1221" spans="1:13" s="5" customFormat="1" x14ac:dyDescent="0.25">
      <c r="A1221" s="12" t="s">
        <v>2385</v>
      </c>
      <c r="B1221" s="13" t="s">
        <v>2386</v>
      </c>
      <c r="C1221" s="14">
        <v>45025</v>
      </c>
      <c r="D1221" s="13">
        <v>2023</v>
      </c>
      <c r="E1221" s="13" t="s">
        <v>21</v>
      </c>
      <c r="F1221" s="13" t="s">
        <v>34</v>
      </c>
      <c r="G1221" s="15">
        <v>1306.51</v>
      </c>
      <c r="H1221" s="15">
        <v>1306.51</v>
      </c>
      <c r="I1221" s="13">
        <v>10</v>
      </c>
      <c r="J1221" s="13">
        <v>10</v>
      </c>
      <c r="K1221" s="13" t="s">
        <v>18</v>
      </c>
      <c r="L1221" s="15">
        <v>130.65100000000001</v>
      </c>
      <c r="M1221" s="16">
        <v>130.65100000000001</v>
      </c>
    </row>
    <row r="1222" spans="1:13" s="5" customFormat="1" x14ac:dyDescent="0.25">
      <c r="A1222" s="12" t="s">
        <v>2387</v>
      </c>
      <c r="B1222" s="13" t="s">
        <v>2388</v>
      </c>
      <c r="C1222" s="14">
        <v>45623</v>
      </c>
      <c r="D1222" s="13">
        <v>2024</v>
      </c>
      <c r="E1222" s="13" t="s">
        <v>3347</v>
      </c>
      <c r="F1222" s="13" t="s">
        <v>22</v>
      </c>
      <c r="G1222" s="15">
        <v>490.77</v>
      </c>
      <c r="H1222" s="15">
        <v>490.77</v>
      </c>
      <c r="I1222" s="13">
        <v>6</v>
      </c>
      <c r="J1222" s="13">
        <v>6</v>
      </c>
      <c r="K1222" s="13" t="s">
        <v>3348</v>
      </c>
      <c r="L1222" s="15">
        <v>81.795000000000002</v>
      </c>
      <c r="M1222" s="16">
        <v>81.795000000000002</v>
      </c>
    </row>
    <row r="1223" spans="1:13" s="5" customFormat="1" x14ac:dyDescent="0.25">
      <c r="A1223" s="12" t="s">
        <v>2389</v>
      </c>
      <c r="B1223" s="13" t="s">
        <v>1873</v>
      </c>
      <c r="C1223" s="14">
        <v>45763</v>
      </c>
      <c r="D1223" s="13">
        <v>2025</v>
      </c>
      <c r="E1223" s="13" t="s">
        <v>3347</v>
      </c>
      <c r="F1223" s="13" t="s">
        <v>34</v>
      </c>
      <c r="G1223" s="15">
        <v>278.77999999999997</v>
      </c>
      <c r="H1223" s="15">
        <v>278.77999999999997</v>
      </c>
      <c r="I1223" s="13">
        <v>3</v>
      </c>
      <c r="J1223" s="13">
        <v>3</v>
      </c>
      <c r="K1223" s="13" t="s">
        <v>3346</v>
      </c>
      <c r="L1223" s="15">
        <v>92.926666666666662</v>
      </c>
      <c r="M1223" s="16">
        <v>92.926666666666662</v>
      </c>
    </row>
    <row r="1224" spans="1:13" s="5" customFormat="1" x14ac:dyDescent="0.25">
      <c r="A1224" s="12" t="s">
        <v>2390</v>
      </c>
      <c r="B1224" s="13" t="s">
        <v>479</v>
      </c>
      <c r="C1224" s="14">
        <v>45489</v>
      </c>
      <c r="D1224" s="13">
        <v>2024</v>
      </c>
      <c r="E1224" s="13" t="s">
        <v>3347</v>
      </c>
      <c r="F1224" s="13" t="s">
        <v>34</v>
      </c>
      <c r="G1224" s="15">
        <v>1848.18</v>
      </c>
      <c r="H1224" s="15">
        <v>1848.18</v>
      </c>
      <c r="I1224" s="13">
        <v>10</v>
      </c>
      <c r="J1224" s="13">
        <v>10</v>
      </c>
      <c r="K1224" s="13" t="s">
        <v>3346</v>
      </c>
      <c r="L1224" s="15">
        <v>184.81800000000001</v>
      </c>
      <c r="M1224" s="16">
        <v>184.81800000000001</v>
      </c>
    </row>
    <row r="1225" spans="1:13" s="5" customFormat="1" x14ac:dyDescent="0.25">
      <c r="A1225" s="12" t="s">
        <v>2391</v>
      </c>
      <c r="B1225" s="13" t="s">
        <v>2392</v>
      </c>
      <c r="C1225" s="14">
        <v>45405</v>
      </c>
      <c r="D1225" s="13">
        <v>2024</v>
      </c>
      <c r="E1225" s="13" t="s">
        <v>21</v>
      </c>
      <c r="F1225" s="13" t="s">
        <v>34</v>
      </c>
      <c r="G1225" s="15">
        <v>1247.99</v>
      </c>
      <c r="H1225" s="15">
        <v>1247.99</v>
      </c>
      <c r="I1225" s="13">
        <v>2</v>
      </c>
      <c r="J1225" s="13">
        <v>2</v>
      </c>
      <c r="K1225" s="13" t="s">
        <v>3348</v>
      </c>
      <c r="L1225" s="15">
        <v>623.995</v>
      </c>
      <c r="M1225" s="16">
        <v>623.995</v>
      </c>
    </row>
    <row r="1226" spans="1:13" s="5" customFormat="1" x14ac:dyDescent="0.25">
      <c r="A1226" s="12" t="s">
        <v>2393</v>
      </c>
      <c r="B1226" s="13" t="s">
        <v>437</v>
      </c>
      <c r="C1226" s="14">
        <v>45137</v>
      </c>
      <c r="D1226" s="13">
        <v>2023</v>
      </c>
      <c r="E1226" s="13" t="s">
        <v>10</v>
      </c>
      <c r="F1226" s="13" t="s">
        <v>34</v>
      </c>
      <c r="G1226" s="15"/>
      <c r="H1226" s="15">
        <v>1114.413125</v>
      </c>
      <c r="I1226" s="13">
        <v>3</v>
      </c>
      <c r="J1226" s="13">
        <v>3</v>
      </c>
      <c r="K1226" s="13" t="s">
        <v>3348</v>
      </c>
      <c r="L1226" s="15">
        <v>371.47104166666668</v>
      </c>
      <c r="M1226" s="16">
        <v>371.47104166666668</v>
      </c>
    </row>
    <row r="1227" spans="1:13" s="5" customFormat="1" x14ac:dyDescent="0.25">
      <c r="A1227" s="12" t="s">
        <v>2394</v>
      </c>
      <c r="B1227" s="13" t="s">
        <v>2395</v>
      </c>
      <c r="C1227" s="14">
        <v>45925</v>
      </c>
      <c r="D1227" s="13">
        <v>2025</v>
      </c>
      <c r="E1227" s="13" t="s">
        <v>3347</v>
      </c>
      <c r="F1227" s="13" t="s">
        <v>22</v>
      </c>
      <c r="G1227" s="15">
        <v>1320.76</v>
      </c>
      <c r="H1227" s="15">
        <v>1320.76</v>
      </c>
      <c r="I1227" s="13">
        <v>5</v>
      </c>
      <c r="J1227" s="13">
        <v>5</v>
      </c>
      <c r="K1227" s="13" t="s">
        <v>15</v>
      </c>
      <c r="L1227" s="15">
        <v>264.15199999999999</v>
      </c>
      <c r="M1227" s="16">
        <v>264.15199999999999</v>
      </c>
    </row>
    <row r="1228" spans="1:13" s="5" customFormat="1" x14ac:dyDescent="0.25">
      <c r="A1228" s="12" t="s">
        <v>2396</v>
      </c>
      <c r="B1228" s="13" t="s">
        <v>2397</v>
      </c>
      <c r="C1228" s="14">
        <v>45819</v>
      </c>
      <c r="D1228" s="13">
        <v>2025</v>
      </c>
      <c r="E1228" s="13" t="s">
        <v>14</v>
      </c>
      <c r="F1228" s="13" t="s">
        <v>25</v>
      </c>
      <c r="G1228" s="15">
        <v>680.47</v>
      </c>
      <c r="H1228" s="15">
        <v>680.47</v>
      </c>
      <c r="I1228" s="13">
        <v>3</v>
      </c>
      <c r="J1228" s="13">
        <v>3</v>
      </c>
      <c r="K1228" s="13" t="s">
        <v>35</v>
      </c>
      <c r="L1228" s="15">
        <v>226.82333333333335</v>
      </c>
      <c r="M1228" s="16">
        <v>226.82333333333335</v>
      </c>
    </row>
    <row r="1229" spans="1:13" s="5" customFormat="1" x14ac:dyDescent="0.25">
      <c r="A1229" s="12" t="s">
        <v>2398</v>
      </c>
      <c r="B1229" s="13" t="s">
        <v>2399</v>
      </c>
      <c r="C1229" s="14">
        <v>45480</v>
      </c>
      <c r="D1229" s="13">
        <v>2024</v>
      </c>
      <c r="E1229" s="13" t="s">
        <v>21</v>
      </c>
      <c r="F1229" s="13" t="s">
        <v>25</v>
      </c>
      <c r="G1229" s="15">
        <v>1682.89</v>
      </c>
      <c r="H1229" s="15">
        <v>1682.89</v>
      </c>
      <c r="I1229" s="13">
        <v>4</v>
      </c>
      <c r="J1229" s="13">
        <v>4</v>
      </c>
      <c r="K1229" s="13" t="s">
        <v>3348</v>
      </c>
      <c r="L1229" s="15">
        <v>420.72250000000003</v>
      </c>
      <c r="M1229" s="16">
        <v>420.72250000000003</v>
      </c>
    </row>
    <row r="1230" spans="1:13" s="5" customFormat="1" x14ac:dyDescent="0.25">
      <c r="A1230" s="12" t="s">
        <v>2400</v>
      </c>
      <c r="B1230" s="13" t="s">
        <v>1118</v>
      </c>
      <c r="C1230" s="14">
        <v>45296</v>
      </c>
      <c r="D1230" s="13">
        <v>2024</v>
      </c>
      <c r="E1230" s="13" t="s">
        <v>10</v>
      </c>
      <c r="F1230" s="13" t="s">
        <v>22</v>
      </c>
      <c r="G1230" s="15">
        <v>1790.48</v>
      </c>
      <c r="H1230" s="15">
        <v>1790.48</v>
      </c>
      <c r="I1230" s="13">
        <v>10</v>
      </c>
      <c r="J1230" s="13">
        <v>10</v>
      </c>
      <c r="K1230" s="13" t="s">
        <v>18</v>
      </c>
      <c r="L1230" s="15">
        <v>179.048</v>
      </c>
      <c r="M1230" s="16">
        <v>179.048</v>
      </c>
    </row>
    <row r="1231" spans="1:13" s="5" customFormat="1" x14ac:dyDescent="0.25">
      <c r="A1231" s="12" t="s">
        <v>2401</v>
      </c>
      <c r="B1231" s="13" t="s">
        <v>1864</v>
      </c>
      <c r="C1231" s="14">
        <v>45635</v>
      </c>
      <c r="D1231" s="13">
        <v>2024</v>
      </c>
      <c r="E1231" s="13" t="s">
        <v>14</v>
      </c>
      <c r="F1231" s="13" t="s">
        <v>34</v>
      </c>
      <c r="G1231" s="15">
        <v>1690.55</v>
      </c>
      <c r="H1231" s="15">
        <v>1690.55</v>
      </c>
      <c r="I1231" s="13">
        <v>5</v>
      </c>
      <c r="J1231" s="13">
        <v>5</v>
      </c>
      <c r="K1231" s="13" t="s">
        <v>3348</v>
      </c>
      <c r="L1231" s="15">
        <v>338.11</v>
      </c>
      <c r="M1231" s="16">
        <v>338.11</v>
      </c>
    </row>
    <row r="1232" spans="1:13" s="5" customFormat="1" x14ac:dyDescent="0.25">
      <c r="A1232" s="12" t="s">
        <v>2402</v>
      </c>
      <c r="B1232" s="13" t="s">
        <v>2403</v>
      </c>
      <c r="C1232" s="14">
        <v>45174</v>
      </c>
      <c r="D1232" s="13">
        <v>2023</v>
      </c>
      <c r="E1232" s="13" t="s">
        <v>14</v>
      </c>
      <c r="F1232" s="13" t="s">
        <v>11</v>
      </c>
      <c r="G1232" s="15">
        <v>1810.26</v>
      </c>
      <c r="H1232" s="15">
        <v>1810.26</v>
      </c>
      <c r="I1232" s="13">
        <v>2</v>
      </c>
      <c r="J1232" s="13">
        <v>2</v>
      </c>
      <c r="K1232" s="13" t="s">
        <v>3346</v>
      </c>
      <c r="L1232" s="15">
        <v>905.13</v>
      </c>
      <c r="M1232" s="16">
        <v>905.13</v>
      </c>
    </row>
    <row r="1233" spans="1:13" s="5" customFormat="1" x14ac:dyDescent="0.25">
      <c r="A1233" s="12" t="s">
        <v>2404</v>
      </c>
      <c r="B1233" s="13" t="s">
        <v>277</v>
      </c>
      <c r="C1233" s="14">
        <v>45205</v>
      </c>
      <c r="D1233" s="13">
        <v>2023</v>
      </c>
      <c r="E1233" s="13" t="s">
        <v>3347</v>
      </c>
      <c r="F1233" s="13" t="s">
        <v>25</v>
      </c>
      <c r="G1233" s="15">
        <v>462.03</v>
      </c>
      <c r="H1233" s="15">
        <v>462.03</v>
      </c>
      <c r="I1233" s="13">
        <v>3</v>
      </c>
      <c r="J1233" s="13">
        <v>3</v>
      </c>
      <c r="K1233" s="13" t="s">
        <v>3348</v>
      </c>
      <c r="L1233" s="15">
        <v>154.01</v>
      </c>
      <c r="M1233" s="16">
        <v>154.01</v>
      </c>
    </row>
    <row r="1234" spans="1:13" s="5" customFormat="1" x14ac:dyDescent="0.25">
      <c r="A1234" s="12" t="s">
        <v>2405</v>
      </c>
      <c r="B1234" s="13" t="s">
        <v>2406</v>
      </c>
      <c r="C1234" s="14">
        <v>45175</v>
      </c>
      <c r="D1234" s="13">
        <v>2023</v>
      </c>
      <c r="E1234" s="13" t="s">
        <v>3347</v>
      </c>
      <c r="F1234" s="13" t="s">
        <v>34</v>
      </c>
      <c r="G1234" s="15">
        <v>738.07</v>
      </c>
      <c r="H1234" s="15">
        <v>738.07</v>
      </c>
      <c r="I1234" s="13">
        <v>5</v>
      </c>
      <c r="J1234" s="13">
        <v>5</v>
      </c>
      <c r="K1234" s="13" t="s">
        <v>3346</v>
      </c>
      <c r="L1234" s="15">
        <v>147.614</v>
      </c>
      <c r="M1234" s="16">
        <v>147.614</v>
      </c>
    </row>
    <row r="1235" spans="1:13" s="5" customFormat="1" x14ac:dyDescent="0.25">
      <c r="A1235" s="12" t="s">
        <v>2407</v>
      </c>
      <c r="B1235" s="13" t="s">
        <v>2408</v>
      </c>
      <c r="C1235" s="14">
        <v>45516</v>
      </c>
      <c r="D1235" s="13">
        <v>2024</v>
      </c>
      <c r="E1235" s="13" t="s">
        <v>3347</v>
      </c>
      <c r="F1235" s="13" t="s">
        <v>34</v>
      </c>
      <c r="G1235" s="15">
        <v>252.05</v>
      </c>
      <c r="H1235" s="15">
        <v>252.05</v>
      </c>
      <c r="I1235" s="13">
        <v>2</v>
      </c>
      <c r="J1235" s="13">
        <v>2</v>
      </c>
      <c r="K1235" s="13" t="s">
        <v>15</v>
      </c>
      <c r="L1235" s="15">
        <v>126.02500000000001</v>
      </c>
      <c r="M1235" s="16">
        <v>126.02500000000001</v>
      </c>
    </row>
    <row r="1236" spans="1:13" s="5" customFormat="1" x14ac:dyDescent="0.25">
      <c r="A1236" s="12" t="s">
        <v>2409</v>
      </c>
      <c r="B1236" s="13" t="s">
        <v>2410</v>
      </c>
      <c r="C1236" s="14">
        <v>45668</v>
      </c>
      <c r="D1236" s="13">
        <v>2025</v>
      </c>
      <c r="E1236" s="13" t="s">
        <v>21</v>
      </c>
      <c r="F1236" s="13" t="s">
        <v>25</v>
      </c>
      <c r="G1236" s="15">
        <v>129.37</v>
      </c>
      <c r="H1236" s="15">
        <v>129.37</v>
      </c>
      <c r="I1236" s="13">
        <v>4</v>
      </c>
      <c r="J1236" s="13">
        <v>4</v>
      </c>
      <c r="K1236" s="13" t="s">
        <v>35</v>
      </c>
      <c r="L1236" s="15">
        <v>32.342500000000001</v>
      </c>
      <c r="M1236" s="16">
        <v>32.342500000000001</v>
      </c>
    </row>
    <row r="1237" spans="1:13" s="5" customFormat="1" x14ac:dyDescent="0.25">
      <c r="A1237" s="12" t="s">
        <v>2411</v>
      </c>
      <c r="B1237" s="13" t="s">
        <v>2412</v>
      </c>
      <c r="C1237" s="14">
        <v>45848</v>
      </c>
      <c r="D1237" s="13">
        <v>2025</v>
      </c>
      <c r="E1237" s="13" t="s">
        <v>14</v>
      </c>
      <c r="F1237" s="13" t="s">
        <v>25</v>
      </c>
      <c r="G1237" s="15">
        <v>1785.38</v>
      </c>
      <c r="H1237" s="15">
        <v>1785.38</v>
      </c>
      <c r="I1237" s="13">
        <v>7</v>
      </c>
      <c r="J1237" s="13">
        <v>7</v>
      </c>
      <c r="K1237" s="13" t="s">
        <v>3348</v>
      </c>
      <c r="L1237" s="15">
        <v>255.05428571428573</v>
      </c>
      <c r="M1237" s="16">
        <v>255.05428571428573</v>
      </c>
    </row>
    <row r="1238" spans="1:13" s="5" customFormat="1" x14ac:dyDescent="0.25">
      <c r="A1238" s="12" t="s">
        <v>2413</v>
      </c>
      <c r="B1238" s="13" t="s">
        <v>2414</v>
      </c>
      <c r="C1238" s="14">
        <v>45542</v>
      </c>
      <c r="D1238" s="13">
        <v>2024</v>
      </c>
      <c r="E1238" s="13" t="s">
        <v>14</v>
      </c>
      <c r="F1238" s="13" t="s">
        <v>11</v>
      </c>
      <c r="G1238" s="15">
        <v>1080.3599999999999</v>
      </c>
      <c r="H1238" s="15">
        <v>1080.3599999999999</v>
      </c>
      <c r="I1238" s="13">
        <v>7</v>
      </c>
      <c r="J1238" s="13">
        <v>7</v>
      </c>
      <c r="K1238" s="13" t="s">
        <v>3346</v>
      </c>
      <c r="L1238" s="15">
        <v>154.33714285714285</v>
      </c>
      <c r="M1238" s="16">
        <v>154.33714285714285</v>
      </c>
    </row>
    <row r="1239" spans="1:13" s="5" customFormat="1" x14ac:dyDescent="0.25">
      <c r="A1239" s="12" t="s">
        <v>2415</v>
      </c>
      <c r="B1239" s="13" t="s">
        <v>2416</v>
      </c>
      <c r="C1239" s="14">
        <v>45797</v>
      </c>
      <c r="D1239" s="13">
        <v>2025</v>
      </c>
      <c r="E1239" s="13" t="s">
        <v>14</v>
      </c>
      <c r="F1239" s="13" t="s">
        <v>11</v>
      </c>
      <c r="G1239" s="15">
        <v>1898.99</v>
      </c>
      <c r="H1239" s="15">
        <v>1898.99</v>
      </c>
      <c r="I1239" s="13">
        <v>3</v>
      </c>
      <c r="J1239" s="13">
        <v>3</v>
      </c>
      <c r="K1239" s="13" t="s">
        <v>3348</v>
      </c>
      <c r="L1239" s="15">
        <v>632.99666666666667</v>
      </c>
      <c r="M1239" s="16">
        <v>632.99666666666667</v>
      </c>
    </row>
    <row r="1240" spans="1:13" s="5" customFormat="1" x14ac:dyDescent="0.25">
      <c r="A1240" s="12" t="s">
        <v>2417</v>
      </c>
      <c r="B1240" s="13" t="s">
        <v>2418</v>
      </c>
      <c r="C1240" s="14">
        <v>45633</v>
      </c>
      <c r="D1240" s="13">
        <v>2024</v>
      </c>
      <c r="E1240" s="13" t="s">
        <v>3347</v>
      </c>
      <c r="F1240" s="13" t="s">
        <v>11</v>
      </c>
      <c r="G1240" s="15">
        <v>1277.82</v>
      </c>
      <c r="H1240" s="15">
        <v>1277.82</v>
      </c>
      <c r="I1240" s="13">
        <v>7</v>
      </c>
      <c r="J1240" s="13">
        <v>7</v>
      </c>
      <c r="K1240" s="13" t="s">
        <v>15</v>
      </c>
      <c r="L1240" s="15">
        <v>182.54571428571427</v>
      </c>
      <c r="M1240" s="16">
        <v>182.54571428571427</v>
      </c>
    </row>
    <row r="1241" spans="1:13" s="5" customFormat="1" x14ac:dyDescent="0.25">
      <c r="A1241" s="12" t="s">
        <v>2419</v>
      </c>
      <c r="B1241" s="13" t="s">
        <v>2420</v>
      </c>
      <c r="C1241" s="14">
        <v>45930</v>
      </c>
      <c r="D1241" s="13">
        <v>2025</v>
      </c>
      <c r="E1241" s="13" t="s">
        <v>21</v>
      </c>
      <c r="F1241" s="13" t="s">
        <v>11</v>
      </c>
      <c r="G1241" s="15"/>
      <c r="H1241" s="15">
        <v>2471.4873750000002</v>
      </c>
      <c r="I1241" s="13">
        <v>9</v>
      </c>
      <c r="J1241" s="13">
        <v>9</v>
      </c>
      <c r="K1241" s="13" t="s">
        <v>35</v>
      </c>
      <c r="L1241" s="15">
        <v>274.60970833333334</v>
      </c>
      <c r="M1241" s="16">
        <v>274.60970833333334</v>
      </c>
    </row>
    <row r="1242" spans="1:13" s="5" customFormat="1" x14ac:dyDescent="0.25">
      <c r="A1242" s="12" t="s">
        <v>2421</v>
      </c>
      <c r="B1242" s="13" t="s">
        <v>2422</v>
      </c>
      <c r="C1242" s="14">
        <v>45637</v>
      </c>
      <c r="D1242" s="13">
        <v>2024</v>
      </c>
      <c r="E1242" s="13" t="s">
        <v>14</v>
      </c>
      <c r="F1242" s="13" t="s">
        <v>22</v>
      </c>
      <c r="G1242" s="15"/>
      <c r="H1242" s="15">
        <v>1246.3649598214286</v>
      </c>
      <c r="I1242" s="13">
        <v>9</v>
      </c>
      <c r="J1242" s="13">
        <v>9</v>
      </c>
      <c r="K1242" s="13" t="s">
        <v>3346</v>
      </c>
      <c r="L1242" s="15">
        <v>138.48499553571429</v>
      </c>
      <c r="M1242" s="16">
        <v>138.48499553571429</v>
      </c>
    </row>
    <row r="1243" spans="1:13" s="5" customFormat="1" x14ac:dyDescent="0.25">
      <c r="A1243" s="12" t="s">
        <v>2423</v>
      </c>
      <c r="B1243" s="13" t="s">
        <v>2424</v>
      </c>
      <c r="C1243" s="14">
        <v>45094</v>
      </c>
      <c r="D1243" s="13">
        <v>2023</v>
      </c>
      <c r="E1243" s="13" t="s">
        <v>14</v>
      </c>
      <c r="F1243" s="13" t="s">
        <v>11</v>
      </c>
      <c r="G1243" s="15">
        <v>713.01</v>
      </c>
      <c r="H1243" s="15">
        <v>713.01</v>
      </c>
      <c r="I1243" s="13">
        <v>5</v>
      </c>
      <c r="J1243" s="13">
        <v>5</v>
      </c>
      <c r="K1243" s="13" t="s">
        <v>3346</v>
      </c>
      <c r="L1243" s="15">
        <v>142.602</v>
      </c>
      <c r="M1243" s="16">
        <v>142.602</v>
      </c>
    </row>
    <row r="1244" spans="1:13" s="5" customFormat="1" x14ac:dyDescent="0.25">
      <c r="A1244" s="12" t="s">
        <v>2425</v>
      </c>
      <c r="B1244" s="13" t="s">
        <v>2426</v>
      </c>
      <c r="C1244" s="14">
        <v>45133</v>
      </c>
      <c r="D1244" s="13">
        <v>2023</v>
      </c>
      <c r="E1244" s="13" t="s">
        <v>14</v>
      </c>
      <c r="F1244" s="13" t="s">
        <v>22</v>
      </c>
      <c r="G1244" s="15">
        <v>1275.18</v>
      </c>
      <c r="H1244" s="15">
        <v>1275.18</v>
      </c>
      <c r="I1244" s="13">
        <v>8</v>
      </c>
      <c r="J1244" s="13">
        <v>8</v>
      </c>
      <c r="K1244" s="13" t="s">
        <v>15</v>
      </c>
      <c r="L1244" s="15">
        <v>159.39750000000001</v>
      </c>
      <c r="M1244" s="16">
        <v>159.39750000000001</v>
      </c>
    </row>
    <row r="1245" spans="1:13" s="5" customFormat="1" x14ac:dyDescent="0.25">
      <c r="A1245" s="12" t="s">
        <v>2427</v>
      </c>
      <c r="B1245" s="13" t="s">
        <v>2428</v>
      </c>
      <c r="C1245" s="14">
        <v>45132</v>
      </c>
      <c r="D1245" s="13">
        <v>2023</v>
      </c>
      <c r="E1245" s="13" t="s">
        <v>10</v>
      </c>
      <c r="F1245" s="13" t="s">
        <v>34</v>
      </c>
      <c r="G1245" s="15">
        <v>1281.1500000000001</v>
      </c>
      <c r="H1245" s="15">
        <v>1281.1500000000001</v>
      </c>
      <c r="I1245" s="13">
        <v>6</v>
      </c>
      <c r="J1245" s="13">
        <v>6</v>
      </c>
      <c r="K1245" s="13" t="s">
        <v>18</v>
      </c>
      <c r="L1245" s="15">
        <v>213.52500000000001</v>
      </c>
      <c r="M1245" s="16">
        <v>213.52500000000001</v>
      </c>
    </row>
    <row r="1246" spans="1:13" s="5" customFormat="1" x14ac:dyDescent="0.25">
      <c r="A1246" s="12" t="s">
        <v>2429</v>
      </c>
      <c r="B1246" s="13" t="s">
        <v>2430</v>
      </c>
      <c r="C1246" s="14">
        <v>45583</v>
      </c>
      <c r="D1246" s="13">
        <v>2024</v>
      </c>
      <c r="E1246" s="13" t="s">
        <v>3347</v>
      </c>
      <c r="F1246" s="13" t="s">
        <v>25</v>
      </c>
      <c r="G1246" s="15">
        <v>1790.01</v>
      </c>
      <c r="H1246" s="15">
        <v>1790.01</v>
      </c>
      <c r="I1246" s="13">
        <v>8</v>
      </c>
      <c r="J1246" s="13">
        <v>8</v>
      </c>
      <c r="K1246" s="13" t="s">
        <v>15</v>
      </c>
      <c r="L1246" s="15">
        <v>223.75125</v>
      </c>
      <c r="M1246" s="16">
        <v>223.75125</v>
      </c>
    </row>
    <row r="1247" spans="1:13" s="5" customFormat="1" x14ac:dyDescent="0.25">
      <c r="A1247" s="12" t="s">
        <v>2431</v>
      </c>
      <c r="B1247" s="13" t="s">
        <v>2432</v>
      </c>
      <c r="C1247" s="14">
        <v>45483</v>
      </c>
      <c r="D1247" s="13">
        <v>2024</v>
      </c>
      <c r="E1247" s="13" t="s">
        <v>14</v>
      </c>
      <c r="F1247" s="13" t="s">
        <v>11</v>
      </c>
      <c r="G1247" s="15">
        <v>463.69</v>
      </c>
      <c r="H1247" s="15">
        <v>463.69</v>
      </c>
      <c r="I1247" s="13">
        <v>8</v>
      </c>
      <c r="J1247" s="13">
        <v>8</v>
      </c>
      <c r="K1247" s="13" t="s">
        <v>3346</v>
      </c>
      <c r="L1247" s="15">
        <v>57.96125</v>
      </c>
      <c r="M1247" s="16">
        <v>57.96125</v>
      </c>
    </row>
    <row r="1248" spans="1:13" s="5" customFormat="1" x14ac:dyDescent="0.25">
      <c r="A1248" s="12" t="s">
        <v>2433</v>
      </c>
      <c r="B1248" s="13" t="s">
        <v>2434</v>
      </c>
      <c r="C1248" s="14">
        <v>45132</v>
      </c>
      <c r="D1248" s="13">
        <v>2023</v>
      </c>
      <c r="E1248" s="13" t="s">
        <v>14</v>
      </c>
      <c r="F1248" s="13" t="s">
        <v>11</v>
      </c>
      <c r="G1248" s="15">
        <v>1363.91</v>
      </c>
      <c r="H1248" s="15">
        <v>1363.91</v>
      </c>
      <c r="I1248" s="13">
        <v>9</v>
      </c>
      <c r="J1248" s="13">
        <v>9</v>
      </c>
      <c r="K1248" s="13" t="s">
        <v>15</v>
      </c>
      <c r="L1248" s="15">
        <v>151.54555555555555</v>
      </c>
      <c r="M1248" s="16">
        <v>151.54555555555555</v>
      </c>
    </row>
    <row r="1249" spans="1:13" s="5" customFormat="1" x14ac:dyDescent="0.25">
      <c r="A1249" s="12" t="s">
        <v>2435</v>
      </c>
      <c r="B1249" s="13" t="s">
        <v>2436</v>
      </c>
      <c r="C1249" s="14">
        <v>45563</v>
      </c>
      <c r="D1249" s="13">
        <v>2024</v>
      </c>
      <c r="E1249" s="13" t="s">
        <v>21</v>
      </c>
      <c r="F1249" s="13" t="s">
        <v>22</v>
      </c>
      <c r="G1249" s="15">
        <v>1781.9</v>
      </c>
      <c r="H1249" s="15">
        <v>1781.9</v>
      </c>
      <c r="I1249" s="13">
        <v>10</v>
      </c>
      <c r="J1249" s="13">
        <v>10</v>
      </c>
      <c r="K1249" s="13" t="s">
        <v>3346</v>
      </c>
      <c r="L1249" s="15">
        <v>178.19</v>
      </c>
      <c r="M1249" s="16">
        <v>178.19</v>
      </c>
    </row>
    <row r="1250" spans="1:13" s="5" customFormat="1" x14ac:dyDescent="0.25">
      <c r="A1250" s="12" t="s">
        <v>2437</v>
      </c>
      <c r="B1250" s="13" t="s">
        <v>2438</v>
      </c>
      <c r="C1250" s="14">
        <v>45602</v>
      </c>
      <c r="D1250" s="13">
        <v>2024</v>
      </c>
      <c r="E1250" s="13" t="s">
        <v>10</v>
      </c>
      <c r="F1250" s="13" t="s">
        <v>34</v>
      </c>
      <c r="G1250" s="15">
        <v>908.66</v>
      </c>
      <c r="H1250" s="15">
        <v>908.66</v>
      </c>
      <c r="I1250" s="13">
        <v>4</v>
      </c>
      <c r="J1250" s="13">
        <v>4</v>
      </c>
      <c r="K1250" s="13" t="s">
        <v>15</v>
      </c>
      <c r="L1250" s="15">
        <v>227.16499999999999</v>
      </c>
      <c r="M1250" s="16">
        <v>227.16499999999999</v>
      </c>
    </row>
    <row r="1251" spans="1:13" s="5" customFormat="1" x14ac:dyDescent="0.25">
      <c r="A1251" s="12" t="s">
        <v>2439</v>
      </c>
      <c r="B1251" s="13" t="s">
        <v>2440</v>
      </c>
      <c r="C1251" s="14">
        <v>45605</v>
      </c>
      <c r="D1251" s="13">
        <v>2024</v>
      </c>
      <c r="E1251" s="13" t="s">
        <v>3347</v>
      </c>
      <c r="F1251" s="13" t="s">
        <v>25</v>
      </c>
      <c r="G1251" s="15">
        <v>805.97</v>
      </c>
      <c r="H1251" s="15">
        <v>805.97</v>
      </c>
      <c r="I1251" s="13">
        <v>9</v>
      </c>
      <c r="J1251" s="13">
        <v>9</v>
      </c>
      <c r="K1251" s="13" t="s">
        <v>3346</v>
      </c>
      <c r="L1251" s="15">
        <v>89.552222222222227</v>
      </c>
      <c r="M1251" s="16">
        <v>89.552222222222227</v>
      </c>
    </row>
    <row r="1252" spans="1:13" s="5" customFormat="1" x14ac:dyDescent="0.25">
      <c r="A1252" s="12" t="s">
        <v>2441</v>
      </c>
      <c r="B1252" s="13" t="s">
        <v>2442</v>
      </c>
      <c r="C1252" s="14">
        <v>44926</v>
      </c>
      <c r="D1252" s="13">
        <v>2022</v>
      </c>
      <c r="E1252" s="13" t="s">
        <v>10</v>
      </c>
      <c r="F1252" s="13" t="s">
        <v>25</v>
      </c>
      <c r="G1252" s="15"/>
      <c r="H1252" s="15">
        <v>660.2834444444444</v>
      </c>
      <c r="I1252" s="13">
        <v>2</v>
      </c>
      <c r="J1252" s="13">
        <v>2</v>
      </c>
      <c r="K1252" s="13" t="s">
        <v>35</v>
      </c>
      <c r="L1252" s="15">
        <v>330.1417222222222</v>
      </c>
      <c r="M1252" s="16">
        <v>330.1417222222222</v>
      </c>
    </row>
    <row r="1253" spans="1:13" s="5" customFormat="1" x14ac:dyDescent="0.25">
      <c r="A1253" s="12" t="s">
        <v>2443</v>
      </c>
      <c r="B1253" s="13" t="s">
        <v>1418</v>
      </c>
      <c r="C1253" s="14">
        <v>45299</v>
      </c>
      <c r="D1253" s="13">
        <v>2024</v>
      </c>
      <c r="E1253" s="13" t="s">
        <v>10</v>
      </c>
      <c r="F1253" s="13" t="s">
        <v>34</v>
      </c>
      <c r="G1253" s="15">
        <v>625.35</v>
      </c>
      <c r="H1253" s="15">
        <v>625.35</v>
      </c>
      <c r="I1253" s="13">
        <v>7</v>
      </c>
      <c r="J1253" s="13">
        <v>7</v>
      </c>
      <c r="K1253" s="13" t="s">
        <v>3346</v>
      </c>
      <c r="L1253" s="15">
        <v>89.335714285714289</v>
      </c>
      <c r="M1253" s="16">
        <v>89.335714285714289</v>
      </c>
    </row>
    <row r="1254" spans="1:13" s="5" customFormat="1" x14ac:dyDescent="0.25">
      <c r="A1254" s="12" t="s">
        <v>2444</v>
      </c>
      <c r="B1254" s="13" t="s">
        <v>2445</v>
      </c>
      <c r="C1254" s="14">
        <v>45021</v>
      </c>
      <c r="D1254" s="13">
        <v>2023</v>
      </c>
      <c r="E1254" s="13" t="s">
        <v>10</v>
      </c>
      <c r="F1254" s="13" t="s">
        <v>22</v>
      </c>
      <c r="G1254" s="15">
        <v>1858.71</v>
      </c>
      <c r="H1254" s="15">
        <v>1858.71</v>
      </c>
      <c r="I1254" s="13">
        <v>1</v>
      </c>
      <c r="J1254" s="13">
        <v>1</v>
      </c>
      <c r="K1254" s="13" t="s">
        <v>3348</v>
      </c>
      <c r="L1254" s="15">
        <v>1858.71</v>
      </c>
      <c r="M1254" s="16">
        <v>1858.71</v>
      </c>
    </row>
    <row r="1255" spans="1:13" s="5" customFormat="1" x14ac:dyDescent="0.25">
      <c r="A1255" s="12" t="s">
        <v>2446</v>
      </c>
      <c r="B1255" s="13" t="s">
        <v>2447</v>
      </c>
      <c r="C1255" s="14">
        <v>45316</v>
      </c>
      <c r="D1255" s="13">
        <v>2024</v>
      </c>
      <c r="E1255" s="13" t="s">
        <v>10</v>
      </c>
      <c r="F1255" s="13" t="s">
        <v>25</v>
      </c>
      <c r="G1255" s="15">
        <v>1102.9000000000001</v>
      </c>
      <c r="H1255" s="15">
        <v>1102.9000000000001</v>
      </c>
      <c r="I1255" s="13"/>
      <c r="J1255" s="13">
        <v>3</v>
      </c>
      <c r="K1255" s="13" t="s">
        <v>3348</v>
      </c>
      <c r="L1255" s="15">
        <v>367.63333333333338</v>
      </c>
      <c r="M1255" s="16">
        <v>329.54250000000002</v>
      </c>
    </row>
    <row r="1256" spans="1:13" s="5" customFormat="1" x14ac:dyDescent="0.25">
      <c r="A1256" s="12" t="s">
        <v>2448</v>
      </c>
      <c r="B1256" s="13" t="s">
        <v>2449</v>
      </c>
      <c r="C1256" s="14">
        <v>45838</v>
      </c>
      <c r="D1256" s="13">
        <v>2025</v>
      </c>
      <c r="E1256" s="13" t="s">
        <v>3347</v>
      </c>
      <c r="F1256" s="13" t="s">
        <v>34</v>
      </c>
      <c r="G1256" s="15">
        <v>956.51</v>
      </c>
      <c r="H1256" s="15">
        <v>956.51</v>
      </c>
      <c r="I1256" s="13">
        <v>8</v>
      </c>
      <c r="J1256" s="13">
        <v>8</v>
      </c>
      <c r="K1256" s="13" t="s">
        <v>18</v>
      </c>
      <c r="L1256" s="15">
        <v>119.56375</v>
      </c>
      <c r="M1256" s="16">
        <v>119.56375</v>
      </c>
    </row>
    <row r="1257" spans="1:13" s="5" customFormat="1" x14ac:dyDescent="0.25">
      <c r="A1257" s="12" t="s">
        <v>2450</v>
      </c>
      <c r="B1257" s="13" t="s">
        <v>2451</v>
      </c>
      <c r="C1257" s="14">
        <v>45377</v>
      </c>
      <c r="D1257" s="13">
        <v>2024</v>
      </c>
      <c r="E1257" s="13" t="s">
        <v>3347</v>
      </c>
      <c r="F1257" s="13" t="s">
        <v>22</v>
      </c>
      <c r="G1257" s="15">
        <v>395.67</v>
      </c>
      <c r="H1257" s="15">
        <v>395.67</v>
      </c>
      <c r="I1257" s="13">
        <v>1</v>
      </c>
      <c r="J1257" s="13">
        <v>1</v>
      </c>
      <c r="K1257" s="13" t="s">
        <v>3348</v>
      </c>
      <c r="L1257" s="15">
        <v>395.67</v>
      </c>
      <c r="M1257" s="16">
        <v>395.67</v>
      </c>
    </row>
    <row r="1258" spans="1:13" s="5" customFormat="1" x14ac:dyDescent="0.25">
      <c r="A1258" s="12" t="s">
        <v>2452</v>
      </c>
      <c r="B1258" s="13" t="s">
        <v>1871</v>
      </c>
      <c r="C1258" s="14">
        <v>44862</v>
      </c>
      <c r="D1258" s="13">
        <v>2022</v>
      </c>
      <c r="E1258" s="13" t="s">
        <v>14</v>
      </c>
      <c r="F1258" s="13" t="s">
        <v>22</v>
      </c>
      <c r="G1258" s="15">
        <v>319.14</v>
      </c>
      <c r="H1258" s="15">
        <v>319.14</v>
      </c>
      <c r="I1258" s="13">
        <v>2</v>
      </c>
      <c r="J1258" s="13">
        <v>2</v>
      </c>
      <c r="K1258" s="13" t="s">
        <v>15</v>
      </c>
      <c r="L1258" s="15">
        <v>159.57</v>
      </c>
      <c r="M1258" s="16">
        <v>159.57</v>
      </c>
    </row>
    <row r="1259" spans="1:13" s="5" customFormat="1" x14ac:dyDescent="0.25">
      <c r="A1259" s="12" t="s">
        <v>2453</v>
      </c>
      <c r="B1259" s="13" t="s">
        <v>1202</v>
      </c>
      <c r="C1259" s="14">
        <v>45202</v>
      </c>
      <c r="D1259" s="13">
        <v>2023</v>
      </c>
      <c r="E1259" s="13" t="s">
        <v>14</v>
      </c>
      <c r="F1259" s="13" t="s">
        <v>22</v>
      </c>
      <c r="G1259" s="15">
        <v>1126.1199999999999</v>
      </c>
      <c r="H1259" s="15">
        <v>1126.1199999999999</v>
      </c>
      <c r="I1259" s="13">
        <v>10</v>
      </c>
      <c r="J1259" s="13">
        <v>10</v>
      </c>
      <c r="K1259" s="13" t="s">
        <v>15</v>
      </c>
      <c r="L1259" s="15">
        <v>112.61199999999999</v>
      </c>
      <c r="M1259" s="16">
        <v>112.61199999999999</v>
      </c>
    </row>
    <row r="1260" spans="1:13" s="5" customFormat="1" x14ac:dyDescent="0.25">
      <c r="A1260" s="12" t="s">
        <v>2454</v>
      </c>
      <c r="B1260" s="13" t="s">
        <v>2455</v>
      </c>
      <c r="C1260" s="14">
        <v>45492</v>
      </c>
      <c r="D1260" s="13">
        <v>2024</v>
      </c>
      <c r="E1260" s="13" t="s">
        <v>14</v>
      </c>
      <c r="F1260" s="13" t="s">
        <v>22</v>
      </c>
      <c r="G1260" s="15"/>
      <c r="H1260" s="15">
        <v>759.30875000000003</v>
      </c>
      <c r="I1260" s="13">
        <v>3</v>
      </c>
      <c r="J1260" s="13">
        <v>3</v>
      </c>
      <c r="K1260" s="13" t="s">
        <v>15</v>
      </c>
      <c r="L1260" s="15">
        <v>253.10291666666669</v>
      </c>
      <c r="M1260" s="16">
        <v>253.10291666666669</v>
      </c>
    </row>
    <row r="1261" spans="1:13" s="5" customFormat="1" x14ac:dyDescent="0.25">
      <c r="A1261" s="12" t="s">
        <v>2456</v>
      </c>
      <c r="B1261" s="13" t="s">
        <v>2457</v>
      </c>
      <c r="C1261" s="14">
        <v>45381</v>
      </c>
      <c r="D1261" s="13">
        <v>2024</v>
      </c>
      <c r="E1261" s="13" t="s">
        <v>10</v>
      </c>
      <c r="F1261" s="13" t="s">
        <v>25</v>
      </c>
      <c r="G1261" s="15"/>
      <c r="H1261" s="15">
        <v>894.52513888888905</v>
      </c>
      <c r="I1261" s="13">
        <v>5</v>
      </c>
      <c r="J1261" s="13">
        <v>5</v>
      </c>
      <c r="K1261" s="13" t="s">
        <v>15</v>
      </c>
      <c r="L1261" s="15">
        <v>178.9050277777778</v>
      </c>
      <c r="M1261" s="16">
        <v>178.9050277777778</v>
      </c>
    </row>
    <row r="1262" spans="1:13" s="5" customFormat="1" x14ac:dyDescent="0.25">
      <c r="A1262" s="12" t="s">
        <v>2458</v>
      </c>
      <c r="B1262" s="13" t="s">
        <v>2459</v>
      </c>
      <c r="C1262" s="14">
        <v>45004</v>
      </c>
      <c r="D1262" s="13">
        <v>2023</v>
      </c>
      <c r="E1262" s="13" t="s">
        <v>14</v>
      </c>
      <c r="F1262" s="13" t="s">
        <v>22</v>
      </c>
      <c r="G1262" s="15">
        <v>1859.31</v>
      </c>
      <c r="H1262" s="15">
        <v>1859.31</v>
      </c>
      <c r="I1262" s="13">
        <v>2</v>
      </c>
      <c r="J1262" s="13">
        <v>2</v>
      </c>
      <c r="K1262" s="13" t="s">
        <v>3348</v>
      </c>
      <c r="L1262" s="15">
        <v>929.65499999999997</v>
      </c>
      <c r="M1262" s="16">
        <v>929.65499999999997</v>
      </c>
    </row>
    <row r="1263" spans="1:13" s="5" customFormat="1" x14ac:dyDescent="0.25">
      <c r="A1263" s="12" t="s">
        <v>2460</v>
      </c>
      <c r="B1263" s="13" t="s">
        <v>2461</v>
      </c>
      <c r="C1263" s="14">
        <v>45247</v>
      </c>
      <c r="D1263" s="13">
        <v>2023</v>
      </c>
      <c r="E1263" s="13" t="s">
        <v>21</v>
      </c>
      <c r="F1263" s="13" t="s">
        <v>34</v>
      </c>
      <c r="G1263" s="15">
        <v>514.09</v>
      </c>
      <c r="H1263" s="15">
        <v>514.09</v>
      </c>
      <c r="I1263" s="13">
        <v>8</v>
      </c>
      <c r="J1263" s="13">
        <v>8</v>
      </c>
      <c r="K1263" s="13" t="s">
        <v>3346</v>
      </c>
      <c r="L1263" s="15">
        <v>64.261250000000004</v>
      </c>
      <c r="M1263" s="16">
        <v>64.261250000000004</v>
      </c>
    </row>
    <row r="1264" spans="1:13" s="5" customFormat="1" x14ac:dyDescent="0.25">
      <c r="A1264" s="12" t="s">
        <v>2462</v>
      </c>
      <c r="B1264" s="13" t="s">
        <v>2463</v>
      </c>
      <c r="C1264" s="14">
        <v>45821</v>
      </c>
      <c r="D1264" s="13">
        <v>2025</v>
      </c>
      <c r="E1264" s="13" t="s">
        <v>21</v>
      </c>
      <c r="F1264" s="13" t="s">
        <v>11</v>
      </c>
      <c r="G1264" s="15">
        <v>1397.24</v>
      </c>
      <c r="H1264" s="15">
        <v>1397.24</v>
      </c>
      <c r="I1264" s="13">
        <v>5</v>
      </c>
      <c r="J1264" s="13">
        <v>5</v>
      </c>
      <c r="K1264" s="13" t="s">
        <v>35</v>
      </c>
      <c r="L1264" s="15">
        <v>279.44799999999998</v>
      </c>
      <c r="M1264" s="16">
        <v>279.44799999999998</v>
      </c>
    </row>
    <row r="1265" spans="1:13" s="5" customFormat="1" x14ac:dyDescent="0.25">
      <c r="A1265" s="12" t="s">
        <v>2464</v>
      </c>
      <c r="B1265" s="13" t="s">
        <v>1496</v>
      </c>
      <c r="C1265" s="14">
        <v>44917</v>
      </c>
      <c r="D1265" s="13">
        <v>2022</v>
      </c>
      <c r="E1265" s="13" t="s">
        <v>14</v>
      </c>
      <c r="F1265" s="13" t="s">
        <v>34</v>
      </c>
      <c r="G1265" s="15"/>
      <c r="H1265" s="15">
        <v>750.34999999999991</v>
      </c>
      <c r="I1265" s="13">
        <v>5</v>
      </c>
      <c r="J1265" s="13">
        <v>5</v>
      </c>
      <c r="K1265" s="13" t="s">
        <v>15</v>
      </c>
      <c r="L1265" s="15">
        <v>150.07</v>
      </c>
      <c r="M1265" s="16">
        <v>150.07</v>
      </c>
    </row>
    <row r="1266" spans="1:13" s="5" customFormat="1" x14ac:dyDescent="0.25">
      <c r="A1266" s="12" t="s">
        <v>2465</v>
      </c>
      <c r="B1266" s="13" t="s">
        <v>2466</v>
      </c>
      <c r="C1266" s="14">
        <v>45217</v>
      </c>
      <c r="D1266" s="13">
        <v>2023</v>
      </c>
      <c r="E1266" s="13" t="s">
        <v>3347</v>
      </c>
      <c r="F1266" s="13" t="s">
        <v>34</v>
      </c>
      <c r="G1266" s="15">
        <v>126.32</v>
      </c>
      <c r="H1266" s="15">
        <v>126.32</v>
      </c>
      <c r="I1266" s="13">
        <v>1</v>
      </c>
      <c r="J1266" s="13">
        <v>1</v>
      </c>
      <c r="K1266" s="13" t="s">
        <v>35</v>
      </c>
      <c r="L1266" s="15">
        <v>126.32</v>
      </c>
      <c r="M1266" s="16">
        <v>126.32</v>
      </c>
    </row>
    <row r="1267" spans="1:13" s="5" customFormat="1" x14ac:dyDescent="0.25">
      <c r="A1267" s="12" t="s">
        <v>2467</v>
      </c>
      <c r="B1267" s="13" t="s">
        <v>2468</v>
      </c>
      <c r="C1267" s="14">
        <v>45401</v>
      </c>
      <c r="D1267" s="13">
        <v>2024</v>
      </c>
      <c r="E1267" s="13" t="s">
        <v>10</v>
      </c>
      <c r="F1267" s="13" t="s">
        <v>34</v>
      </c>
      <c r="G1267" s="15">
        <v>1818.95</v>
      </c>
      <c r="H1267" s="15">
        <v>1818.95</v>
      </c>
      <c r="I1267" s="13">
        <v>1</v>
      </c>
      <c r="J1267" s="13">
        <v>1</v>
      </c>
      <c r="K1267" s="13" t="s">
        <v>15</v>
      </c>
      <c r="L1267" s="15">
        <v>1818.95</v>
      </c>
      <c r="M1267" s="16">
        <v>1818.95</v>
      </c>
    </row>
    <row r="1268" spans="1:13" s="5" customFormat="1" x14ac:dyDescent="0.25">
      <c r="A1268" s="12" t="s">
        <v>2469</v>
      </c>
      <c r="B1268" s="13" t="s">
        <v>2470</v>
      </c>
      <c r="C1268" s="14">
        <v>45628</v>
      </c>
      <c r="D1268" s="13">
        <v>2024</v>
      </c>
      <c r="E1268" s="13" t="s">
        <v>14</v>
      </c>
      <c r="F1268" s="13" t="s">
        <v>25</v>
      </c>
      <c r="G1268" s="15">
        <v>1892.97</v>
      </c>
      <c r="H1268" s="15">
        <v>1892.97</v>
      </c>
      <c r="I1268" s="13">
        <v>9</v>
      </c>
      <c r="J1268" s="13">
        <v>9</v>
      </c>
      <c r="K1268" s="13" t="s">
        <v>3346</v>
      </c>
      <c r="L1268" s="15">
        <v>210.33</v>
      </c>
      <c r="M1268" s="16">
        <v>210.33</v>
      </c>
    </row>
    <row r="1269" spans="1:13" s="5" customFormat="1" x14ac:dyDescent="0.25">
      <c r="A1269" s="12" t="s">
        <v>2471</v>
      </c>
      <c r="B1269" s="13" t="s">
        <v>2472</v>
      </c>
      <c r="C1269" s="14">
        <v>45861</v>
      </c>
      <c r="D1269" s="13">
        <v>2025</v>
      </c>
      <c r="E1269" s="13" t="s">
        <v>10</v>
      </c>
      <c r="F1269" s="13" t="s">
        <v>22</v>
      </c>
      <c r="G1269" s="15">
        <v>1081.0999999999999</v>
      </c>
      <c r="H1269" s="15">
        <v>1081.0999999999999</v>
      </c>
      <c r="I1269" s="13">
        <v>4</v>
      </c>
      <c r="J1269" s="13">
        <v>4</v>
      </c>
      <c r="K1269" s="13" t="s">
        <v>35</v>
      </c>
      <c r="L1269" s="15">
        <v>270.27499999999998</v>
      </c>
      <c r="M1269" s="16">
        <v>270.27499999999998</v>
      </c>
    </row>
    <row r="1270" spans="1:13" s="5" customFormat="1" x14ac:dyDescent="0.25">
      <c r="A1270" s="12" t="s">
        <v>2473</v>
      </c>
      <c r="B1270" s="13" t="s">
        <v>2474</v>
      </c>
      <c r="C1270" s="14">
        <v>45042</v>
      </c>
      <c r="D1270" s="13">
        <v>2023</v>
      </c>
      <c r="E1270" s="13" t="s">
        <v>10</v>
      </c>
      <c r="F1270" s="13" t="s">
        <v>25</v>
      </c>
      <c r="G1270" s="15">
        <v>1680.33</v>
      </c>
      <c r="H1270" s="15">
        <v>1680.33</v>
      </c>
      <c r="I1270" s="13">
        <v>6</v>
      </c>
      <c r="J1270" s="13">
        <v>6</v>
      </c>
      <c r="K1270" s="13" t="s">
        <v>3346</v>
      </c>
      <c r="L1270" s="15">
        <v>280.05500000000001</v>
      </c>
      <c r="M1270" s="16">
        <v>280.05500000000001</v>
      </c>
    </row>
    <row r="1271" spans="1:13" s="5" customFormat="1" x14ac:dyDescent="0.25">
      <c r="A1271" s="12" t="s">
        <v>2475</v>
      </c>
      <c r="B1271" s="13" t="s">
        <v>2476</v>
      </c>
      <c r="C1271" s="14">
        <v>45145</v>
      </c>
      <c r="D1271" s="13">
        <v>2023</v>
      </c>
      <c r="E1271" s="13" t="s">
        <v>3347</v>
      </c>
      <c r="F1271" s="13" t="s">
        <v>11</v>
      </c>
      <c r="G1271" s="15">
        <v>977.92</v>
      </c>
      <c r="H1271" s="15">
        <v>977.92</v>
      </c>
      <c r="I1271" s="13">
        <v>7</v>
      </c>
      <c r="J1271" s="13">
        <v>7</v>
      </c>
      <c r="K1271" s="13" t="s">
        <v>3348</v>
      </c>
      <c r="L1271" s="15">
        <v>139.70285714285714</v>
      </c>
      <c r="M1271" s="16">
        <v>139.70285714285714</v>
      </c>
    </row>
    <row r="1272" spans="1:13" s="5" customFormat="1" x14ac:dyDescent="0.25">
      <c r="A1272" s="12" t="s">
        <v>2477</v>
      </c>
      <c r="B1272" s="13" t="s">
        <v>2478</v>
      </c>
      <c r="C1272" s="14">
        <v>45943</v>
      </c>
      <c r="D1272" s="13">
        <v>2025</v>
      </c>
      <c r="E1272" s="13" t="s">
        <v>14</v>
      </c>
      <c r="F1272" s="13" t="s">
        <v>22</v>
      </c>
      <c r="G1272" s="15">
        <v>1207.03</v>
      </c>
      <c r="H1272" s="15">
        <v>1207.03</v>
      </c>
      <c r="I1272" s="13">
        <v>9</v>
      </c>
      <c r="J1272" s="13">
        <v>9</v>
      </c>
      <c r="K1272" s="13" t="s">
        <v>35</v>
      </c>
      <c r="L1272" s="15">
        <v>134.11444444444444</v>
      </c>
      <c r="M1272" s="16">
        <v>134.11444444444444</v>
      </c>
    </row>
    <row r="1273" spans="1:13" s="5" customFormat="1" x14ac:dyDescent="0.25">
      <c r="A1273" s="12" t="s">
        <v>2479</v>
      </c>
      <c r="B1273" s="13" t="s">
        <v>2480</v>
      </c>
      <c r="C1273" s="14">
        <v>45871</v>
      </c>
      <c r="D1273" s="13">
        <v>2025</v>
      </c>
      <c r="E1273" s="13" t="s">
        <v>10</v>
      </c>
      <c r="F1273" s="13" t="s">
        <v>34</v>
      </c>
      <c r="G1273" s="15"/>
      <c r="H1273" s="15">
        <v>2275.9460317460316</v>
      </c>
      <c r="I1273" s="13">
        <v>10</v>
      </c>
      <c r="J1273" s="13">
        <v>10</v>
      </c>
      <c r="K1273" s="13" t="s">
        <v>18</v>
      </c>
      <c r="L1273" s="15">
        <v>227.59460317460315</v>
      </c>
      <c r="M1273" s="16">
        <v>227.59460317460318</v>
      </c>
    </row>
    <row r="1274" spans="1:13" s="5" customFormat="1" x14ac:dyDescent="0.25">
      <c r="A1274" s="12" t="s">
        <v>2481</v>
      </c>
      <c r="B1274" s="13" t="s">
        <v>2482</v>
      </c>
      <c r="C1274" s="14">
        <v>45715</v>
      </c>
      <c r="D1274" s="13">
        <v>2025</v>
      </c>
      <c r="E1274" s="13" t="s">
        <v>14</v>
      </c>
      <c r="F1274" s="13" t="s">
        <v>34</v>
      </c>
      <c r="G1274" s="15">
        <v>1187.8599999999999</v>
      </c>
      <c r="H1274" s="15">
        <v>1187.8599999999999</v>
      </c>
      <c r="I1274" s="13">
        <v>9</v>
      </c>
      <c r="J1274" s="13">
        <v>9</v>
      </c>
      <c r="K1274" s="13" t="s">
        <v>3348</v>
      </c>
      <c r="L1274" s="15">
        <v>131.98444444444442</v>
      </c>
      <c r="M1274" s="16">
        <v>131.98444444444442</v>
      </c>
    </row>
    <row r="1275" spans="1:13" s="5" customFormat="1" x14ac:dyDescent="0.25">
      <c r="A1275" s="12" t="s">
        <v>2483</v>
      </c>
      <c r="B1275" s="13" t="s">
        <v>415</v>
      </c>
      <c r="C1275" s="14">
        <v>45244</v>
      </c>
      <c r="D1275" s="13">
        <v>2023</v>
      </c>
      <c r="E1275" s="13" t="s">
        <v>14</v>
      </c>
      <c r="F1275" s="13" t="s">
        <v>34</v>
      </c>
      <c r="G1275" s="15">
        <v>1613.95</v>
      </c>
      <c r="H1275" s="15">
        <v>1613.95</v>
      </c>
      <c r="I1275" s="13">
        <v>9</v>
      </c>
      <c r="J1275" s="13">
        <v>9</v>
      </c>
      <c r="K1275" s="13" t="s">
        <v>35</v>
      </c>
      <c r="L1275" s="15">
        <v>179.32777777777778</v>
      </c>
      <c r="M1275" s="16">
        <v>179.32777777777778</v>
      </c>
    </row>
    <row r="1276" spans="1:13" s="5" customFormat="1" x14ac:dyDescent="0.25">
      <c r="A1276" s="12" t="s">
        <v>2484</v>
      </c>
      <c r="B1276" s="13" t="s">
        <v>2485</v>
      </c>
      <c r="C1276" s="14">
        <v>45926</v>
      </c>
      <c r="D1276" s="13">
        <v>2025</v>
      </c>
      <c r="E1276" s="13" t="s">
        <v>10</v>
      </c>
      <c r="F1276" s="13" t="s">
        <v>22</v>
      </c>
      <c r="G1276" s="15">
        <v>296.85000000000002</v>
      </c>
      <c r="H1276" s="15">
        <v>296.85000000000002</v>
      </c>
      <c r="I1276" s="13">
        <v>2</v>
      </c>
      <c r="J1276" s="13">
        <v>2</v>
      </c>
      <c r="K1276" s="13" t="s">
        <v>35</v>
      </c>
      <c r="L1276" s="15">
        <v>148.42500000000001</v>
      </c>
      <c r="M1276" s="16">
        <v>148.42500000000001</v>
      </c>
    </row>
    <row r="1277" spans="1:13" s="5" customFormat="1" x14ac:dyDescent="0.25">
      <c r="A1277" s="12" t="s">
        <v>2486</v>
      </c>
      <c r="B1277" s="13" t="s">
        <v>2487</v>
      </c>
      <c r="C1277" s="14">
        <v>45906</v>
      </c>
      <c r="D1277" s="13">
        <v>2025</v>
      </c>
      <c r="E1277" s="13" t="s">
        <v>10</v>
      </c>
      <c r="F1277" s="13" t="s">
        <v>25</v>
      </c>
      <c r="G1277" s="15">
        <v>1099.58</v>
      </c>
      <c r="H1277" s="15">
        <v>1099.58</v>
      </c>
      <c r="I1277" s="13">
        <v>7</v>
      </c>
      <c r="J1277" s="13">
        <v>7</v>
      </c>
      <c r="K1277" s="13" t="s">
        <v>18</v>
      </c>
      <c r="L1277" s="15">
        <v>157.08285714285714</v>
      </c>
      <c r="M1277" s="16">
        <v>157.08285714285714</v>
      </c>
    </row>
    <row r="1278" spans="1:13" s="5" customFormat="1" x14ac:dyDescent="0.25">
      <c r="A1278" s="12" t="s">
        <v>2488</v>
      </c>
      <c r="B1278" s="13" t="s">
        <v>1415</v>
      </c>
      <c r="C1278" s="14">
        <v>45739</v>
      </c>
      <c r="D1278" s="13">
        <v>2025</v>
      </c>
      <c r="E1278" s="13" t="s">
        <v>21</v>
      </c>
      <c r="F1278" s="13" t="s">
        <v>25</v>
      </c>
      <c r="G1278" s="15">
        <v>1527.22</v>
      </c>
      <c r="H1278" s="15">
        <v>1527.22</v>
      </c>
      <c r="I1278" s="13">
        <v>10</v>
      </c>
      <c r="J1278" s="13">
        <v>10</v>
      </c>
      <c r="K1278" s="13" t="s">
        <v>35</v>
      </c>
      <c r="L1278" s="15">
        <v>152.72200000000001</v>
      </c>
      <c r="M1278" s="16">
        <v>152.72200000000001</v>
      </c>
    </row>
    <row r="1279" spans="1:13" s="5" customFormat="1" x14ac:dyDescent="0.25">
      <c r="A1279" s="12" t="s">
        <v>2489</v>
      </c>
      <c r="B1279" s="13" t="s">
        <v>2490</v>
      </c>
      <c r="C1279" s="14">
        <v>45505</v>
      </c>
      <c r="D1279" s="13">
        <v>2024</v>
      </c>
      <c r="E1279" s="13" t="s">
        <v>14</v>
      </c>
      <c r="F1279" s="13" t="s">
        <v>34</v>
      </c>
      <c r="G1279" s="15">
        <v>1848.53</v>
      </c>
      <c r="H1279" s="15">
        <v>1848.53</v>
      </c>
      <c r="I1279" s="13">
        <v>5</v>
      </c>
      <c r="J1279" s="13">
        <v>5</v>
      </c>
      <c r="K1279" s="13" t="s">
        <v>15</v>
      </c>
      <c r="L1279" s="15">
        <v>369.70600000000002</v>
      </c>
      <c r="M1279" s="16">
        <v>369.70600000000002</v>
      </c>
    </row>
    <row r="1280" spans="1:13" s="5" customFormat="1" x14ac:dyDescent="0.25">
      <c r="A1280" s="12" t="s">
        <v>2491</v>
      </c>
      <c r="B1280" s="13" t="s">
        <v>2492</v>
      </c>
      <c r="C1280" s="14">
        <v>44914</v>
      </c>
      <c r="D1280" s="13">
        <v>2022</v>
      </c>
      <c r="E1280" s="13" t="s">
        <v>10</v>
      </c>
      <c r="F1280" s="13" t="s">
        <v>11</v>
      </c>
      <c r="G1280" s="15">
        <v>776.61</v>
      </c>
      <c r="H1280" s="15">
        <v>776.61</v>
      </c>
      <c r="I1280" s="13">
        <v>10</v>
      </c>
      <c r="J1280" s="13">
        <v>10</v>
      </c>
      <c r="K1280" s="13" t="s">
        <v>35</v>
      </c>
      <c r="L1280" s="15">
        <v>77.661000000000001</v>
      </c>
      <c r="M1280" s="16">
        <v>77.661000000000001</v>
      </c>
    </row>
    <row r="1281" spans="1:13" s="5" customFormat="1" x14ac:dyDescent="0.25">
      <c r="A1281" s="12" t="s">
        <v>2493</v>
      </c>
      <c r="B1281" s="13" t="s">
        <v>2129</v>
      </c>
      <c r="C1281" s="14">
        <v>45011</v>
      </c>
      <c r="D1281" s="13">
        <v>2023</v>
      </c>
      <c r="E1281" s="13" t="s">
        <v>10</v>
      </c>
      <c r="F1281" s="13" t="s">
        <v>11</v>
      </c>
      <c r="G1281" s="15">
        <v>1453.47</v>
      </c>
      <c r="H1281" s="15">
        <v>1453.47</v>
      </c>
      <c r="I1281" s="13">
        <v>7</v>
      </c>
      <c r="J1281" s="13">
        <v>7</v>
      </c>
      <c r="K1281" s="13" t="s">
        <v>15</v>
      </c>
      <c r="L1281" s="15">
        <v>207.63857142857142</v>
      </c>
      <c r="M1281" s="16">
        <v>207.63857142857142</v>
      </c>
    </row>
    <row r="1282" spans="1:13" s="5" customFormat="1" x14ac:dyDescent="0.25">
      <c r="A1282" s="12" t="s">
        <v>2494</v>
      </c>
      <c r="B1282" s="13" t="s">
        <v>2495</v>
      </c>
      <c r="C1282" s="14">
        <v>45753</v>
      </c>
      <c r="D1282" s="13">
        <v>2025</v>
      </c>
      <c r="E1282" s="13" t="s">
        <v>14</v>
      </c>
      <c r="F1282" s="13" t="s">
        <v>11</v>
      </c>
      <c r="G1282" s="15">
        <v>1429.63</v>
      </c>
      <c r="H1282" s="15">
        <v>1429.63</v>
      </c>
      <c r="I1282" s="13">
        <v>7</v>
      </c>
      <c r="J1282" s="13">
        <v>7</v>
      </c>
      <c r="K1282" s="13" t="s">
        <v>3346</v>
      </c>
      <c r="L1282" s="15">
        <v>204.23285714285717</v>
      </c>
      <c r="M1282" s="16">
        <v>204.23285714285717</v>
      </c>
    </row>
    <row r="1283" spans="1:13" s="5" customFormat="1" x14ac:dyDescent="0.25">
      <c r="A1283" s="12" t="s">
        <v>2496</v>
      </c>
      <c r="B1283" s="13" t="s">
        <v>2497</v>
      </c>
      <c r="C1283" s="14">
        <v>45264</v>
      </c>
      <c r="D1283" s="13">
        <v>2023</v>
      </c>
      <c r="E1283" s="13" t="s">
        <v>14</v>
      </c>
      <c r="F1283" s="13" t="s">
        <v>25</v>
      </c>
      <c r="G1283" s="15">
        <v>1048.6300000000001</v>
      </c>
      <c r="H1283" s="15">
        <v>1048.6300000000001</v>
      </c>
      <c r="I1283" s="13">
        <v>3</v>
      </c>
      <c r="J1283" s="13">
        <v>3</v>
      </c>
      <c r="K1283" s="13" t="s">
        <v>3348</v>
      </c>
      <c r="L1283" s="15">
        <v>349.54333333333335</v>
      </c>
      <c r="M1283" s="16">
        <v>349.54333333333335</v>
      </c>
    </row>
    <row r="1284" spans="1:13" s="5" customFormat="1" x14ac:dyDescent="0.25">
      <c r="A1284" s="12" t="s">
        <v>2498</v>
      </c>
      <c r="B1284" s="13" t="s">
        <v>2499</v>
      </c>
      <c r="C1284" s="14">
        <v>45900</v>
      </c>
      <c r="D1284" s="13">
        <v>2025</v>
      </c>
      <c r="E1284" s="13" t="s">
        <v>14</v>
      </c>
      <c r="F1284" s="13" t="s">
        <v>25</v>
      </c>
      <c r="G1284" s="15">
        <v>1323.48</v>
      </c>
      <c r="H1284" s="15">
        <v>1323.48</v>
      </c>
      <c r="I1284" s="13">
        <v>2</v>
      </c>
      <c r="J1284" s="13">
        <v>2</v>
      </c>
      <c r="K1284" s="13" t="s">
        <v>15</v>
      </c>
      <c r="L1284" s="15">
        <v>661.74</v>
      </c>
      <c r="M1284" s="16">
        <v>661.74</v>
      </c>
    </row>
    <row r="1285" spans="1:13" s="5" customFormat="1" x14ac:dyDescent="0.25">
      <c r="A1285" s="12" t="s">
        <v>2500</v>
      </c>
      <c r="B1285" s="13" t="s">
        <v>2501</v>
      </c>
      <c r="C1285" s="14">
        <v>45151</v>
      </c>
      <c r="D1285" s="13">
        <v>2023</v>
      </c>
      <c r="E1285" s="13" t="s">
        <v>3347</v>
      </c>
      <c r="F1285" s="13" t="s">
        <v>11</v>
      </c>
      <c r="G1285" s="15">
        <v>1209.46</v>
      </c>
      <c r="H1285" s="15">
        <v>1209.46</v>
      </c>
      <c r="I1285" s="13">
        <v>1</v>
      </c>
      <c r="J1285" s="13">
        <v>1</v>
      </c>
      <c r="K1285" s="13" t="s">
        <v>18</v>
      </c>
      <c r="L1285" s="15">
        <v>1209.46</v>
      </c>
      <c r="M1285" s="16">
        <v>1209.46</v>
      </c>
    </row>
    <row r="1286" spans="1:13" s="5" customFormat="1" x14ac:dyDescent="0.25">
      <c r="A1286" s="12" t="s">
        <v>2502</v>
      </c>
      <c r="B1286" s="13" t="s">
        <v>2220</v>
      </c>
      <c r="C1286" s="14">
        <v>45095</v>
      </c>
      <c r="D1286" s="13">
        <v>2023</v>
      </c>
      <c r="E1286" s="13" t="s">
        <v>3347</v>
      </c>
      <c r="F1286" s="13" t="s">
        <v>22</v>
      </c>
      <c r="G1286" s="15">
        <v>1378.75</v>
      </c>
      <c r="H1286" s="15">
        <v>1378.75</v>
      </c>
      <c r="I1286" s="13">
        <v>6</v>
      </c>
      <c r="J1286" s="13">
        <v>6</v>
      </c>
      <c r="K1286" s="13" t="s">
        <v>15</v>
      </c>
      <c r="L1286" s="15">
        <v>229.79166666666666</v>
      </c>
      <c r="M1286" s="16">
        <v>229.79166666666666</v>
      </c>
    </row>
    <row r="1287" spans="1:13" s="5" customFormat="1" x14ac:dyDescent="0.25">
      <c r="A1287" s="12" t="s">
        <v>2503</v>
      </c>
      <c r="B1287" s="13" t="s">
        <v>2182</v>
      </c>
      <c r="C1287" s="14">
        <v>44980</v>
      </c>
      <c r="D1287" s="13">
        <v>2023</v>
      </c>
      <c r="E1287" s="13" t="s">
        <v>21</v>
      </c>
      <c r="F1287" s="13" t="s">
        <v>25</v>
      </c>
      <c r="G1287" s="15">
        <v>852.12</v>
      </c>
      <c r="H1287" s="15">
        <v>852.12</v>
      </c>
      <c r="I1287" s="13">
        <v>7</v>
      </c>
      <c r="J1287" s="13">
        <v>7</v>
      </c>
      <c r="K1287" s="13" t="s">
        <v>3348</v>
      </c>
      <c r="L1287" s="15">
        <v>121.73142857142857</v>
      </c>
      <c r="M1287" s="16">
        <v>121.73142857142857</v>
      </c>
    </row>
    <row r="1288" spans="1:13" s="5" customFormat="1" x14ac:dyDescent="0.25">
      <c r="A1288" s="12" t="s">
        <v>2504</v>
      </c>
      <c r="B1288" s="13" t="s">
        <v>2505</v>
      </c>
      <c r="C1288" s="14">
        <v>45609</v>
      </c>
      <c r="D1288" s="13">
        <v>2024</v>
      </c>
      <c r="E1288" s="13" t="s">
        <v>14</v>
      </c>
      <c r="F1288" s="13" t="s">
        <v>25</v>
      </c>
      <c r="G1288" s="15">
        <v>1816.86</v>
      </c>
      <c r="H1288" s="15">
        <v>1816.86</v>
      </c>
      <c r="I1288" s="13">
        <v>2</v>
      </c>
      <c r="J1288" s="13">
        <v>2</v>
      </c>
      <c r="K1288" s="13" t="s">
        <v>18</v>
      </c>
      <c r="L1288" s="15">
        <v>908.43</v>
      </c>
      <c r="M1288" s="16">
        <v>908.43</v>
      </c>
    </row>
    <row r="1289" spans="1:13" s="5" customFormat="1" x14ac:dyDescent="0.25">
      <c r="A1289" s="12" t="s">
        <v>2506</v>
      </c>
      <c r="B1289" s="13" t="s">
        <v>2507</v>
      </c>
      <c r="C1289" s="14">
        <v>45622</v>
      </c>
      <c r="D1289" s="13">
        <v>2024</v>
      </c>
      <c r="E1289" s="13" t="s">
        <v>3347</v>
      </c>
      <c r="F1289" s="13" t="s">
        <v>34</v>
      </c>
      <c r="G1289" s="15">
        <v>1237.02</v>
      </c>
      <c r="H1289" s="15">
        <v>1237.02</v>
      </c>
      <c r="I1289" s="13">
        <v>4</v>
      </c>
      <c r="J1289" s="13">
        <v>4</v>
      </c>
      <c r="K1289" s="13" t="s">
        <v>3346</v>
      </c>
      <c r="L1289" s="15">
        <v>309.255</v>
      </c>
      <c r="M1289" s="16">
        <v>309.255</v>
      </c>
    </row>
    <row r="1290" spans="1:13" s="5" customFormat="1" x14ac:dyDescent="0.25">
      <c r="A1290" s="12" t="s">
        <v>2508</v>
      </c>
      <c r="B1290" s="13" t="s">
        <v>1319</v>
      </c>
      <c r="C1290" s="14">
        <v>45763</v>
      </c>
      <c r="D1290" s="13">
        <v>2025</v>
      </c>
      <c r="E1290" s="13" t="s">
        <v>14</v>
      </c>
      <c r="F1290" s="13" t="s">
        <v>34</v>
      </c>
      <c r="G1290" s="15">
        <v>164.78</v>
      </c>
      <c r="H1290" s="15">
        <v>164.78</v>
      </c>
      <c r="I1290" s="13">
        <v>3</v>
      </c>
      <c r="J1290" s="13">
        <v>3</v>
      </c>
      <c r="K1290" s="13" t="s">
        <v>18</v>
      </c>
      <c r="L1290" s="15">
        <v>54.926666666666669</v>
      </c>
      <c r="M1290" s="16">
        <v>54.926666666666669</v>
      </c>
    </row>
    <row r="1291" spans="1:13" s="5" customFormat="1" x14ac:dyDescent="0.25">
      <c r="A1291" s="12" t="s">
        <v>2509</v>
      </c>
      <c r="B1291" s="13" t="s">
        <v>2510</v>
      </c>
      <c r="C1291" s="14">
        <v>45082</v>
      </c>
      <c r="D1291" s="13">
        <v>2023</v>
      </c>
      <c r="E1291" s="13" t="s">
        <v>3347</v>
      </c>
      <c r="F1291" s="13" t="s">
        <v>25</v>
      </c>
      <c r="G1291" s="15">
        <v>610.70000000000005</v>
      </c>
      <c r="H1291" s="15">
        <v>610.70000000000005</v>
      </c>
      <c r="I1291" s="13">
        <v>8</v>
      </c>
      <c r="J1291" s="13">
        <v>8</v>
      </c>
      <c r="K1291" s="13" t="s">
        <v>15</v>
      </c>
      <c r="L1291" s="15">
        <v>76.337500000000006</v>
      </c>
      <c r="M1291" s="16">
        <v>76.337500000000006</v>
      </c>
    </row>
    <row r="1292" spans="1:13" s="5" customFormat="1" x14ac:dyDescent="0.25">
      <c r="A1292" s="12" t="s">
        <v>2511</v>
      </c>
      <c r="B1292" s="13" t="s">
        <v>2512</v>
      </c>
      <c r="C1292" s="14">
        <v>45827</v>
      </c>
      <c r="D1292" s="13">
        <v>2025</v>
      </c>
      <c r="E1292" s="13" t="s">
        <v>10</v>
      </c>
      <c r="F1292" s="13" t="s">
        <v>22</v>
      </c>
      <c r="G1292" s="15">
        <v>12.05</v>
      </c>
      <c r="H1292" s="15">
        <v>12.05</v>
      </c>
      <c r="I1292" s="13">
        <v>2</v>
      </c>
      <c r="J1292" s="13">
        <v>2</v>
      </c>
      <c r="K1292" s="13" t="s">
        <v>15</v>
      </c>
      <c r="L1292" s="15">
        <v>6.0250000000000004</v>
      </c>
      <c r="M1292" s="16">
        <v>6.0250000000000004</v>
      </c>
    </row>
    <row r="1293" spans="1:13" s="5" customFormat="1" x14ac:dyDescent="0.25">
      <c r="A1293" s="12" t="s">
        <v>2513</v>
      </c>
      <c r="B1293" s="13" t="s">
        <v>2514</v>
      </c>
      <c r="C1293" s="14">
        <v>45160</v>
      </c>
      <c r="D1293" s="13">
        <v>2023</v>
      </c>
      <c r="E1293" s="13" t="s">
        <v>10</v>
      </c>
      <c r="F1293" s="13" t="s">
        <v>11</v>
      </c>
      <c r="G1293" s="15">
        <v>1912.4</v>
      </c>
      <c r="H1293" s="15">
        <v>1912.4</v>
      </c>
      <c r="I1293" s="13">
        <v>2</v>
      </c>
      <c r="J1293" s="13">
        <v>2</v>
      </c>
      <c r="K1293" s="13" t="s">
        <v>3348</v>
      </c>
      <c r="L1293" s="15">
        <v>956.2</v>
      </c>
      <c r="M1293" s="16">
        <v>956.2</v>
      </c>
    </row>
    <row r="1294" spans="1:13" s="5" customFormat="1" x14ac:dyDescent="0.25">
      <c r="A1294" s="12" t="s">
        <v>2515</v>
      </c>
      <c r="B1294" s="13" t="s">
        <v>2516</v>
      </c>
      <c r="C1294" s="14">
        <v>45450</v>
      </c>
      <c r="D1294" s="13">
        <v>2024</v>
      </c>
      <c r="E1294" s="13" t="s">
        <v>3347</v>
      </c>
      <c r="F1294" s="13" t="s">
        <v>34</v>
      </c>
      <c r="G1294" s="15">
        <v>1993.99</v>
      </c>
      <c r="H1294" s="15">
        <v>1993.99</v>
      </c>
      <c r="I1294" s="13">
        <v>1</v>
      </c>
      <c r="J1294" s="13">
        <v>1</v>
      </c>
      <c r="K1294" s="13" t="s">
        <v>18</v>
      </c>
      <c r="L1294" s="15">
        <v>1993.99</v>
      </c>
      <c r="M1294" s="16">
        <v>1993.99</v>
      </c>
    </row>
    <row r="1295" spans="1:13" s="5" customFormat="1" x14ac:dyDescent="0.25">
      <c r="A1295" s="12" t="s">
        <v>2517</v>
      </c>
      <c r="B1295" s="13" t="s">
        <v>2518</v>
      </c>
      <c r="C1295" s="14">
        <v>45173</v>
      </c>
      <c r="D1295" s="13">
        <v>2023</v>
      </c>
      <c r="E1295" s="13" t="s">
        <v>14</v>
      </c>
      <c r="F1295" s="13" t="s">
        <v>25</v>
      </c>
      <c r="G1295" s="15">
        <v>1386.56</v>
      </c>
      <c r="H1295" s="15">
        <v>1386.56</v>
      </c>
      <c r="I1295" s="13"/>
      <c r="J1295" s="13">
        <v>3</v>
      </c>
      <c r="K1295" s="13" t="s">
        <v>18</v>
      </c>
      <c r="L1295" s="15">
        <v>462.18666666666667</v>
      </c>
      <c r="M1295" s="16">
        <v>500.10511666666662</v>
      </c>
    </row>
    <row r="1296" spans="1:13" s="5" customFormat="1" x14ac:dyDescent="0.25">
      <c r="A1296" s="12" t="s">
        <v>2519</v>
      </c>
      <c r="B1296" s="13" t="s">
        <v>2520</v>
      </c>
      <c r="C1296" s="14">
        <v>45550</v>
      </c>
      <c r="D1296" s="13">
        <v>2024</v>
      </c>
      <c r="E1296" s="13" t="s">
        <v>21</v>
      </c>
      <c r="F1296" s="13" t="s">
        <v>34</v>
      </c>
      <c r="G1296" s="15">
        <v>1776.6</v>
      </c>
      <c r="H1296" s="15">
        <v>1776.6</v>
      </c>
      <c r="I1296" s="13">
        <v>3</v>
      </c>
      <c r="J1296" s="13">
        <v>3</v>
      </c>
      <c r="K1296" s="13" t="s">
        <v>18</v>
      </c>
      <c r="L1296" s="15">
        <v>592.19999999999993</v>
      </c>
      <c r="M1296" s="16">
        <v>592.19999999999993</v>
      </c>
    </row>
    <row r="1297" spans="1:13" s="5" customFormat="1" x14ac:dyDescent="0.25">
      <c r="A1297" s="12" t="s">
        <v>2521</v>
      </c>
      <c r="B1297" s="13" t="s">
        <v>2522</v>
      </c>
      <c r="C1297" s="14">
        <v>45276</v>
      </c>
      <c r="D1297" s="13">
        <v>2023</v>
      </c>
      <c r="E1297" s="13" t="s">
        <v>21</v>
      </c>
      <c r="F1297" s="13" t="s">
        <v>34</v>
      </c>
      <c r="G1297" s="15">
        <v>1975.95</v>
      </c>
      <c r="H1297" s="15">
        <v>1975.95</v>
      </c>
      <c r="I1297" s="13">
        <v>5</v>
      </c>
      <c r="J1297" s="13">
        <v>5</v>
      </c>
      <c r="K1297" s="13" t="s">
        <v>3346</v>
      </c>
      <c r="L1297" s="15">
        <v>395.19</v>
      </c>
      <c r="M1297" s="16">
        <v>395.19</v>
      </c>
    </row>
    <row r="1298" spans="1:13" s="5" customFormat="1" x14ac:dyDescent="0.25">
      <c r="A1298" s="12" t="s">
        <v>2523</v>
      </c>
      <c r="B1298" s="13" t="s">
        <v>2524</v>
      </c>
      <c r="C1298" s="14">
        <v>45753</v>
      </c>
      <c r="D1298" s="13">
        <v>2025</v>
      </c>
      <c r="E1298" s="13" t="s">
        <v>10</v>
      </c>
      <c r="F1298" s="13" t="s">
        <v>11</v>
      </c>
      <c r="G1298" s="15">
        <v>730.55</v>
      </c>
      <c r="H1298" s="15">
        <v>730.55</v>
      </c>
      <c r="I1298" s="13">
        <v>6</v>
      </c>
      <c r="J1298" s="13">
        <v>6</v>
      </c>
      <c r="K1298" s="13" t="s">
        <v>35</v>
      </c>
      <c r="L1298" s="15">
        <v>121.75833333333333</v>
      </c>
      <c r="M1298" s="16">
        <v>121.75833333333333</v>
      </c>
    </row>
    <row r="1299" spans="1:13" s="5" customFormat="1" x14ac:dyDescent="0.25">
      <c r="A1299" s="12" t="s">
        <v>2525</v>
      </c>
      <c r="B1299" s="13" t="s">
        <v>1927</v>
      </c>
      <c r="C1299" s="14">
        <v>45350</v>
      </c>
      <c r="D1299" s="13">
        <v>2024</v>
      </c>
      <c r="E1299" s="13" t="s">
        <v>14</v>
      </c>
      <c r="F1299" s="13" t="s">
        <v>11</v>
      </c>
      <c r="G1299" s="15"/>
      <c r="H1299" s="15">
        <v>3548.2821388888883</v>
      </c>
      <c r="I1299" s="13">
        <v>4</v>
      </c>
      <c r="J1299" s="13">
        <v>4</v>
      </c>
      <c r="K1299" s="13" t="s">
        <v>3348</v>
      </c>
      <c r="L1299" s="15">
        <v>1250.9749999999999</v>
      </c>
      <c r="M1299" s="16">
        <v>1250.9749999999999</v>
      </c>
    </row>
    <row r="1300" spans="1:13" s="5" customFormat="1" x14ac:dyDescent="0.25">
      <c r="A1300" s="12" t="s">
        <v>2526</v>
      </c>
      <c r="B1300" s="13" t="s">
        <v>2527</v>
      </c>
      <c r="C1300" s="14">
        <v>45517</v>
      </c>
      <c r="D1300" s="13">
        <v>2024</v>
      </c>
      <c r="E1300" s="13" t="s">
        <v>10</v>
      </c>
      <c r="F1300" s="13" t="s">
        <v>34</v>
      </c>
      <c r="G1300" s="15">
        <v>1924.1</v>
      </c>
      <c r="H1300" s="15">
        <v>1924.1</v>
      </c>
      <c r="I1300" s="13">
        <v>2</v>
      </c>
      <c r="J1300" s="13">
        <v>2</v>
      </c>
      <c r="K1300" s="13" t="s">
        <v>18</v>
      </c>
      <c r="L1300" s="15">
        <v>962.05</v>
      </c>
      <c r="M1300" s="16">
        <v>962.05</v>
      </c>
    </row>
    <row r="1301" spans="1:13" s="5" customFormat="1" x14ac:dyDescent="0.25">
      <c r="A1301" s="12" t="s">
        <v>2528</v>
      </c>
      <c r="B1301" s="13" t="s">
        <v>2529</v>
      </c>
      <c r="C1301" s="14">
        <v>45183</v>
      </c>
      <c r="D1301" s="13">
        <v>2023</v>
      </c>
      <c r="E1301" s="13" t="s">
        <v>21</v>
      </c>
      <c r="F1301" s="13" t="s">
        <v>22</v>
      </c>
      <c r="G1301" s="15">
        <v>1714.56</v>
      </c>
      <c r="H1301" s="15">
        <v>1714.56</v>
      </c>
      <c r="I1301" s="13">
        <v>6</v>
      </c>
      <c r="J1301" s="13">
        <v>6</v>
      </c>
      <c r="K1301" s="13" t="s">
        <v>15</v>
      </c>
      <c r="L1301" s="15">
        <v>285.76</v>
      </c>
      <c r="M1301" s="16">
        <v>285.76</v>
      </c>
    </row>
    <row r="1302" spans="1:13" s="5" customFormat="1" x14ac:dyDescent="0.25">
      <c r="A1302" s="12" t="s">
        <v>2530</v>
      </c>
      <c r="B1302" s="13" t="s">
        <v>2531</v>
      </c>
      <c r="C1302" s="14">
        <v>45931</v>
      </c>
      <c r="D1302" s="13">
        <v>2025</v>
      </c>
      <c r="E1302" s="13" t="s">
        <v>3347</v>
      </c>
      <c r="F1302" s="13" t="s">
        <v>34</v>
      </c>
      <c r="G1302" s="15">
        <v>547.34</v>
      </c>
      <c r="H1302" s="15">
        <v>547.34</v>
      </c>
      <c r="I1302" s="13">
        <v>7</v>
      </c>
      <c r="J1302" s="13">
        <v>7</v>
      </c>
      <c r="K1302" s="13" t="s">
        <v>15</v>
      </c>
      <c r="L1302" s="15">
        <v>78.191428571428574</v>
      </c>
      <c r="M1302" s="16">
        <v>78.191428571428574</v>
      </c>
    </row>
    <row r="1303" spans="1:13" s="5" customFormat="1" x14ac:dyDescent="0.25">
      <c r="A1303" s="12" t="s">
        <v>2532</v>
      </c>
      <c r="B1303" s="13" t="s">
        <v>2533</v>
      </c>
      <c r="C1303" s="14">
        <v>45388</v>
      </c>
      <c r="D1303" s="13">
        <v>2024</v>
      </c>
      <c r="E1303" s="13" t="s">
        <v>21</v>
      </c>
      <c r="F1303" s="13" t="s">
        <v>25</v>
      </c>
      <c r="G1303" s="15">
        <v>871.29</v>
      </c>
      <c r="H1303" s="15">
        <v>871.29</v>
      </c>
      <c r="I1303" s="13">
        <v>4</v>
      </c>
      <c r="J1303" s="13">
        <v>4</v>
      </c>
      <c r="K1303" s="13" t="s">
        <v>18</v>
      </c>
      <c r="L1303" s="15">
        <v>217.82249999999999</v>
      </c>
      <c r="M1303" s="16">
        <v>217.82249999999999</v>
      </c>
    </row>
    <row r="1304" spans="1:13" s="5" customFormat="1" x14ac:dyDescent="0.25">
      <c r="A1304" s="12" t="s">
        <v>2534</v>
      </c>
      <c r="B1304" s="13" t="s">
        <v>2535</v>
      </c>
      <c r="C1304" s="14">
        <v>45056</v>
      </c>
      <c r="D1304" s="13">
        <v>2023</v>
      </c>
      <c r="E1304" s="13" t="s">
        <v>10</v>
      </c>
      <c r="F1304" s="13" t="s">
        <v>34</v>
      </c>
      <c r="G1304" s="15">
        <v>1143.9000000000001</v>
      </c>
      <c r="H1304" s="15">
        <v>1143.9000000000001</v>
      </c>
      <c r="I1304" s="13">
        <v>4</v>
      </c>
      <c r="J1304" s="13">
        <v>4</v>
      </c>
      <c r="K1304" s="13" t="s">
        <v>3346</v>
      </c>
      <c r="L1304" s="15">
        <v>285.97500000000002</v>
      </c>
      <c r="M1304" s="16">
        <v>285.97500000000002</v>
      </c>
    </row>
    <row r="1305" spans="1:13" s="5" customFormat="1" x14ac:dyDescent="0.25">
      <c r="A1305" s="12" t="s">
        <v>2536</v>
      </c>
      <c r="B1305" s="13" t="s">
        <v>2537</v>
      </c>
      <c r="C1305" s="14">
        <v>45182</v>
      </c>
      <c r="D1305" s="13">
        <v>2023</v>
      </c>
      <c r="E1305" s="13" t="s">
        <v>21</v>
      </c>
      <c r="F1305" s="13" t="s">
        <v>25</v>
      </c>
      <c r="G1305" s="15">
        <v>199.91</v>
      </c>
      <c r="H1305" s="15">
        <v>199.91</v>
      </c>
      <c r="I1305" s="13">
        <v>7</v>
      </c>
      <c r="J1305" s="13">
        <v>7</v>
      </c>
      <c r="K1305" s="13" t="s">
        <v>35</v>
      </c>
      <c r="L1305" s="15">
        <v>28.55857142857143</v>
      </c>
      <c r="M1305" s="16">
        <v>28.55857142857143</v>
      </c>
    </row>
    <row r="1306" spans="1:13" s="5" customFormat="1" x14ac:dyDescent="0.25">
      <c r="A1306" s="12" t="s">
        <v>2538</v>
      </c>
      <c r="B1306" s="13" t="s">
        <v>2539</v>
      </c>
      <c r="C1306" s="14">
        <v>45704</v>
      </c>
      <c r="D1306" s="13">
        <v>2025</v>
      </c>
      <c r="E1306" s="13" t="s">
        <v>3347</v>
      </c>
      <c r="F1306" s="13" t="s">
        <v>25</v>
      </c>
      <c r="G1306" s="15">
        <v>1974.79</v>
      </c>
      <c r="H1306" s="15">
        <v>1974.79</v>
      </c>
      <c r="I1306" s="13"/>
      <c r="J1306" s="13">
        <v>10</v>
      </c>
      <c r="K1306" s="13" t="s">
        <v>18</v>
      </c>
      <c r="L1306" s="15">
        <v>179.52636363636364</v>
      </c>
      <c r="M1306" s="16">
        <v>179.03353571428573</v>
      </c>
    </row>
    <row r="1307" spans="1:13" s="5" customFormat="1" x14ac:dyDescent="0.25">
      <c r="A1307" s="12" t="s">
        <v>2540</v>
      </c>
      <c r="B1307" s="13" t="s">
        <v>2541</v>
      </c>
      <c r="C1307" s="14">
        <v>45938</v>
      </c>
      <c r="D1307" s="13">
        <v>2025</v>
      </c>
      <c r="E1307" s="13" t="s">
        <v>21</v>
      </c>
      <c r="F1307" s="13" t="s">
        <v>25</v>
      </c>
      <c r="G1307" s="15">
        <v>135.61000000000001</v>
      </c>
      <c r="H1307" s="15">
        <v>135.61000000000001</v>
      </c>
      <c r="I1307" s="13">
        <v>6</v>
      </c>
      <c r="J1307" s="13">
        <v>6</v>
      </c>
      <c r="K1307" s="13" t="s">
        <v>3348</v>
      </c>
      <c r="L1307" s="15">
        <v>22.60166666666667</v>
      </c>
      <c r="M1307" s="16">
        <v>22.60166666666667</v>
      </c>
    </row>
    <row r="1308" spans="1:13" s="5" customFormat="1" x14ac:dyDescent="0.25">
      <c r="A1308" s="12" t="s">
        <v>2542</v>
      </c>
      <c r="B1308" s="13" t="s">
        <v>2543</v>
      </c>
      <c r="C1308" s="14">
        <v>45556</v>
      </c>
      <c r="D1308" s="13">
        <v>2024</v>
      </c>
      <c r="E1308" s="13" t="s">
        <v>3347</v>
      </c>
      <c r="F1308" s="13" t="s">
        <v>22</v>
      </c>
      <c r="G1308" s="15">
        <v>1817.88</v>
      </c>
      <c r="H1308" s="15">
        <v>1817.88</v>
      </c>
      <c r="I1308" s="13">
        <v>3</v>
      </c>
      <c r="J1308" s="13">
        <v>3</v>
      </c>
      <c r="K1308" s="13" t="s">
        <v>15</v>
      </c>
      <c r="L1308" s="15">
        <v>605.96</v>
      </c>
      <c r="M1308" s="16">
        <v>605.96</v>
      </c>
    </row>
    <row r="1309" spans="1:13" s="5" customFormat="1" x14ac:dyDescent="0.25">
      <c r="A1309" s="12" t="s">
        <v>2544</v>
      </c>
      <c r="B1309" s="13" t="s">
        <v>2545</v>
      </c>
      <c r="C1309" s="14">
        <v>45570</v>
      </c>
      <c r="D1309" s="13">
        <v>2024</v>
      </c>
      <c r="E1309" s="13" t="s">
        <v>14</v>
      </c>
      <c r="F1309" s="13" t="s">
        <v>22</v>
      </c>
      <c r="G1309" s="15">
        <v>39.840000000000003</v>
      </c>
      <c r="H1309" s="15">
        <v>39.840000000000003</v>
      </c>
      <c r="I1309" s="13">
        <v>10</v>
      </c>
      <c r="J1309" s="13">
        <v>10</v>
      </c>
      <c r="K1309" s="13" t="s">
        <v>3346</v>
      </c>
      <c r="L1309" s="15">
        <v>3.9840000000000004</v>
      </c>
      <c r="M1309" s="16">
        <v>3.9840000000000004</v>
      </c>
    </row>
    <row r="1310" spans="1:13" s="5" customFormat="1" x14ac:dyDescent="0.25">
      <c r="A1310" s="12" t="s">
        <v>2546</v>
      </c>
      <c r="B1310" s="13" t="s">
        <v>2547</v>
      </c>
      <c r="C1310" s="14">
        <v>45697</v>
      </c>
      <c r="D1310" s="13">
        <v>2025</v>
      </c>
      <c r="E1310" s="13" t="s">
        <v>14</v>
      </c>
      <c r="F1310" s="13" t="s">
        <v>22</v>
      </c>
      <c r="G1310" s="15">
        <v>1608.61</v>
      </c>
      <c r="H1310" s="15">
        <v>1608.61</v>
      </c>
      <c r="I1310" s="13">
        <v>1</v>
      </c>
      <c r="J1310" s="13">
        <v>1</v>
      </c>
      <c r="K1310" s="13" t="s">
        <v>3348</v>
      </c>
      <c r="L1310" s="15">
        <v>1608.61</v>
      </c>
      <c r="M1310" s="16">
        <v>1608.61</v>
      </c>
    </row>
    <row r="1311" spans="1:13" s="5" customFormat="1" x14ac:dyDescent="0.25">
      <c r="A1311" s="12" t="s">
        <v>2548</v>
      </c>
      <c r="B1311" s="13" t="s">
        <v>2549</v>
      </c>
      <c r="C1311" s="14">
        <v>45913</v>
      </c>
      <c r="D1311" s="13">
        <v>2025</v>
      </c>
      <c r="E1311" s="13" t="s">
        <v>14</v>
      </c>
      <c r="F1311" s="13" t="s">
        <v>22</v>
      </c>
      <c r="G1311" s="15">
        <v>856.37</v>
      </c>
      <c r="H1311" s="15">
        <v>856.37</v>
      </c>
      <c r="I1311" s="13">
        <v>6</v>
      </c>
      <c r="J1311" s="13">
        <v>6</v>
      </c>
      <c r="K1311" s="13" t="s">
        <v>35</v>
      </c>
      <c r="L1311" s="15">
        <v>142.72833333333332</v>
      </c>
      <c r="M1311" s="16">
        <v>142.72833333333332</v>
      </c>
    </row>
    <row r="1312" spans="1:13" s="5" customFormat="1" x14ac:dyDescent="0.25">
      <c r="A1312" s="12" t="s">
        <v>2550</v>
      </c>
      <c r="B1312" s="13" t="s">
        <v>2551</v>
      </c>
      <c r="C1312" s="14">
        <v>45807</v>
      </c>
      <c r="D1312" s="13">
        <v>2025</v>
      </c>
      <c r="E1312" s="13" t="s">
        <v>14</v>
      </c>
      <c r="F1312" s="13" t="s">
        <v>34</v>
      </c>
      <c r="G1312" s="15">
        <v>1919.54</v>
      </c>
      <c r="H1312" s="15">
        <v>1919.54</v>
      </c>
      <c r="I1312" s="13">
        <v>2</v>
      </c>
      <c r="J1312" s="13">
        <v>2</v>
      </c>
      <c r="K1312" s="13" t="s">
        <v>18</v>
      </c>
      <c r="L1312" s="15">
        <v>959.77</v>
      </c>
      <c r="M1312" s="16">
        <v>959.77</v>
      </c>
    </row>
    <row r="1313" spans="1:13" s="5" customFormat="1" x14ac:dyDescent="0.25">
      <c r="A1313" s="12" t="s">
        <v>2552</v>
      </c>
      <c r="B1313" s="13" t="s">
        <v>2553</v>
      </c>
      <c r="C1313" s="14">
        <v>45042</v>
      </c>
      <c r="D1313" s="13">
        <v>2023</v>
      </c>
      <c r="E1313" s="13" t="s">
        <v>21</v>
      </c>
      <c r="F1313" s="13" t="s">
        <v>11</v>
      </c>
      <c r="G1313" s="15">
        <v>1623.76</v>
      </c>
      <c r="H1313" s="15">
        <v>1623.76</v>
      </c>
      <c r="I1313" s="13">
        <v>4</v>
      </c>
      <c r="J1313" s="13">
        <v>4</v>
      </c>
      <c r="K1313" s="13" t="s">
        <v>3348</v>
      </c>
      <c r="L1313" s="15">
        <v>405.94</v>
      </c>
      <c r="M1313" s="16">
        <v>405.94</v>
      </c>
    </row>
    <row r="1314" spans="1:13" s="5" customFormat="1" x14ac:dyDescent="0.25">
      <c r="A1314" s="12" t="s">
        <v>2554</v>
      </c>
      <c r="B1314" s="13" t="s">
        <v>2555</v>
      </c>
      <c r="C1314" s="14">
        <v>45195</v>
      </c>
      <c r="D1314" s="13">
        <v>2023</v>
      </c>
      <c r="E1314" s="13" t="s">
        <v>14</v>
      </c>
      <c r="F1314" s="13" t="s">
        <v>25</v>
      </c>
      <c r="G1314" s="15">
        <v>1172.1099999999999</v>
      </c>
      <c r="H1314" s="15">
        <v>1172.1099999999999</v>
      </c>
      <c r="I1314" s="13">
        <v>6</v>
      </c>
      <c r="J1314" s="13">
        <v>6</v>
      </c>
      <c r="K1314" s="13" t="s">
        <v>35</v>
      </c>
      <c r="L1314" s="15">
        <v>195.35166666666666</v>
      </c>
      <c r="M1314" s="16">
        <v>195.35166666666666</v>
      </c>
    </row>
    <row r="1315" spans="1:13" s="5" customFormat="1" x14ac:dyDescent="0.25">
      <c r="A1315" s="12" t="s">
        <v>2556</v>
      </c>
      <c r="B1315" s="13" t="s">
        <v>2557</v>
      </c>
      <c r="C1315" s="14">
        <v>45270</v>
      </c>
      <c r="D1315" s="13">
        <v>2023</v>
      </c>
      <c r="E1315" s="13" t="s">
        <v>10</v>
      </c>
      <c r="F1315" s="13" t="s">
        <v>34</v>
      </c>
      <c r="G1315" s="15">
        <v>1536.43</v>
      </c>
      <c r="H1315" s="15">
        <v>1536.43</v>
      </c>
      <c r="I1315" s="13">
        <v>7</v>
      </c>
      <c r="J1315" s="13">
        <v>7</v>
      </c>
      <c r="K1315" s="13" t="s">
        <v>15</v>
      </c>
      <c r="L1315" s="15">
        <v>219.49</v>
      </c>
      <c r="M1315" s="16">
        <v>219.49</v>
      </c>
    </row>
    <row r="1316" spans="1:13" s="5" customFormat="1" x14ac:dyDescent="0.25">
      <c r="A1316" s="12" t="s">
        <v>2558</v>
      </c>
      <c r="B1316" s="13" t="s">
        <v>2559</v>
      </c>
      <c r="C1316" s="14">
        <v>45265</v>
      </c>
      <c r="D1316" s="13">
        <v>2023</v>
      </c>
      <c r="E1316" s="13" t="s">
        <v>10</v>
      </c>
      <c r="F1316" s="13" t="s">
        <v>34</v>
      </c>
      <c r="G1316" s="15">
        <v>498.21</v>
      </c>
      <c r="H1316" s="15">
        <v>498.21</v>
      </c>
      <c r="I1316" s="13">
        <v>10</v>
      </c>
      <c r="J1316" s="13">
        <v>10</v>
      </c>
      <c r="K1316" s="13" t="s">
        <v>3346</v>
      </c>
      <c r="L1316" s="15">
        <v>49.820999999999998</v>
      </c>
      <c r="M1316" s="16">
        <v>49.820999999999998</v>
      </c>
    </row>
    <row r="1317" spans="1:13" s="5" customFormat="1" x14ac:dyDescent="0.25">
      <c r="A1317" s="12" t="s">
        <v>2560</v>
      </c>
      <c r="B1317" s="13" t="s">
        <v>571</v>
      </c>
      <c r="C1317" s="14">
        <v>45309</v>
      </c>
      <c r="D1317" s="13">
        <v>2024</v>
      </c>
      <c r="E1317" s="13" t="s">
        <v>3347</v>
      </c>
      <c r="F1317" s="13" t="s">
        <v>25</v>
      </c>
      <c r="G1317" s="15">
        <v>1669.73</v>
      </c>
      <c r="H1317" s="15">
        <v>1669.73</v>
      </c>
      <c r="I1317" s="13">
        <v>10</v>
      </c>
      <c r="J1317" s="13">
        <v>10</v>
      </c>
      <c r="K1317" s="13" t="s">
        <v>35</v>
      </c>
      <c r="L1317" s="15">
        <v>166.97300000000001</v>
      </c>
      <c r="M1317" s="16">
        <v>166.97300000000001</v>
      </c>
    </row>
    <row r="1318" spans="1:13" s="5" customFormat="1" x14ac:dyDescent="0.25">
      <c r="A1318" s="12" t="s">
        <v>2561</v>
      </c>
      <c r="B1318" s="13" t="s">
        <v>2562</v>
      </c>
      <c r="C1318" s="14">
        <v>45861</v>
      </c>
      <c r="D1318" s="13">
        <v>2025</v>
      </c>
      <c r="E1318" s="13" t="s">
        <v>10</v>
      </c>
      <c r="F1318" s="13" t="s">
        <v>22</v>
      </c>
      <c r="G1318" s="15">
        <v>1326.02</v>
      </c>
      <c r="H1318" s="15">
        <v>1326.02</v>
      </c>
      <c r="I1318" s="13">
        <v>9</v>
      </c>
      <c r="J1318" s="13">
        <v>9</v>
      </c>
      <c r="K1318" s="13" t="s">
        <v>3348</v>
      </c>
      <c r="L1318" s="15">
        <v>147.33555555555554</v>
      </c>
      <c r="M1318" s="16">
        <v>147.33555555555554</v>
      </c>
    </row>
    <row r="1319" spans="1:13" s="5" customFormat="1" x14ac:dyDescent="0.25">
      <c r="A1319" s="12" t="s">
        <v>2563</v>
      </c>
      <c r="B1319" s="13" t="s">
        <v>2564</v>
      </c>
      <c r="C1319" s="14">
        <v>45571</v>
      </c>
      <c r="D1319" s="13">
        <v>2024</v>
      </c>
      <c r="E1319" s="13" t="s">
        <v>3347</v>
      </c>
      <c r="F1319" s="13" t="s">
        <v>22</v>
      </c>
      <c r="G1319" s="15">
        <v>1668.17</v>
      </c>
      <c r="H1319" s="15">
        <v>1668.17</v>
      </c>
      <c r="I1319" s="13">
        <v>5</v>
      </c>
      <c r="J1319" s="13">
        <v>5</v>
      </c>
      <c r="K1319" s="13" t="s">
        <v>15</v>
      </c>
      <c r="L1319" s="15">
        <v>333.63400000000001</v>
      </c>
      <c r="M1319" s="16">
        <v>333.63400000000001</v>
      </c>
    </row>
    <row r="1320" spans="1:13" s="5" customFormat="1" x14ac:dyDescent="0.25">
      <c r="A1320" s="12" t="s">
        <v>2565</v>
      </c>
      <c r="B1320" s="13" t="s">
        <v>2566</v>
      </c>
      <c r="C1320" s="14">
        <v>44907</v>
      </c>
      <c r="D1320" s="13">
        <v>2022</v>
      </c>
      <c r="E1320" s="13" t="s">
        <v>3347</v>
      </c>
      <c r="F1320" s="13" t="s">
        <v>11</v>
      </c>
      <c r="G1320" s="15">
        <v>1122.06</v>
      </c>
      <c r="H1320" s="15">
        <v>1122.06</v>
      </c>
      <c r="I1320" s="13">
        <v>8</v>
      </c>
      <c r="J1320" s="13">
        <v>8</v>
      </c>
      <c r="K1320" s="13" t="s">
        <v>3348</v>
      </c>
      <c r="L1320" s="15">
        <v>140.25749999999999</v>
      </c>
      <c r="M1320" s="16">
        <v>140.25749999999999</v>
      </c>
    </row>
    <row r="1321" spans="1:13" s="5" customFormat="1" x14ac:dyDescent="0.25">
      <c r="A1321" s="12" t="s">
        <v>2567</v>
      </c>
      <c r="B1321" s="13" t="s">
        <v>2568</v>
      </c>
      <c r="C1321" s="14">
        <v>45870</v>
      </c>
      <c r="D1321" s="13">
        <v>2025</v>
      </c>
      <c r="E1321" s="13" t="s">
        <v>21</v>
      </c>
      <c r="F1321" s="13" t="s">
        <v>25</v>
      </c>
      <c r="G1321" s="15">
        <v>986.42</v>
      </c>
      <c r="H1321" s="15">
        <v>986.42</v>
      </c>
      <c r="I1321" s="13">
        <v>1</v>
      </c>
      <c r="J1321" s="13">
        <v>1</v>
      </c>
      <c r="K1321" s="13" t="s">
        <v>18</v>
      </c>
      <c r="L1321" s="15">
        <v>986.42</v>
      </c>
      <c r="M1321" s="16">
        <v>986.42</v>
      </c>
    </row>
    <row r="1322" spans="1:13" s="5" customFormat="1" x14ac:dyDescent="0.25">
      <c r="A1322" s="12" t="s">
        <v>2569</v>
      </c>
      <c r="B1322" s="13" t="s">
        <v>2570</v>
      </c>
      <c r="C1322" s="14">
        <v>45506</v>
      </c>
      <c r="D1322" s="13">
        <v>2024</v>
      </c>
      <c r="E1322" s="13" t="s">
        <v>14</v>
      </c>
      <c r="F1322" s="13" t="s">
        <v>11</v>
      </c>
      <c r="G1322" s="15">
        <v>630.08000000000004</v>
      </c>
      <c r="H1322" s="15">
        <v>630.08000000000004</v>
      </c>
      <c r="I1322" s="13"/>
      <c r="J1322" s="13">
        <v>2</v>
      </c>
      <c r="K1322" s="13" t="s">
        <v>35</v>
      </c>
      <c r="L1322" s="15">
        <v>315.04000000000002</v>
      </c>
      <c r="M1322" s="16">
        <v>333.42691666666667</v>
      </c>
    </row>
    <row r="1323" spans="1:13" s="5" customFormat="1" x14ac:dyDescent="0.25">
      <c r="A1323" s="12" t="s">
        <v>2571</v>
      </c>
      <c r="B1323" s="13" t="s">
        <v>2572</v>
      </c>
      <c r="C1323" s="14">
        <v>45713</v>
      </c>
      <c r="D1323" s="13">
        <v>2025</v>
      </c>
      <c r="E1323" s="13" t="s">
        <v>14</v>
      </c>
      <c r="F1323" s="13" t="s">
        <v>25</v>
      </c>
      <c r="G1323" s="15">
        <v>915.46</v>
      </c>
      <c r="H1323" s="15">
        <v>915.46</v>
      </c>
      <c r="I1323" s="13">
        <v>5</v>
      </c>
      <c r="J1323" s="13">
        <v>5</v>
      </c>
      <c r="K1323" s="13" t="s">
        <v>15</v>
      </c>
      <c r="L1323" s="15">
        <v>183.09200000000001</v>
      </c>
      <c r="M1323" s="16">
        <v>183.09200000000001</v>
      </c>
    </row>
    <row r="1324" spans="1:13" s="5" customFormat="1" x14ac:dyDescent="0.25">
      <c r="A1324" s="12" t="s">
        <v>2573</v>
      </c>
      <c r="B1324" s="13" t="s">
        <v>2574</v>
      </c>
      <c r="C1324" s="14">
        <v>45503</v>
      </c>
      <c r="D1324" s="13">
        <v>2024</v>
      </c>
      <c r="E1324" s="13" t="s">
        <v>3347</v>
      </c>
      <c r="F1324" s="13" t="s">
        <v>22</v>
      </c>
      <c r="G1324" s="15">
        <v>314.77999999999997</v>
      </c>
      <c r="H1324" s="15">
        <v>314.77999999999997</v>
      </c>
      <c r="I1324" s="13">
        <v>8</v>
      </c>
      <c r="J1324" s="13">
        <v>8</v>
      </c>
      <c r="K1324" s="13" t="s">
        <v>3346</v>
      </c>
      <c r="L1324" s="15">
        <v>39.347499999999997</v>
      </c>
      <c r="M1324" s="16">
        <v>39.347499999999997</v>
      </c>
    </row>
    <row r="1325" spans="1:13" s="5" customFormat="1" x14ac:dyDescent="0.25">
      <c r="A1325" s="12" t="s">
        <v>2575</v>
      </c>
      <c r="B1325" s="13" t="s">
        <v>2576</v>
      </c>
      <c r="C1325" s="14">
        <v>45037</v>
      </c>
      <c r="D1325" s="13">
        <v>2023</v>
      </c>
      <c r="E1325" s="13" t="s">
        <v>3347</v>
      </c>
      <c r="F1325" s="13" t="s">
        <v>25</v>
      </c>
      <c r="G1325" s="15">
        <v>415.39</v>
      </c>
      <c r="H1325" s="15">
        <v>415.39</v>
      </c>
      <c r="I1325" s="13">
        <v>9</v>
      </c>
      <c r="J1325" s="13">
        <v>9</v>
      </c>
      <c r="K1325" s="13" t="s">
        <v>35</v>
      </c>
      <c r="L1325" s="15">
        <v>46.154444444444444</v>
      </c>
      <c r="M1325" s="16">
        <v>46.154444444444444</v>
      </c>
    </row>
    <row r="1326" spans="1:13" s="5" customFormat="1" x14ac:dyDescent="0.25">
      <c r="A1326" s="12" t="s">
        <v>2577</v>
      </c>
      <c r="B1326" s="13" t="s">
        <v>1276</v>
      </c>
      <c r="C1326" s="14">
        <v>45859</v>
      </c>
      <c r="D1326" s="13">
        <v>2025</v>
      </c>
      <c r="E1326" s="13" t="s">
        <v>10</v>
      </c>
      <c r="F1326" s="13" t="s">
        <v>22</v>
      </c>
      <c r="G1326" s="15">
        <v>115.92</v>
      </c>
      <c r="H1326" s="15">
        <v>115.92</v>
      </c>
      <c r="I1326" s="13">
        <v>4</v>
      </c>
      <c r="J1326" s="13">
        <v>4</v>
      </c>
      <c r="K1326" s="13" t="s">
        <v>35</v>
      </c>
      <c r="L1326" s="15">
        <v>28.98</v>
      </c>
      <c r="M1326" s="16">
        <v>28.98</v>
      </c>
    </row>
    <row r="1327" spans="1:13" s="5" customFormat="1" x14ac:dyDescent="0.25">
      <c r="A1327" s="12" t="s">
        <v>2578</v>
      </c>
      <c r="B1327" s="13" t="s">
        <v>2360</v>
      </c>
      <c r="C1327" s="14">
        <v>45337</v>
      </c>
      <c r="D1327" s="13">
        <v>2024</v>
      </c>
      <c r="E1327" s="13" t="s">
        <v>3347</v>
      </c>
      <c r="F1327" s="13" t="s">
        <v>34</v>
      </c>
      <c r="G1327" s="15">
        <v>1688.06</v>
      </c>
      <c r="H1327" s="15">
        <v>1688.06</v>
      </c>
      <c r="I1327" s="13"/>
      <c r="J1327" s="13">
        <v>5</v>
      </c>
      <c r="K1327" s="13" t="s">
        <v>3346</v>
      </c>
      <c r="L1327" s="15">
        <v>337.61199999999997</v>
      </c>
      <c r="M1327" s="16">
        <v>345.64232738095234</v>
      </c>
    </row>
    <row r="1328" spans="1:13" s="5" customFormat="1" x14ac:dyDescent="0.25">
      <c r="A1328" s="12" t="s">
        <v>2579</v>
      </c>
      <c r="B1328" s="13" t="s">
        <v>2580</v>
      </c>
      <c r="C1328" s="14">
        <v>45765</v>
      </c>
      <c r="D1328" s="13">
        <v>2025</v>
      </c>
      <c r="E1328" s="13" t="s">
        <v>21</v>
      </c>
      <c r="F1328" s="13" t="s">
        <v>34</v>
      </c>
      <c r="G1328" s="15">
        <v>1300.6099999999999</v>
      </c>
      <c r="H1328" s="15">
        <v>1300.6099999999999</v>
      </c>
      <c r="I1328" s="13">
        <v>3</v>
      </c>
      <c r="J1328" s="13">
        <v>3</v>
      </c>
      <c r="K1328" s="13" t="s">
        <v>3348</v>
      </c>
      <c r="L1328" s="15">
        <v>433.53666666666663</v>
      </c>
      <c r="M1328" s="16">
        <v>433.53666666666663</v>
      </c>
    </row>
    <row r="1329" spans="1:13" s="5" customFormat="1" x14ac:dyDescent="0.25">
      <c r="A1329" s="12" t="s">
        <v>2581</v>
      </c>
      <c r="B1329" s="13" t="s">
        <v>2582</v>
      </c>
      <c r="C1329" s="14">
        <v>45124</v>
      </c>
      <c r="D1329" s="13">
        <v>2023</v>
      </c>
      <c r="E1329" s="13" t="s">
        <v>10</v>
      </c>
      <c r="F1329" s="13" t="s">
        <v>25</v>
      </c>
      <c r="G1329" s="15">
        <v>1358.32</v>
      </c>
      <c r="H1329" s="15">
        <v>1358.32</v>
      </c>
      <c r="I1329" s="13">
        <v>8</v>
      </c>
      <c r="J1329" s="13">
        <v>8</v>
      </c>
      <c r="K1329" s="13" t="s">
        <v>18</v>
      </c>
      <c r="L1329" s="15">
        <v>169.79</v>
      </c>
      <c r="M1329" s="16">
        <v>169.79</v>
      </c>
    </row>
    <row r="1330" spans="1:13" s="5" customFormat="1" x14ac:dyDescent="0.25">
      <c r="A1330" s="12" t="s">
        <v>2583</v>
      </c>
      <c r="B1330" s="13" t="s">
        <v>1701</v>
      </c>
      <c r="C1330" s="14">
        <v>45060</v>
      </c>
      <c r="D1330" s="13">
        <v>2023</v>
      </c>
      <c r="E1330" s="13" t="s">
        <v>14</v>
      </c>
      <c r="F1330" s="13" t="s">
        <v>34</v>
      </c>
      <c r="G1330" s="15">
        <v>1370.01</v>
      </c>
      <c r="H1330" s="15">
        <v>1370.01</v>
      </c>
      <c r="I1330" s="13">
        <v>8</v>
      </c>
      <c r="J1330" s="13">
        <v>8</v>
      </c>
      <c r="K1330" s="13" t="s">
        <v>18</v>
      </c>
      <c r="L1330" s="15">
        <v>171.25125</v>
      </c>
      <c r="M1330" s="16">
        <v>171.25125</v>
      </c>
    </row>
    <row r="1331" spans="1:13" s="5" customFormat="1" x14ac:dyDescent="0.25">
      <c r="A1331" s="12" t="s">
        <v>2584</v>
      </c>
      <c r="B1331" s="13" t="s">
        <v>2585</v>
      </c>
      <c r="C1331" s="14">
        <v>45210</v>
      </c>
      <c r="D1331" s="13">
        <v>2023</v>
      </c>
      <c r="E1331" s="13" t="s">
        <v>21</v>
      </c>
      <c r="F1331" s="13" t="s">
        <v>22</v>
      </c>
      <c r="G1331" s="15">
        <v>14.67</v>
      </c>
      <c r="H1331" s="15">
        <v>14.67</v>
      </c>
      <c r="I1331" s="13">
        <v>8</v>
      </c>
      <c r="J1331" s="13">
        <v>8</v>
      </c>
      <c r="K1331" s="13" t="s">
        <v>35</v>
      </c>
      <c r="L1331" s="15">
        <v>1.83375</v>
      </c>
      <c r="M1331" s="16">
        <v>1.83375</v>
      </c>
    </row>
    <row r="1332" spans="1:13" s="5" customFormat="1" x14ac:dyDescent="0.25">
      <c r="A1332" s="12" t="s">
        <v>2586</v>
      </c>
      <c r="B1332" s="13" t="s">
        <v>2048</v>
      </c>
      <c r="C1332" s="14">
        <v>45235</v>
      </c>
      <c r="D1332" s="13">
        <v>2023</v>
      </c>
      <c r="E1332" s="13" t="s">
        <v>10</v>
      </c>
      <c r="F1332" s="13" t="s">
        <v>25</v>
      </c>
      <c r="G1332" s="15">
        <v>679.46</v>
      </c>
      <c r="H1332" s="15">
        <v>679.46</v>
      </c>
      <c r="I1332" s="13">
        <v>10</v>
      </c>
      <c r="J1332" s="13">
        <v>10</v>
      </c>
      <c r="K1332" s="13" t="s">
        <v>3348</v>
      </c>
      <c r="L1332" s="15">
        <v>67.945999999999998</v>
      </c>
      <c r="M1332" s="16">
        <v>67.945999999999998</v>
      </c>
    </row>
    <row r="1333" spans="1:13" s="5" customFormat="1" x14ac:dyDescent="0.25">
      <c r="A1333" s="12" t="s">
        <v>2587</v>
      </c>
      <c r="B1333" s="13" t="s">
        <v>2588</v>
      </c>
      <c r="C1333" s="14">
        <v>45021</v>
      </c>
      <c r="D1333" s="13">
        <v>2023</v>
      </c>
      <c r="E1333" s="13" t="s">
        <v>10</v>
      </c>
      <c r="F1333" s="13" t="s">
        <v>11</v>
      </c>
      <c r="G1333" s="15">
        <v>1845.6</v>
      </c>
      <c r="H1333" s="15">
        <v>1845.6</v>
      </c>
      <c r="I1333" s="13"/>
      <c r="J1333" s="13">
        <v>3</v>
      </c>
      <c r="K1333" s="13" t="s">
        <v>35</v>
      </c>
      <c r="L1333" s="15">
        <v>615.19999999999993</v>
      </c>
      <c r="M1333" s="16">
        <v>582.61855555555553</v>
      </c>
    </row>
    <row r="1334" spans="1:13" s="5" customFormat="1" x14ac:dyDescent="0.25">
      <c r="A1334" s="12" t="s">
        <v>2589</v>
      </c>
      <c r="B1334" s="13" t="s">
        <v>2590</v>
      </c>
      <c r="C1334" s="14">
        <v>45360</v>
      </c>
      <c r="D1334" s="13">
        <v>2024</v>
      </c>
      <c r="E1334" s="13" t="s">
        <v>21</v>
      </c>
      <c r="F1334" s="13" t="s">
        <v>34</v>
      </c>
      <c r="G1334" s="15">
        <v>1831.9</v>
      </c>
      <c r="H1334" s="15">
        <v>1831.9</v>
      </c>
      <c r="I1334" s="13">
        <v>10</v>
      </c>
      <c r="J1334" s="13">
        <v>10</v>
      </c>
      <c r="K1334" s="13" t="s">
        <v>3346</v>
      </c>
      <c r="L1334" s="15">
        <v>183.19</v>
      </c>
      <c r="M1334" s="16">
        <v>183.19</v>
      </c>
    </row>
    <row r="1335" spans="1:13" s="5" customFormat="1" x14ac:dyDescent="0.25">
      <c r="A1335" s="12" t="s">
        <v>2591</v>
      </c>
      <c r="B1335" s="13" t="s">
        <v>2592</v>
      </c>
      <c r="C1335" s="14">
        <v>45398</v>
      </c>
      <c r="D1335" s="13">
        <v>2024</v>
      </c>
      <c r="E1335" s="13" t="s">
        <v>10</v>
      </c>
      <c r="F1335" s="13" t="s">
        <v>34</v>
      </c>
      <c r="G1335" s="15">
        <v>1600.42</v>
      </c>
      <c r="H1335" s="15">
        <v>1600.42</v>
      </c>
      <c r="I1335" s="13">
        <v>9</v>
      </c>
      <c r="J1335" s="13">
        <v>9</v>
      </c>
      <c r="K1335" s="13" t="s">
        <v>35</v>
      </c>
      <c r="L1335" s="15">
        <v>177.82444444444445</v>
      </c>
      <c r="M1335" s="16">
        <v>177.82444444444445</v>
      </c>
    </row>
    <row r="1336" spans="1:13" s="5" customFormat="1" x14ac:dyDescent="0.25">
      <c r="A1336" s="12" t="s">
        <v>2593</v>
      </c>
      <c r="B1336" s="13" t="s">
        <v>1648</v>
      </c>
      <c r="C1336" s="14">
        <v>45801</v>
      </c>
      <c r="D1336" s="13">
        <v>2025</v>
      </c>
      <c r="E1336" s="13" t="s">
        <v>21</v>
      </c>
      <c r="F1336" s="13" t="s">
        <v>34</v>
      </c>
      <c r="G1336" s="15">
        <v>1220.31</v>
      </c>
      <c r="H1336" s="15">
        <v>1220.31</v>
      </c>
      <c r="I1336" s="13">
        <v>6</v>
      </c>
      <c r="J1336" s="13">
        <v>6</v>
      </c>
      <c r="K1336" s="13" t="s">
        <v>3348</v>
      </c>
      <c r="L1336" s="15">
        <v>203.38499999999999</v>
      </c>
      <c r="M1336" s="16">
        <v>203.38499999999999</v>
      </c>
    </row>
    <row r="1337" spans="1:13" s="5" customFormat="1" x14ac:dyDescent="0.25">
      <c r="A1337" s="12" t="s">
        <v>2594</v>
      </c>
      <c r="B1337" s="13" t="s">
        <v>2595</v>
      </c>
      <c r="C1337" s="14">
        <v>45707</v>
      </c>
      <c r="D1337" s="13">
        <v>2025</v>
      </c>
      <c r="E1337" s="13" t="s">
        <v>3347</v>
      </c>
      <c r="F1337" s="13" t="s">
        <v>34</v>
      </c>
      <c r="G1337" s="15">
        <v>554.80999999999995</v>
      </c>
      <c r="H1337" s="15">
        <v>554.80999999999995</v>
      </c>
      <c r="I1337" s="13">
        <v>10</v>
      </c>
      <c r="J1337" s="13">
        <v>10</v>
      </c>
      <c r="K1337" s="13" t="s">
        <v>15</v>
      </c>
      <c r="L1337" s="15">
        <v>55.480999999999995</v>
      </c>
      <c r="M1337" s="16">
        <v>55.480999999999995</v>
      </c>
    </row>
    <row r="1338" spans="1:13" s="5" customFormat="1" x14ac:dyDescent="0.25">
      <c r="A1338" s="12" t="s">
        <v>2596</v>
      </c>
      <c r="B1338" s="13" t="s">
        <v>2597</v>
      </c>
      <c r="C1338" s="14">
        <v>45705</v>
      </c>
      <c r="D1338" s="13">
        <v>2025</v>
      </c>
      <c r="E1338" s="13" t="s">
        <v>3347</v>
      </c>
      <c r="F1338" s="13" t="s">
        <v>25</v>
      </c>
      <c r="G1338" s="15">
        <v>794.62</v>
      </c>
      <c r="H1338" s="15">
        <v>794.62</v>
      </c>
      <c r="I1338" s="13">
        <v>10</v>
      </c>
      <c r="J1338" s="13">
        <v>10</v>
      </c>
      <c r="K1338" s="13" t="s">
        <v>18</v>
      </c>
      <c r="L1338" s="15">
        <v>79.462000000000003</v>
      </c>
      <c r="M1338" s="16">
        <v>79.462000000000003</v>
      </c>
    </row>
    <row r="1339" spans="1:13" s="5" customFormat="1" x14ac:dyDescent="0.25">
      <c r="A1339" s="12" t="s">
        <v>2598</v>
      </c>
      <c r="B1339" s="13" t="s">
        <v>2599</v>
      </c>
      <c r="C1339" s="14">
        <v>45661</v>
      </c>
      <c r="D1339" s="13">
        <v>2025</v>
      </c>
      <c r="E1339" s="13" t="s">
        <v>10</v>
      </c>
      <c r="F1339" s="13" t="s">
        <v>11</v>
      </c>
      <c r="G1339" s="15">
        <v>995.94</v>
      </c>
      <c r="H1339" s="15">
        <v>995.94</v>
      </c>
      <c r="I1339" s="13">
        <v>7</v>
      </c>
      <c r="J1339" s="13">
        <v>7</v>
      </c>
      <c r="K1339" s="13" t="s">
        <v>18</v>
      </c>
      <c r="L1339" s="15">
        <v>142.27714285714288</v>
      </c>
      <c r="M1339" s="16">
        <v>142.27714285714288</v>
      </c>
    </row>
    <row r="1340" spans="1:13" s="5" customFormat="1" x14ac:dyDescent="0.25">
      <c r="A1340" s="12" t="s">
        <v>2600</v>
      </c>
      <c r="B1340" s="13" t="s">
        <v>2601</v>
      </c>
      <c r="C1340" s="14">
        <v>45948</v>
      </c>
      <c r="D1340" s="13">
        <v>2025</v>
      </c>
      <c r="E1340" s="13" t="s">
        <v>21</v>
      </c>
      <c r="F1340" s="13" t="s">
        <v>34</v>
      </c>
      <c r="G1340" s="15">
        <v>1777.9</v>
      </c>
      <c r="H1340" s="15">
        <v>1777.9</v>
      </c>
      <c r="I1340" s="13">
        <v>4</v>
      </c>
      <c r="J1340" s="13">
        <v>4</v>
      </c>
      <c r="K1340" s="13" t="s">
        <v>35</v>
      </c>
      <c r="L1340" s="15">
        <v>444.47500000000002</v>
      </c>
      <c r="M1340" s="16">
        <v>444.47500000000002</v>
      </c>
    </row>
    <row r="1341" spans="1:13" s="5" customFormat="1" x14ac:dyDescent="0.25">
      <c r="A1341" s="12" t="s">
        <v>2602</v>
      </c>
      <c r="B1341" s="13" t="s">
        <v>2603</v>
      </c>
      <c r="C1341" s="14">
        <v>44991</v>
      </c>
      <c r="D1341" s="13">
        <v>2023</v>
      </c>
      <c r="E1341" s="13" t="s">
        <v>3347</v>
      </c>
      <c r="F1341" s="13" t="s">
        <v>11</v>
      </c>
      <c r="G1341" s="15">
        <v>1856.04</v>
      </c>
      <c r="H1341" s="15">
        <v>1856.04</v>
      </c>
      <c r="I1341" s="13">
        <v>8</v>
      </c>
      <c r="J1341" s="13">
        <v>8</v>
      </c>
      <c r="K1341" s="13" t="s">
        <v>35</v>
      </c>
      <c r="L1341" s="15">
        <v>232.005</v>
      </c>
      <c r="M1341" s="16">
        <v>232.005</v>
      </c>
    </row>
    <row r="1342" spans="1:13" s="5" customFormat="1" x14ac:dyDescent="0.25">
      <c r="A1342" s="12" t="s">
        <v>2604</v>
      </c>
      <c r="B1342" s="13" t="s">
        <v>2605</v>
      </c>
      <c r="C1342" s="14">
        <v>45664</v>
      </c>
      <c r="D1342" s="13">
        <v>2025</v>
      </c>
      <c r="E1342" s="13" t="s">
        <v>21</v>
      </c>
      <c r="F1342" s="13" t="s">
        <v>22</v>
      </c>
      <c r="G1342" s="15">
        <v>738.36</v>
      </c>
      <c r="H1342" s="15">
        <v>738.36</v>
      </c>
      <c r="I1342" s="13">
        <v>5</v>
      </c>
      <c r="J1342" s="13">
        <v>5</v>
      </c>
      <c r="K1342" s="13" t="s">
        <v>35</v>
      </c>
      <c r="L1342" s="15">
        <v>147.672</v>
      </c>
      <c r="M1342" s="16">
        <v>147.672</v>
      </c>
    </row>
    <row r="1343" spans="1:13" s="5" customFormat="1" x14ac:dyDescent="0.25">
      <c r="A1343" s="12" t="s">
        <v>2606</v>
      </c>
      <c r="B1343" s="13" t="s">
        <v>2607</v>
      </c>
      <c r="C1343" s="14">
        <v>45559</v>
      </c>
      <c r="D1343" s="13">
        <v>2024</v>
      </c>
      <c r="E1343" s="13" t="s">
        <v>14</v>
      </c>
      <c r="F1343" s="13" t="s">
        <v>34</v>
      </c>
      <c r="G1343" s="15">
        <v>858.56</v>
      </c>
      <c r="H1343" s="15">
        <v>858.56</v>
      </c>
      <c r="I1343" s="13">
        <v>9</v>
      </c>
      <c r="J1343" s="13">
        <v>9</v>
      </c>
      <c r="K1343" s="13" t="s">
        <v>3348</v>
      </c>
      <c r="L1343" s="15">
        <v>95.395555555555546</v>
      </c>
      <c r="M1343" s="16">
        <v>95.395555555555546</v>
      </c>
    </row>
    <row r="1344" spans="1:13" s="5" customFormat="1" x14ac:dyDescent="0.25">
      <c r="A1344" s="12" t="s">
        <v>2608</v>
      </c>
      <c r="B1344" s="13" t="s">
        <v>2609</v>
      </c>
      <c r="C1344" s="14">
        <v>44875</v>
      </c>
      <c r="D1344" s="13">
        <v>2022</v>
      </c>
      <c r="E1344" s="13" t="s">
        <v>14</v>
      </c>
      <c r="F1344" s="13" t="s">
        <v>34</v>
      </c>
      <c r="G1344" s="15">
        <v>1849.39</v>
      </c>
      <c r="H1344" s="15">
        <v>1849.39</v>
      </c>
      <c r="I1344" s="13">
        <v>8</v>
      </c>
      <c r="J1344" s="13">
        <v>8</v>
      </c>
      <c r="K1344" s="13" t="s">
        <v>35</v>
      </c>
      <c r="L1344" s="15">
        <v>231.17375000000001</v>
      </c>
      <c r="M1344" s="16">
        <v>231.17375000000001</v>
      </c>
    </row>
    <row r="1345" spans="1:13" s="5" customFormat="1" x14ac:dyDescent="0.25">
      <c r="A1345" s="12" t="s">
        <v>2610</v>
      </c>
      <c r="B1345" s="13" t="s">
        <v>2611</v>
      </c>
      <c r="C1345" s="14">
        <v>44860</v>
      </c>
      <c r="D1345" s="13">
        <v>2022</v>
      </c>
      <c r="E1345" s="13" t="s">
        <v>21</v>
      </c>
      <c r="F1345" s="13" t="s">
        <v>34</v>
      </c>
      <c r="G1345" s="15">
        <v>166.02</v>
      </c>
      <c r="H1345" s="15">
        <v>166.02</v>
      </c>
      <c r="I1345" s="13">
        <v>1</v>
      </c>
      <c r="J1345" s="13">
        <v>1</v>
      </c>
      <c r="K1345" s="13" t="s">
        <v>35</v>
      </c>
      <c r="L1345" s="15">
        <v>166.02</v>
      </c>
      <c r="M1345" s="16">
        <v>166.02</v>
      </c>
    </row>
    <row r="1346" spans="1:13" s="5" customFormat="1" x14ac:dyDescent="0.25">
      <c r="A1346" s="12" t="s">
        <v>2612</v>
      </c>
      <c r="B1346" s="13" t="s">
        <v>391</v>
      </c>
      <c r="C1346" s="14">
        <v>45539</v>
      </c>
      <c r="D1346" s="13">
        <v>2024</v>
      </c>
      <c r="E1346" s="13" t="s">
        <v>3347</v>
      </c>
      <c r="F1346" s="13" t="s">
        <v>34</v>
      </c>
      <c r="G1346" s="15">
        <v>540.03</v>
      </c>
      <c r="H1346" s="15">
        <v>540.03</v>
      </c>
      <c r="I1346" s="13">
        <v>9</v>
      </c>
      <c r="J1346" s="13">
        <v>9</v>
      </c>
      <c r="K1346" s="13" t="s">
        <v>15</v>
      </c>
      <c r="L1346" s="15">
        <v>60.00333333333333</v>
      </c>
      <c r="M1346" s="16">
        <v>60.00333333333333</v>
      </c>
    </row>
    <row r="1347" spans="1:13" s="5" customFormat="1" x14ac:dyDescent="0.25">
      <c r="A1347" s="12" t="s">
        <v>2613</v>
      </c>
      <c r="B1347" s="13" t="s">
        <v>2614</v>
      </c>
      <c r="C1347" s="14">
        <v>45158</v>
      </c>
      <c r="D1347" s="13">
        <v>2023</v>
      </c>
      <c r="E1347" s="13" t="s">
        <v>14</v>
      </c>
      <c r="F1347" s="13" t="s">
        <v>34</v>
      </c>
      <c r="G1347" s="15">
        <v>1116.77</v>
      </c>
      <c r="H1347" s="15">
        <v>1116.77</v>
      </c>
      <c r="I1347" s="13">
        <v>2</v>
      </c>
      <c r="J1347" s="13">
        <v>2</v>
      </c>
      <c r="K1347" s="13" t="s">
        <v>3348</v>
      </c>
      <c r="L1347" s="15">
        <v>558.38499999999999</v>
      </c>
      <c r="M1347" s="16">
        <v>558.38499999999999</v>
      </c>
    </row>
    <row r="1348" spans="1:13" s="5" customFormat="1" x14ac:dyDescent="0.25">
      <c r="A1348" s="12" t="s">
        <v>2615</v>
      </c>
      <c r="B1348" s="13" t="s">
        <v>2616</v>
      </c>
      <c r="C1348" s="14">
        <v>45520</v>
      </c>
      <c r="D1348" s="13">
        <v>2024</v>
      </c>
      <c r="E1348" s="13" t="s">
        <v>10</v>
      </c>
      <c r="F1348" s="13" t="s">
        <v>11</v>
      </c>
      <c r="G1348" s="15"/>
      <c r="H1348" s="15">
        <v>1348.0838095238096</v>
      </c>
      <c r="I1348" s="13">
        <v>10</v>
      </c>
      <c r="J1348" s="13">
        <v>10</v>
      </c>
      <c r="K1348" s="13" t="s">
        <v>18</v>
      </c>
      <c r="L1348" s="15">
        <v>134.80838095238096</v>
      </c>
      <c r="M1348" s="16">
        <v>134.80838095238096</v>
      </c>
    </row>
    <row r="1349" spans="1:13" s="5" customFormat="1" x14ac:dyDescent="0.25">
      <c r="A1349" s="12" t="s">
        <v>2617</v>
      </c>
      <c r="B1349" s="13" t="s">
        <v>2618</v>
      </c>
      <c r="C1349" s="14">
        <v>45088</v>
      </c>
      <c r="D1349" s="13">
        <v>2023</v>
      </c>
      <c r="E1349" s="13" t="s">
        <v>21</v>
      </c>
      <c r="F1349" s="13" t="s">
        <v>11</v>
      </c>
      <c r="G1349" s="15">
        <v>654.09</v>
      </c>
      <c r="H1349" s="15">
        <v>654.09</v>
      </c>
      <c r="I1349" s="13">
        <v>3</v>
      </c>
      <c r="J1349" s="13">
        <v>3</v>
      </c>
      <c r="K1349" s="13" t="s">
        <v>35</v>
      </c>
      <c r="L1349" s="15">
        <v>218.03</v>
      </c>
      <c r="M1349" s="16">
        <v>218.03</v>
      </c>
    </row>
    <row r="1350" spans="1:13" s="5" customFormat="1" x14ac:dyDescent="0.25">
      <c r="A1350" s="12" t="s">
        <v>2619</v>
      </c>
      <c r="B1350" s="13" t="s">
        <v>2620</v>
      </c>
      <c r="C1350" s="14">
        <v>45285</v>
      </c>
      <c r="D1350" s="13">
        <v>2023</v>
      </c>
      <c r="E1350" s="13" t="s">
        <v>3347</v>
      </c>
      <c r="F1350" s="13" t="s">
        <v>22</v>
      </c>
      <c r="G1350" s="15">
        <v>457.16</v>
      </c>
      <c r="H1350" s="15">
        <v>457.16</v>
      </c>
      <c r="I1350" s="13">
        <v>1</v>
      </c>
      <c r="J1350" s="13">
        <v>1</v>
      </c>
      <c r="K1350" s="13" t="s">
        <v>3346</v>
      </c>
      <c r="L1350" s="15">
        <v>457.16</v>
      </c>
      <c r="M1350" s="16">
        <v>457.16</v>
      </c>
    </row>
    <row r="1351" spans="1:13" s="5" customFormat="1" x14ac:dyDescent="0.25">
      <c r="A1351" s="12" t="s">
        <v>2621</v>
      </c>
      <c r="B1351" s="13" t="s">
        <v>2622</v>
      </c>
      <c r="C1351" s="14">
        <v>45657</v>
      </c>
      <c r="D1351" s="13">
        <v>2024</v>
      </c>
      <c r="E1351" s="13" t="s">
        <v>21</v>
      </c>
      <c r="F1351" s="13" t="s">
        <v>34</v>
      </c>
      <c r="G1351" s="15">
        <v>827.55</v>
      </c>
      <c r="H1351" s="15">
        <v>827.55</v>
      </c>
      <c r="I1351" s="13">
        <v>4</v>
      </c>
      <c r="J1351" s="13">
        <v>4</v>
      </c>
      <c r="K1351" s="13" t="s">
        <v>18</v>
      </c>
      <c r="L1351" s="15">
        <v>206.88749999999999</v>
      </c>
      <c r="M1351" s="16">
        <v>206.88749999999999</v>
      </c>
    </row>
    <row r="1352" spans="1:13" s="5" customFormat="1" x14ac:dyDescent="0.25">
      <c r="A1352" s="12" t="s">
        <v>2623</v>
      </c>
      <c r="B1352" s="13" t="s">
        <v>2624</v>
      </c>
      <c r="C1352" s="14">
        <v>45772</v>
      </c>
      <c r="D1352" s="13">
        <v>2025</v>
      </c>
      <c r="E1352" s="13" t="s">
        <v>3347</v>
      </c>
      <c r="F1352" s="13" t="s">
        <v>34</v>
      </c>
      <c r="G1352" s="15">
        <v>128.85</v>
      </c>
      <c r="H1352" s="15">
        <v>128.85</v>
      </c>
      <c r="I1352" s="13">
        <v>9</v>
      </c>
      <c r="J1352" s="13">
        <v>9</v>
      </c>
      <c r="K1352" s="13" t="s">
        <v>3348</v>
      </c>
      <c r="L1352" s="15">
        <v>14.316666666666666</v>
      </c>
      <c r="M1352" s="16">
        <v>14.316666666666666</v>
      </c>
    </row>
    <row r="1353" spans="1:13" s="5" customFormat="1" x14ac:dyDescent="0.25">
      <c r="A1353" s="12" t="s">
        <v>2625</v>
      </c>
      <c r="B1353" s="13" t="s">
        <v>1964</v>
      </c>
      <c r="C1353" s="14">
        <v>45300</v>
      </c>
      <c r="D1353" s="13">
        <v>2024</v>
      </c>
      <c r="E1353" s="13" t="s">
        <v>14</v>
      </c>
      <c r="F1353" s="13" t="s">
        <v>34</v>
      </c>
      <c r="G1353" s="15">
        <v>385.08</v>
      </c>
      <c r="H1353" s="15">
        <v>385.08</v>
      </c>
      <c r="I1353" s="13">
        <v>2</v>
      </c>
      <c r="J1353" s="13">
        <v>2</v>
      </c>
      <c r="K1353" s="13" t="s">
        <v>35</v>
      </c>
      <c r="L1353" s="15">
        <v>192.54</v>
      </c>
      <c r="M1353" s="16">
        <v>192.54</v>
      </c>
    </row>
    <row r="1354" spans="1:13" s="5" customFormat="1" x14ac:dyDescent="0.25">
      <c r="A1354" s="12" t="s">
        <v>2626</v>
      </c>
      <c r="B1354" s="13" t="s">
        <v>2627</v>
      </c>
      <c r="C1354" s="14">
        <v>45769</v>
      </c>
      <c r="D1354" s="13">
        <v>2025</v>
      </c>
      <c r="E1354" s="13" t="s">
        <v>21</v>
      </c>
      <c r="F1354" s="13" t="s">
        <v>22</v>
      </c>
      <c r="G1354" s="15">
        <v>1253.78</v>
      </c>
      <c r="H1354" s="15">
        <v>1253.78</v>
      </c>
      <c r="I1354" s="13">
        <v>10</v>
      </c>
      <c r="J1354" s="13">
        <v>10</v>
      </c>
      <c r="K1354" s="13" t="s">
        <v>35</v>
      </c>
      <c r="L1354" s="15">
        <v>125.378</v>
      </c>
      <c r="M1354" s="16">
        <v>125.378</v>
      </c>
    </row>
    <row r="1355" spans="1:13" s="5" customFormat="1" x14ac:dyDescent="0.25">
      <c r="A1355" s="12" t="s">
        <v>2628</v>
      </c>
      <c r="B1355" s="13" t="s">
        <v>2629</v>
      </c>
      <c r="C1355" s="14">
        <v>45521</v>
      </c>
      <c r="D1355" s="13">
        <v>2024</v>
      </c>
      <c r="E1355" s="13" t="s">
        <v>14</v>
      </c>
      <c r="F1355" s="13" t="s">
        <v>22</v>
      </c>
      <c r="G1355" s="15">
        <v>897.74</v>
      </c>
      <c r="H1355" s="15">
        <v>897.74</v>
      </c>
      <c r="I1355" s="13">
        <v>1</v>
      </c>
      <c r="J1355" s="13">
        <v>1</v>
      </c>
      <c r="K1355" s="13" t="s">
        <v>35</v>
      </c>
      <c r="L1355" s="15">
        <v>897.74</v>
      </c>
      <c r="M1355" s="16">
        <v>897.74</v>
      </c>
    </row>
    <row r="1356" spans="1:13" s="5" customFormat="1" x14ac:dyDescent="0.25">
      <c r="A1356" s="12" t="s">
        <v>2630</v>
      </c>
      <c r="B1356" s="13" t="s">
        <v>2631</v>
      </c>
      <c r="C1356" s="14">
        <v>45333</v>
      </c>
      <c r="D1356" s="13">
        <v>2024</v>
      </c>
      <c r="E1356" s="13" t="s">
        <v>14</v>
      </c>
      <c r="F1356" s="13" t="s">
        <v>34</v>
      </c>
      <c r="G1356" s="15">
        <v>634.12</v>
      </c>
      <c r="H1356" s="15">
        <v>634.12</v>
      </c>
      <c r="I1356" s="13">
        <v>5</v>
      </c>
      <c r="J1356" s="13">
        <v>5</v>
      </c>
      <c r="K1356" s="13" t="s">
        <v>15</v>
      </c>
      <c r="L1356" s="15">
        <v>126.824</v>
      </c>
      <c r="M1356" s="16">
        <v>126.824</v>
      </c>
    </row>
    <row r="1357" spans="1:13" s="5" customFormat="1" x14ac:dyDescent="0.25">
      <c r="A1357" s="12" t="s">
        <v>2632</v>
      </c>
      <c r="B1357" s="13" t="s">
        <v>2633</v>
      </c>
      <c r="C1357" s="14">
        <v>45633</v>
      </c>
      <c r="D1357" s="13">
        <v>2024</v>
      </c>
      <c r="E1357" s="13" t="s">
        <v>21</v>
      </c>
      <c r="F1357" s="13" t="s">
        <v>11</v>
      </c>
      <c r="G1357" s="15"/>
      <c r="H1357" s="15">
        <v>790.04444444444437</v>
      </c>
      <c r="I1357" s="13">
        <v>4</v>
      </c>
      <c r="J1357" s="13">
        <v>4</v>
      </c>
      <c r="K1357" s="13" t="s">
        <v>3348</v>
      </c>
      <c r="L1357" s="15">
        <v>197.51111111111109</v>
      </c>
      <c r="M1357" s="16">
        <v>197.51111111111109</v>
      </c>
    </row>
    <row r="1358" spans="1:13" s="5" customFormat="1" x14ac:dyDescent="0.25">
      <c r="A1358" s="12" t="s">
        <v>2634</v>
      </c>
      <c r="B1358" s="13" t="s">
        <v>2635</v>
      </c>
      <c r="C1358" s="14">
        <v>45905</v>
      </c>
      <c r="D1358" s="13">
        <v>2025</v>
      </c>
      <c r="E1358" s="13" t="s">
        <v>14</v>
      </c>
      <c r="F1358" s="13" t="s">
        <v>11</v>
      </c>
      <c r="G1358" s="15">
        <v>511.6</v>
      </c>
      <c r="H1358" s="15">
        <v>511.6</v>
      </c>
      <c r="I1358" s="13">
        <v>6</v>
      </c>
      <c r="J1358" s="13">
        <v>6</v>
      </c>
      <c r="K1358" s="13" t="s">
        <v>3348</v>
      </c>
      <c r="L1358" s="15">
        <v>85.266666666666666</v>
      </c>
      <c r="M1358" s="16">
        <v>85.266666666666666</v>
      </c>
    </row>
    <row r="1359" spans="1:13" s="5" customFormat="1" x14ac:dyDescent="0.25">
      <c r="A1359" s="12" t="s">
        <v>2636</v>
      </c>
      <c r="B1359" s="13" t="s">
        <v>655</v>
      </c>
      <c r="C1359" s="14">
        <v>45950</v>
      </c>
      <c r="D1359" s="13">
        <v>2025</v>
      </c>
      <c r="E1359" s="13" t="s">
        <v>10</v>
      </c>
      <c r="F1359" s="13" t="s">
        <v>22</v>
      </c>
      <c r="G1359" s="15"/>
      <c r="H1359" s="15">
        <v>179.81813095238098</v>
      </c>
      <c r="I1359" s="13">
        <v>1</v>
      </c>
      <c r="J1359" s="13">
        <v>1</v>
      </c>
      <c r="K1359" s="13" t="s">
        <v>35</v>
      </c>
      <c r="L1359" s="15">
        <v>179.81813095238098</v>
      </c>
      <c r="M1359" s="16">
        <v>179.81813095238098</v>
      </c>
    </row>
    <row r="1360" spans="1:13" s="5" customFormat="1" x14ac:dyDescent="0.25">
      <c r="A1360" s="12" t="s">
        <v>2637</v>
      </c>
      <c r="B1360" s="13" t="s">
        <v>2638</v>
      </c>
      <c r="C1360" s="14">
        <v>45815</v>
      </c>
      <c r="D1360" s="13">
        <v>2025</v>
      </c>
      <c r="E1360" s="13" t="s">
        <v>14</v>
      </c>
      <c r="F1360" s="13" t="s">
        <v>22</v>
      </c>
      <c r="G1360" s="15">
        <v>282.67</v>
      </c>
      <c r="H1360" s="15">
        <v>282.67</v>
      </c>
      <c r="I1360" s="13">
        <v>4</v>
      </c>
      <c r="J1360" s="13">
        <v>4</v>
      </c>
      <c r="K1360" s="13" t="s">
        <v>15</v>
      </c>
      <c r="L1360" s="15">
        <v>70.667500000000004</v>
      </c>
      <c r="M1360" s="16">
        <v>70.667500000000004</v>
      </c>
    </row>
    <row r="1361" spans="1:13" s="5" customFormat="1" x14ac:dyDescent="0.25">
      <c r="A1361" s="12" t="s">
        <v>2639</v>
      </c>
      <c r="B1361" s="13" t="s">
        <v>2640</v>
      </c>
      <c r="C1361" s="14">
        <v>45944</v>
      </c>
      <c r="D1361" s="13">
        <v>2025</v>
      </c>
      <c r="E1361" s="13" t="s">
        <v>14</v>
      </c>
      <c r="F1361" s="13" t="s">
        <v>22</v>
      </c>
      <c r="G1361" s="15">
        <v>1634</v>
      </c>
      <c r="H1361" s="15">
        <v>1634</v>
      </c>
      <c r="I1361" s="13">
        <v>10</v>
      </c>
      <c r="J1361" s="13">
        <v>10</v>
      </c>
      <c r="K1361" s="13" t="s">
        <v>15</v>
      </c>
      <c r="L1361" s="15">
        <v>163.4</v>
      </c>
      <c r="M1361" s="16">
        <v>163.4</v>
      </c>
    </row>
    <row r="1362" spans="1:13" s="5" customFormat="1" x14ac:dyDescent="0.25">
      <c r="A1362" s="12" t="s">
        <v>2641</v>
      </c>
      <c r="B1362" s="13" t="s">
        <v>2642</v>
      </c>
      <c r="C1362" s="14">
        <v>44894</v>
      </c>
      <c r="D1362" s="13">
        <v>2022</v>
      </c>
      <c r="E1362" s="13" t="s">
        <v>14</v>
      </c>
      <c r="F1362" s="13" t="s">
        <v>22</v>
      </c>
      <c r="G1362" s="15">
        <v>1487.37</v>
      </c>
      <c r="H1362" s="15">
        <v>1487.37</v>
      </c>
      <c r="I1362" s="13">
        <v>9</v>
      </c>
      <c r="J1362" s="13">
        <v>9</v>
      </c>
      <c r="K1362" s="13" t="s">
        <v>3348</v>
      </c>
      <c r="L1362" s="15">
        <v>165.26333333333332</v>
      </c>
      <c r="M1362" s="16">
        <v>165.26333333333332</v>
      </c>
    </row>
    <row r="1363" spans="1:13" s="5" customFormat="1" x14ac:dyDescent="0.25">
      <c r="A1363" s="12" t="s">
        <v>2643</v>
      </c>
      <c r="B1363" s="13" t="s">
        <v>2644</v>
      </c>
      <c r="C1363" s="14">
        <v>45693</v>
      </c>
      <c r="D1363" s="13">
        <v>2025</v>
      </c>
      <c r="E1363" s="13" t="s">
        <v>10</v>
      </c>
      <c r="F1363" s="13" t="s">
        <v>11</v>
      </c>
      <c r="G1363" s="15">
        <v>1308.99</v>
      </c>
      <c r="H1363" s="15">
        <v>1308.99</v>
      </c>
      <c r="I1363" s="13">
        <v>8</v>
      </c>
      <c r="J1363" s="13">
        <v>8</v>
      </c>
      <c r="K1363" s="13" t="s">
        <v>18</v>
      </c>
      <c r="L1363" s="15">
        <v>163.62375</v>
      </c>
      <c r="M1363" s="16">
        <v>163.62375</v>
      </c>
    </row>
    <row r="1364" spans="1:13" s="5" customFormat="1" x14ac:dyDescent="0.25">
      <c r="A1364" s="12" t="s">
        <v>2645</v>
      </c>
      <c r="B1364" s="13" t="s">
        <v>2646</v>
      </c>
      <c r="C1364" s="14">
        <v>44875</v>
      </c>
      <c r="D1364" s="13">
        <v>2022</v>
      </c>
      <c r="E1364" s="13" t="s">
        <v>10</v>
      </c>
      <c r="F1364" s="13" t="s">
        <v>34</v>
      </c>
      <c r="G1364" s="15">
        <v>134.6</v>
      </c>
      <c r="H1364" s="15">
        <v>134.6</v>
      </c>
      <c r="I1364" s="13">
        <v>5</v>
      </c>
      <c r="J1364" s="13">
        <v>5</v>
      </c>
      <c r="K1364" s="13" t="s">
        <v>35</v>
      </c>
      <c r="L1364" s="15">
        <v>26.919999999999998</v>
      </c>
      <c r="M1364" s="16">
        <v>26.919999999999998</v>
      </c>
    </row>
    <row r="1365" spans="1:13" s="5" customFormat="1" x14ac:dyDescent="0.25">
      <c r="A1365" s="12" t="s">
        <v>2647</v>
      </c>
      <c r="B1365" s="13" t="s">
        <v>2648</v>
      </c>
      <c r="C1365" s="14">
        <v>44862</v>
      </c>
      <c r="D1365" s="13">
        <v>2022</v>
      </c>
      <c r="E1365" s="13" t="s">
        <v>10</v>
      </c>
      <c r="F1365" s="13" t="s">
        <v>25</v>
      </c>
      <c r="G1365" s="15">
        <v>1076.67</v>
      </c>
      <c r="H1365" s="15">
        <v>1076.67</v>
      </c>
      <c r="I1365" s="13">
        <v>9</v>
      </c>
      <c r="J1365" s="13">
        <v>9</v>
      </c>
      <c r="K1365" s="13" t="s">
        <v>3346</v>
      </c>
      <c r="L1365" s="15">
        <v>119.63000000000001</v>
      </c>
      <c r="M1365" s="16">
        <v>119.63000000000001</v>
      </c>
    </row>
    <row r="1366" spans="1:13" s="5" customFormat="1" x14ac:dyDescent="0.25">
      <c r="A1366" s="12" t="s">
        <v>2649</v>
      </c>
      <c r="B1366" s="13" t="s">
        <v>2650</v>
      </c>
      <c r="C1366" s="14">
        <v>45499</v>
      </c>
      <c r="D1366" s="13">
        <v>2024</v>
      </c>
      <c r="E1366" s="13" t="s">
        <v>14</v>
      </c>
      <c r="F1366" s="13" t="s">
        <v>25</v>
      </c>
      <c r="G1366" s="15">
        <v>1255</v>
      </c>
      <c r="H1366" s="15">
        <v>1255</v>
      </c>
      <c r="I1366" s="13">
        <v>3</v>
      </c>
      <c r="J1366" s="13">
        <v>3</v>
      </c>
      <c r="K1366" s="13" t="s">
        <v>15</v>
      </c>
      <c r="L1366" s="15">
        <v>418.33333333333331</v>
      </c>
      <c r="M1366" s="16">
        <v>418.33333333333331</v>
      </c>
    </row>
    <row r="1367" spans="1:13" s="5" customFormat="1" x14ac:dyDescent="0.25">
      <c r="A1367" s="12" t="s">
        <v>2651</v>
      </c>
      <c r="B1367" s="13" t="s">
        <v>2652</v>
      </c>
      <c r="C1367" s="14">
        <v>45494</v>
      </c>
      <c r="D1367" s="13">
        <v>2024</v>
      </c>
      <c r="E1367" s="13" t="s">
        <v>3347</v>
      </c>
      <c r="F1367" s="13" t="s">
        <v>22</v>
      </c>
      <c r="G1367" s="15">
        <v>845.36</v>
      </c>
      <c r="H1367" s="15">
        <v>845.36</v>
      </c>
      <c r="I1367" s="13">
        <v>4</v>
      </c>
      <c r="J1367" s="13">
        <v>4</v>
      </c>
      <c r="K1367" s="13" t="s">
        <v>3348</v>
      </c>
      <c r="L1367" s="15">
        <v>211.34</v>
      </c>
      <c r="M1367" s="16">
        <v>211.34</v>
      </c>
    </row>
    <row r="1368" spans="1:13" s="5" customFormat="1" x14ac:dyDescent="0.25">
      <c r="A1368" s="12" t="s">
        <v>2653</v>
      </c>
      <c r="B1368" s="13" t="s">
        <v>2654</v>
      </c>
      <c r="C1368" s="14">
        <v>45086</v>
      </c>
      <c r="D1368" s="13">
        <v>2023</v>
      </c>
      <c r="E1368" s="13" t="s">
        <v>14</v>
      </c>
      <c r="F1368" s="13" t="s">
        <v>25</v>
      </c>
      <c r="G1368" s="15">
        <v>1082.53</v>
      </c>
      <c r="H1368" s="15">
        <v>1082.53</v>
      </c>
      <c r="I1368" s="13">
        <v>8</v>
      </c>
      <c r="J1368" s="13">
        <v>8</v>
      </c>
      <c r="K1368" s="13" t="s">
        <v>18</v>
      </c>
      <c r="L1368" s="15">
        <v>135.31625</v>
      </c>
      <c r="M1368" s="16">
        <v>135.31625</v>
      </c>
    </row>
    <row r="1369" spans="1:13" s="5" customFormat="1" x14ac:dyDescent="0.25">
      <c r="A1369" s="12" t="s">
        <v>2655</v>
      </c>
      <c r="B1369" s="13" t="s">
        <v>2656</v>
      </c>
      <c r="C1369" s="14">
        <v>45714</v>
      </c>
      <c r="D1369" s="13">
        <v>2025</v>
      </c>
      <c r="E1369" s="13" t="s">
        <v>21</v>
      </c>
      <c r="F1369" s="13" t="s">
        <v>34</v>
      </c>
      <c r="G1369" s="15">
        <v>1358.64</v>
      </c>
      <c r="H1369" s="15">
        <v>1358.64</v>
      </c>
      <c r="I1369" s="13">
        <v>5</v>
      </c>
      <c r="J1369" s="13">
        <v>5</v>
      </c>
      <c r="K1369" s="13" t="s">
        <v>3346</v>
      </c>
      <c r="L1369" s="15">
        <v>271.72800000000001</v>
      </c>
      <c r="M1369" s="16">
        <v>271.72800000000001</v>
      </c>
    </row>
    <row r="1370" spans="1:13" s="5" customFormat="1" x14ac:dyDescent="0.25">
      <c r="A1370" s="12" t="s">
        <v>2657</v>
      </c>
      <c r="B1370" s="13" t="s">
        <v>2658</v>
      </c>
      <c r="C1370" s="14">
        <v>45266</v>
      </c>
      <c r="D1370" s="13">
        <v>2023</v>
      </c>
      <c r="E1370" s="13" t="s">
        <v>10</v>
      </c>
      <c r="F1370" s="13" t="s">
        <v>22</v>
      </c>
      <c r="G1370" s="15">
        <v>1972.26</v>
      </c>
      <c r="H1370" s="15">
        <v>1972.26</v>
      </c>
      <c r="I1370" s="13">
        <v>2</v>
      </c>
      <c r="J1370" s="13">
        <v>2</v>
      </c>
      <c r="K1370" s="13" t="s">
        <v>18</v>
      </c>
      <c r="L1370" s="15">
        <v>986.13</v>
      </c>
      <c r="M1370" s="16">
        <v>986.13</v>
      </c>
    </row>
    <row r="1371" spans="1:13" s="5" customFormat="1" x14ac:dyDescent="0.25">
      <c r="A1371" s="12" t="s">
        <v>2659</v>
      </c>
      <c r="B1371" s="13" t="s">
        <v>2660</v>
      </c>
      <c r="C1371" s="14">
        <v>45437</v>
      </c>
      <c r="D1371" s="13">
        <v>2024</v>
      </c>
      <c r="E1371" s="13" t="s">
        <v>21</v>
      </c>
      <c r="F1371" s="13" t="s">
        <v>22</v>
      </c>
      <c r="G1371" s="15">
        <v>1699.83</v>
      </c>
      <c r="H1371" s="15">
        <v>1699.83</v>
      </c>
      <c r="I1371" s="13">
        <v>8</v>
      </c>
      <c r="J1371" s="13">
        <v>8</v>
      </c>
      <c r="K1371" s="13" t="s">
        <v>3346</v>
      </c>
      <c r="L1371" s="15">
        <v>212.47874999999999</v>
      </c>
      <c r="M1371" s="16">
        <v>212.47874999999999</v>
      </c>
    </row>
    <row r="1372" spans="1:13" s="5" customFormat="1" x14ac:dyDescent="0.25">
      <c r="A1372" s="12" t="s">
        <v>2661</v>
      </c>
      <c r="B1372" s="13" t="s">
        <v>2662</v>
      </c>
      <c r="C1372" s="14">
        <v>45695</v>
      </c>
      <c r="D1372" s="13">
        <v>2025</v>
      </c>
      <c r="E1372" s="13" t="s">
        <v>14</v>
      </c>
      <c r="F1372" s="13" t="s">
        <v>25</v>
      </c>
      <c r="G1372" s="15">
        <v>1521.1</v>
      </c>
      <c r="H1372" s="15">
        <v>1521.1</v>
      </c>
      <c r="I1372" s="13">
        <v>4</v>
      </c>
      <c r="J1372" s="13">
        <v>4</v>
      </c>
      <c r="K1372" s="13" t="s">
        <v>15</v>
      </c>
      <c r="L1372" s="15">
        <v>380.27499999999998</v>
      </c>
      <c r="M1372" s="16">
        <v>380.27499999999998</v>
      </c>
    </row>
    <row r="1373" spans="1:13" s="5" customFormat="1" x14ac:dyDescent="0.25">
      <c r="A1373" s="12" t="s">
        <v>2663</v>
      </c>
      <c r="B1373" s="13" t="s">
        <v>2664</v>
      </c>
      <c r="C1373" s="14">
        <v>45864</v>
      </c>
      <c r="D1373" s="13">
        <v>2025</v>
      </c>
      <c r="E1373" s="13" t="s">
        <v>14</v>
      </c>
      <c r="F1373" s="13" t="s">
        <v>22</v>
      </c>
      <c r="G1373" s="15"/>
      <c r="H1373" s="15">
        <v>395.92644444444443</v>
      </c>
      <c r="I1373" s="13">
        <v>2</v>
      </c>
      <c r="J1373" s="13">
        <v>2</v>
      </c>
      <c r="K1373" s="13" t="s">
        <v>35</v>
      </c>
      <c r="L1373" s="15">
        <v>197.96322222222221</v>
      </c>
      <c r="M1373" s="16">
        <v>197.96322222222221</v>
      </c>
    </row>
    <row r="1374" spans="1:13" s="5" customFormat="1" x14ac:dyDescent="0.25">
      <c r="A1374" s="12" t="s">
        <v>2665</v>
      </c>
      <c r="B1374" s="13" t="s">
        <v>2666</v>
      </c>
      <c r="C1374" s="14">
        <v>44970</v>
      </c>
      <c r="D1374" s="13">
        <v>2023</v>
      </c>
      <c r="E1374" s="13" t="s">
        <v>10</v>
      </c>
      <c r="F1374" s="13" t="s">
        <v>25</v>
      </c>
      <c r="G1374" s="15">
        <v>1380.24</v>
      </c>
      <c r="H1374" s="15">
        <v>1380.24</v>
      </c>
      <c r="I1374" s="13">
        <v>3</v>
      </c>
      <c r="J1374" s="13">
        <v>3</v>
      </c>
      <c r="K1374" s="13" t="s">
        <v>15</v>
      </c>
      <c r="L1374" s="15">
        <v>460.08</v>
      </c>
      <c r="M1374" s="16">
        <v>460.08</v>
      </c>
    </row>
    <row r="1375" spans="1:13" s="5" customFormat="1" x14ac:dyDescent="0.25">
      <c r="A1375" s="12" t="s">
        <v>2667</v>
      </c>
      <c r="B1375" s="13" t="s">
        <v>2668</v>
      </c>
      <c r="C1375" s="14">
        <v>45485</v>
      </c>
      <c r="D1375" s="13">
        <v>2024</v>
      </c>
      <c r="E1375" s="13" t="s">
        <v>14</v>
      </c>
      <c r="F1375" s="13" t="s">
        <v>22</v>
      </c>
      <c r="G1375" s="15">
        <v>958.47</v>
      </c>
      <c r="H1375" s="15">
        <v>958.47</v>
      </c>
      <c r="I1375" s="13">
        <v>6</v>
      </c>
      <c r="J1375" s="13">
        <v>6</v>
      </c>
      <c r="K1375" s="13" t="s">
        <v>18</v>
      </c>
      <c r="L1375" s="15">
        <v>159.745</v>
      </c>
      <c r="M1375" s="16">
        <v>159.745</v>
      </c>
    </row>
    <row r="1376" spans="1:13" s="5" customFormat="1" x14ac:dyDescent="0.25">
      <c r="A1376" s="12" t="s">
        <v>2669</v>
      </c>
      <c r="B1376" s="13" t="s">
        <v>2670</v>
      </c>
      <c r="C1376" s="14">
        <v>45378</v>
      </c>
      <c r="D1376" s="13">
        <v>2024</v>
      </c>
      <c r="E1376" s="13" t="s">
        <v>10</v>
      </c>
      <c r="F1376" s="13" t="s">
        <v>25</v>
      </c>
      <c r="G1376" s="15">
        <v>844.67</v>
      </c>
      <c r="H1376" s="15">
        <v>844.67</v>
      </c>
      <c r="I1376" s="13">
        <v>6</v>
      </c>
      <c r="J1376" s="13">
        <v>6</v>
      </c>
      <c r="K1376" s="13" t="s">
        <v>15</v>
      </c>
      <c r="L1376" s="15">
        <v>140.77833333333334</v>
      </c>
      <c r="M1376" s="16">
        <v>140.77833333333334</v>
      </c>
    </row>
    <row r="1377" spans="1:13" s="5" customFormat="1" x14ac:dyDescent="0.25">
      <c r="A1377" s="12" t="s">
        <v>2671</v>
      </c>
      <c r="B1377" s="13" t="s">
        <v>2672</v>
      </c>
      <c r="C1377" s="14">
        <v>45136</v>
      </c>
      <c r="D1377" s="13">
        <v>2023</v>
      </c>
      <c r="E1377" s="13" t="s">
        <v>3347</v>
      </c>
      <c r="F1377" s="13" t="s">
        <v>34</v>
      </c>
      <c r="G1377" s="15"/>
      <c r="H1377" s="15">
        <v>1500.4104953703702</v>
      </c>
      <c r="I1377" s="13">
        <v>7</v>
      </c>
      <c r="J1377" s="13">
        <v>7</v>
      </c>
      <c r="K1377" s="13" t="s">
        <v>18</v>
      </c>
      <c r="L1377" s="15">
        <v>214.34435648148147</v>
      </c>
      <c r="M1377" s="16">
        <v>214.34435648148147</v>
      </c>
    </row>
    <row r="1378" spans="1:13" s="5" customFormat="1" x14ac:dyDescent="0.25">
      <c r="A1378" s="12" t="s">
        <v>2673</v>
      </c>
      <c r="B1378" s="13" t="s">
        <v>2674</v>
      </c>
      <c r="C1378" s="14">
        <v>45348</v>
      </c>
      <c r="D1378" s="13">
        <v>2024</v>
      </c>
      <c r="E1378" s="13" t="s">
        <v>3347</v>
      </c>
      <c r="F1378" s="13" t="s">
        <v>22</v>
      </c>
      <c r="G1378" s="15">
        <v>1277.43</v>
      </c>
      <c r="H1378" s="15">
        <v>1277.43</v>
      </c>
      <c r="I1378" s="13">
        <v>5</v>
      </c>
      <c r="J1378" s="13">
        <v>5</v>
      </c>
      <c r="K1378" s="13" t="s">
        <v>3346</v>
      </c>
      <c r="L1378" s="15">
        <v>255.48600000000002</v>
      </c>
      <c r="M1378" s="16">
        <v>255.48600000000002</v>
      </c>
    </row>
    <row r="1379" spans="1:13" s="5" customFormat="1" x14ac:dyDescent="0.25">
      <c r="A1379" s="12" t="s">
        <v>2675</v>
      </c>
      <c r="B1379" s="13" t="s">
        <v>2676</v>
      </c>
      <c r="C1379" s="14">
        <v>45343</v>
      </c>
      <c r="D1379" s="13">
        <v>2024</v>
      </c>
      <c r="E1379" s="13" t="s">
        <v>14</v>
      </c>
      <c r="F1379" s="13" t="s">
        <v>34</v>
      </c>
      <c r="G1379" s="15">
        <v>756.07</v>
      </c>
      <c r="H1379" s="15">
        <v>756.07</v>
      </c>
      <c r="I1379" s="13">
        <v>7</v>
      </c>
      <c r="J1379" s="13">
        <v>7</v>
      </c>
      <c r="K1379" s="13" t="s">
        <v>35</v>
      </c>
      <c r="L1379" s="15">
        <v>108.01</v>
      </c>
      <c r="M1379" s="16">
        <v>108.01</v>
      </c>
    </row>
    <row r="1380" spans="1:13" s="5" customFormat="1" x14ac:dyDescent="0.25">
      <c r="A1380" s="12" t="s">
        <v>2677</v>
      </c>
      <c r="B1380" s="13" t="s">
        <v>401</v>
      </c>
      <c r="C1380" s="14">
        <v>45419</v>
      </c>
      <c r="D1380" s="13">
        <v>2024</v>
      </c>
      <c r="E1380" s="13" t="s">
        <v>3347</v>
      </c>
      <c r="F1380" s="13" t="s">
        <v>22</v>
      </c>
      <c r="G1380" s="15">
        <v>896.59</v>
      </c>
      <c r="H1380" s="15">
        <v>896.59</v>
      </c>
      <c r="I1380" s="13">
        <v>2</v>
      </c>
      <c r="J1380" s="13">
        <v>2</v>
      </c>
      <c r="K1380" s="13" t="s">
        <v>3346</v>
      </c>
      <c r="L1380" s="15">
        <v>448.29500000000002</v>
      </c>
      <c r="M1380" s="16">
        <v>448.29500000000002</v>
      </c>
    </row>
    <row r="1381" spans="1:13" s="5" customFormat="1" x14ac:dyDescent="0.25">
      <c r="A1381" s="12" t="s">
        <v>2678</v>
      </c>
      <c r="B1381" s="13" t="s">
        <v>2679</v>
      </c>
      <c r="C1381" s="14">
        <v>44937</v>
      </c>
      <c r="D1381" s="13">
        <v>2023</v>
      </c>
      <c r="E1381" s="13" t="s">
        <v>14</v>
      </c>
      <c r="F1381" s="13" t="s">
        <v>34</v>
      </c>
      <c r="G1381" s="15">
        <v>364.78</v>
      </c>
      <c r="H1381" s="15">
        <v>364.78</v>
      </c>
      <c r="I1381" s="13">
        <v>5</v>
      </c>
      <c r="J1381" s="13">
        <v>5</v>
      </c>
      <c r="K1381" s="13" t="s">
        <v>3346</v>
      </c>
      <c r="L1381" s="15">
        <v>72.955999999999989</v>
      </c>
      <c r="M1381" s="16">
        <v>72.955999999999989</v>
      </c>
    </row>
    <row r="1382" spans="1:13" s="5" customFormat="1" x14ac:dyDescent="0.25">
      <c r="A1382" s="12" t="s">
        <v>2680</v>
      </c>
      <c r="B1382" s="13" t="s">
        <v>2681</v>
      </c>
      <c r="C1382" s="14">
        <v>45049</v>
      </c>
      <c r="D1382" s="13">
        <v>2023</v>
      </c>
      <c r="E1382" s="13" t="s">
        <v>14</v>
      </c>
      <c r="F1382" s="13" t="s">
        <v>34</v>
      </c>
      <c r="G1382" s="15">
        <v>741.34</v>
      </c>
      <c r="H1382" s="15">
        <v>741.34</v>
      </c>
      <c r="I1382" s="13">
        <v>10</v>
      </c>
      <c r="J1382" s="13">
        <v>10</v>
      </c>
      <c r="K1382" s="13" t="s">
        <v>35</v>
      </c>
      <c r="L1382" s="15">
        <v>74.134</v>
      </c>
      <c r="M1382" s="16">
        <v>74.134</v>
      </c>
    </row>
    <row r="1383" spans="1:13" s="5" customFormat="1" x14ac:dyDescent="0.25">
      <c r="A1383" s="12" t="s">
        <v>2682</v>
      </c>
      <c r="B1383" s="13" t="s">
        <v>682</v>
      </c>
      <c r="C1383" s="14">
        <v>45426</v>
      </c>
      <c r="D1383" s="13">
        <v>2024</v>
      </c>
      <c r="E1383" s="13" t="s">
        <v>14</v>
      </c>
      <c r="F1383" s="13" t="s">
        <v>22</v>
      </c>
      <c r="G1383" s="15">
        <v>24.72</v>
      </c>
      <c r="H1383" s="15">
        <v>24.72</v>
      </c>
      <c r="I1383" s="13">
        <v>5</v>
      </c>
      <c r="J1383" s="13">
        <v>5</v>
      </c>
      <c r="K1383" s="13" t="s">
        <v>3346</v>
      </c>
      <c r="L1383" s="15">
        <v>4.944</v>
      </c>
      <c r="M1383" s="16">
        <v>4.944</v>
      </c>
    </row>
    <row r="1384" spans="1:13" s="5" customFormat="1" x14ac:dyDescent="0.25">
      <c r="A1384" s="12" t="s">
        <v>2683</v>
      </c>
      <c r="B1384" s="13" t="s">
        <v>2684</v>
      </c>
      <c r="C1384" s="14">
        <v>44886</v>
      </c>
      <c r="D1384" s="13">
        <v>2022</v>
      </c>
      <c r="E1384" s="13" t="s">
        <v>14</v>
      </c>
      <c r="F1384" s="13" t="s">
        <v>11</v>
      </c>
      <c r="G1384" s="15">
        <v>1742.27</v>
      </c>
      <c r="H1384" s="15">
        <v>1742.27</v>
      </c>
      <c r="I1384" s="13">
        <v>3</v>
      </c>
      <c r="J1384" s="13">
        <v>3</v>
      </c>
      <c r="K1384" s="13" t="s">
        <v>35</v>
      </c>
      <c r="L1384" s="15">
        <v>580.75666666666666</v>
      </c>
      <c r="M1384" s="16">
        <v>580.75666666666666</v>
      </c>
    </row>
    <row r="1385" spans="1:13" s="5" customFormat="1" x14ac:dyDescent="0.25">
      <c r="A1385" s="12" t="s">
        <v>2685</v>
      </c>
      <c r="B1385" s="13" t="s">
        <v>2686</v>
      </c>
      <c r="C1385" s="14">
        <v>45726</v>
      </c>
      <c r="D1385" s="13">
        <v>2025</v>
      </c>
      <c r="E1385" s="13" t="s">
        <v>14</v>
      </c>
      <c r="F1385" s="13" t="s">
        <v>25</v>
      </c>
      <c r="G1385" s="15">
        <v>1592.42</v>
      </c>
      <c r="H1385" s="15">
        <v>1592.42</v>
      </c>
      <c r="I1385" s="13"/>
      <c r="J1385" s="13">
        <v>5</v>
      </c>
      <c r="K1385" s="13" t="s">
        <v>3346</v>
      </c>
      <c r="L1385" s="15">
        <v>318.48400000000004</v>
      </c>
      <c r="M1385" s="16">
        <v>335.83906194444461</v>
      </c>
    </row>
    <row r="1386" spans="1:13" s="5" customFormat="1" x14ac:dyDescent="0.25">
      <c r="A1386" s="12" t="s">
        <v>2687</v>
      </c>
      <c r="B1386" s="13" t="s">
        <v>2688</v>
      </c>
      <c r="C1386" s="14">
        <v>45184</v>
      </c>
      <c r="D1386" s="13">
        <v>2023</v>
      </c>
      <c r="E1386" s="13" t="s">
        <v>10</v>
      </c>
      <c r="F1386" s="13" t="s">
        <v>11</v>
      </c>
      <c r="G1386" s="15">
        <v>1259.31</v>
      </c>
      <c r="H1386" s="15">
        <v>1259.31</v>
      </c>
      <c r="I1386" s="13">
        <v>1</v>
      </c>
      <c r="J1386" s="13">
        <v>1</v>
      </c>
      <c r="K1386" s="13" t="s">
        <v>35</v>
      </c>
      <c r="L1386" s="15">
        <v>1259.31</v>
      </c>
      <c r="M1386" s="16">
        <v>1259.31</v>
      </c>
    </row>
    <row r="1387" spans="1:13" s="5" customFormat="1" x14ac:dyDescent="0.25">
      <c r="A1387" s="12" t="s">
        <v>2689</v>
      </c>
      <c r="B1387" s="13" t="s">
        <v>1959</v>
      </c>
      <c r="C1387" s="14">
        <v>45512</v>
      </c>
      <c r="D1387" s="13">
        <v>2024</v>
      </c>
      <c r="E1387" s="13" t="s">
        <v>21</v>
      </c>
      <c r="F1387" s="13" t="s">
        <v>25</v>
      </c>
      <c r="G1387" s="15"/>
      <c r="H1387" s="15">
        <v>640.53208928571428</v>
      </c>
      <c r="I1387" s="13">
        <v>3</v>
      </c>
      <c r="J1387" s="13">
        <v>3</v>
      </c>
      <c r="K1387" s="13" t="s">
        <v>18</v>
      </c>
      <c r="L1387" s="15">
        <v>213.51069642857144</v>
      </c>
      <c r="M1387" s="16">
        <v>213.51069642857144</v>
      </c>
    </row>
    <row r="1388" spans="1:13" s="5" customFormat="1" x14ac:dyDescent="0.25">
      <c r="A1388" s="12" t="s">
        <v>2690</v>
      </c>
      <c r="B1388" s="13" t="s">
        <v>2691</v>
      </c>
      <c r="C1388" s="14">
        <v>45043</v>
      </c>
      <c r="D1388" s="13">
        <v>2023</v>
      </c>
      <c r="E1388" s="13" t="s">
        <v>21</v>
      </c>
      <c r="F1388" s="13" t="s">
        <v>34</v>
      </c>
      <c r="G1388" s="15">
        <v>949.11</v>
      </c>
      <c r="H1388" s="15">
        <v>949.11</v>
      </c>
      <c r="I1388" s="13">
        <v>10</v>
      </c>
      <c r="J1388" s="13">
        <v>10</v>
      </c>
      <c r="K1388" s="13" t="s">
        <v>35</v>
      </c>
      <c r="L1388" s="15">
        <v>94.911000000000001</v>
      </c>
      <c r="M1388" s="16">
        <v>94.911000000000001</v>
      </c>
    </row>
    <row r="1389" spans="1:13" s="5" customFormat="1" x14ac:dyDescent="0.25">
      <c r="A1389" s="12" t="s">
        <v>2692</v>
      </c>
      <c r="B1389" s="13" t="s">
        <v>2693</v>
      </c>
      <c r="C1389" s="14">
        <v>45773</v>
      </c>
      <c r="D1389" s="13">
        <v>2025</v>
      </c>
      <c r="E1389" s="13" t="s">
        <v>3347</v>
      </c>
      <c r="F1389" s="13" t="s">
        <v>22</v>
      </c>
      <c r="G1389" s="15"/>
      <c r="H1389" s="15">
        <v>1360.3086250000001</v>
      </c>
      <c r="I1389" s="13">
        <v>4</v>
      </c>
      <c r="J1389" s="13">
        <v>4</v>
      </c>
      <c r="K1389" s="13" t="s">
        <v>3348</v>
      </c>
      <c r="L1389" s="15">
        <v>340.07715625000003</v>
      </c>
      <c r="M1389" s="16">
        <v>340.07715625000003</v>
      </c>
    </row>
    <row r="1390" spans="1:13" s="5" customFormat="1" x14ac:dyDescent="0.25">
      <c r="A1390" s="12" t="s">
        <v>2694</v>
      </c>
      <c r="B1390" s="13" t="s">
        <v>2695</v>
      </c>
      <c r="C1390" s="14">
        <v>45822</v>
      </c>
      <c r="D1390" s="13">
        <v>2025</v>
      </c>
      <c r="E1390" s="13" t="s">
        <v>21</v>
      </c>
      <c r="F1390" s="13" t="s">
        <v>11</v>
      </c>
      <c r="G1390" s="15">
        <v>1199.76</v>
      </c>
      <c r="H1390" s="15">
        <v>1199.76</v>
      </c>
      <c r="I1390" s="13">
        <v>7</v>
      </c>
      <c r="J1390" s="13">
        <v>7</v>
      </c>
      <c r="K1390" s="13" t="s">
        <v>3346</v>
      </c>
      <c r="L1390" s="15">
        <v>171.3942857142857</v>
      </c>
      <c r="M1390" s="16">
        <v>171.3942857142857</v>
      </c>
    </row>
    <row r="1391" spans="1:13" s="5" customFormat="1" x14ac:dyDescent="0.25">
      <c r="A1391" s="12" t="s">
        <v>2696</v>
      </c>
      <c r="B1391" s="13" t="s">
        <v>1935</v>
      </c>
      <c r="C1391" s="14">
        <v>45920</v>
      </c>
      <c r="D1391" s="13">
        <v>2025</v>
      </c>
      <c r="E1391" s="13" t="s">
        <v>3347</v>
      </c>
      <c r="F1391" s="13" t="s">
        <v>11</v>
      </c>
      <c r="G1391" s="15">
        <v>572.02</v>
      </c>
      <c r="H1391" s="15">
        <v>572.02</v>
      </c>
      <c r="I1391" s="13">
        <v>6</v>
      </c>
      <c r="J1391" s="13">
        <v>6</v>
      </c>
      <c r="K1391" s="13" t="s">
        <v>18</v>
      </c>
      <c r="L1391" s="15">
        <v>95.336666666666659</v>
      </c>
      <c r="M1391" s="16">
        <v>95.336666666666659</v>
      </c>
    </row>
    <row r="1392" spans="1:13" s="5" customFormat="1" x14ac:dyDescent="0.25">
      <c r="A1392" s="12" t="s">
        <v>2697</v>
      </c>
      <c r="B1392" s="13" t="s">
        <v>2698</v>
      </c>
      <c r="C1392" s="14">
        <v>45925</v>
      </c>
      <c r="D1392" s="13">
        <v>2025</v>
      </c>
      <c r="E1392" s="13" t="s">
        <v>14</v>
      </c>
      <c r="F1392" s="13" t="s">
        <v>22</v>
      </c>
      <c r="G1392" s="15">
        <v>1851.38</v>
      </c>
      <c r="H1392" s="15">
        <v>1851.38</v>
      </c>
      <c r="I1392" s="13">
        <v>1</v>
      </c>
      <c r="J1392" s="13">
        <v>1</v>
      </c>
      <c r="K1392" s="13" t="s">
        <v>18</v>
      </c>
      <c r="L1392" s="15">
        <v>1851.38</v>
      </c>
      <c r="M1392" s="16">
        <v>1851.38</v>
      </c>
    </row>
    <row r="1393" spans="1:13" s="5" customFormat="1" x14ac:dyDescent="0.25">
      <c r="A1393" s="12" t="s">
        <v>2699</v>
      </c>
      <c r="B1393" s="13" t="s">
        <v>2700</v>
      </c>
      <c r="C1393" s="14">
        <v>45651</v>
      </c>
      <c r="D1393" s="13">
        <v>2024</v>
      </c>
      <c r="E1393" s="13" t="s">
        <v>3347</v>
      </c>
      <c r="F1393" s="13" t="s">
        <v>34</v>
      </c>
      <c r="G1393" s="15">
        <v>1860.82</v>
      </c>
      <c r="H1393" s="15">
        <v>1860.82</v>
      </c>
      <c r="I1393" s="13">
        <v>1</v>
      </c>
      <c r="J1393" s="13">
        <v>1</v>
      </c>
      <c r="K1393" s="13" t="s">
        <v>35</v>
      </c>
      <c r="L1393" s="15">
        <v>1860.82</v>
      </c>
      <c r="M1393" s="16">
        <v>1860.82</v>
      </c>
    </row>
    <row r="1394" spans="1:13" s="5" customFormat="1" x14ac:dyDescent="0.25">
      <c r="A1394" s="12" t="s">
        <v>2701</v>
      </c>
      <c r="B1394" s="13" t="s">
        <v>2702</v>
      </c>
      <c r="C1394" s="14">
        <v>45046</v>
      </c>
      <c r="D1394" s="13">
        <v>2023</v>
      </c>
      <c r="E1394" s="13" t="s">
        <v>10</v>
      </c>
      <c r="F1394" s="13" t="s">
        <v>22</v>
      </c>
      <c r="G1394" s="15">
        <v>1142.06</v>
      </c>
      <c r="H1394" s="15">
        <v>1142.06</v>
      </c>
      <c r="I1394" s="13">
        <v>5</v>
      </c>
      <c r="J1394" s="13">
        <v>5</v>
      </c>
      <c r="K1394" s="13" t="s">
        <v>3346</v>
      </c>
      <c r="L1394" s="15">
        <v>228.41199999999998</v>
      </c>
      <c r="M1394" s="16">
        <v>228.41199999999998</v>
      </c>
    </row>
    <row r="1395" spans="1:13" s="5" customFormat="1" x14ac:dyDescent="0.25">
      <c r="A1395" s="12" t="s">
        <v>2703</v>
      </c>
      <c r="B1395" s="13" t="s">
        <v>2704</v>
      </c>
      <c r="C1395" s="14">
        <v>45525</v>
      </c>
      <c r="D1395" s="13">
        <v>2024</v>
      </c>
      <c r="E1395" s="13" t="s">
        <v>10</v>
      </c>
      <c r="F1395" s="13" t="s">
        <v>22</v>
      </c>
      <c r="G1395" s="15">
        <v>291.42</v>
      </c>
      <c r="H1395" s="15">
        <v>291.42</v>
      </c>
      <c r="I1395" s="13">
        <v>4</v>
      </c>
      <c r="J1395" s="13">
        <v>4</v>
      </c>
      <c r="K1395" s="13" t="s">
        <v>3348</v>
      </c>
      <c r="L1395" s="15">
        <v>72.855000000000004</v>
      </c>
      <c r="M1395" s="16">
        <v>72.855000000000004</v>
      </c>
    </row>
    <row r="1396" spans="1:13" s="5" customFormat="1" x14ac:dyDescent="0.25">
      <c r="A1396" s="12" t="s">
        <v>2705</v>
      </c>
      <c r="B1396" s="13" t="s">
        <v>2706</v>
      </c>
      <c r="C1396" s="14">
        <v>45805</v>
      </c>
      <c r="D1396" s="13">
        <v>2025</v>
      </c>
      <c r="E1396" s="13" t="s">
        <v>3347</v>
      </c>
      <c r="F1396" s="13" t="s">
        <v>34</v>
      </c>
      <c r="G1396" s="15">
        <v>958.48</v>
      </c>
      <c r="H1396" s="15">
        <v>958.48</v>
      </c>
      <c r="I1396" s="13">
        <v>3</v>
      </c>
      <c r="J1396" s="13">
        <v>3</v>
      </c>
      <c r="K1396" s="13" t="s">
        <v>18</v>
      </c>
      <c r="L1396" s="15">
        <v>319.49333333333334</v>
      </c>
      <c r="M1396" s="16">
        <v>319.49333333333334</v>
      </c>
    </row>
    <row r="1397" spans="1:13" s="5" customFormat="1" x14ac:dyDescent="0.25">
      <c r="A1397" s="12" t="s">
        <v>2707</v>
      </c>
      <c r="B1397" s="13" t="s">
        <v>2708</v>
      </c>
      <c r="C1397" s="14">
        <v>45012</v>
      </c>
      <c r="D1397" s="13">
        <v>2023</v>
      </c>
      <c r="E1397" s="13" t="s">
        <v>10</v>
      </c>
      <c r="F1397" s="13" t="s">
        <v>34</v>
      </c>
      <c r="G1397" s="15">
        <v>586.05999999999995</v>
      </c>
      <c r="H1397" s="15">
        <v>586.05999999999995</v>
      </c>
      <c r="I1397" s="13">
        <v>6</v>
      </c>
      <c r="J1397" s="13">
        <v>6</v>
      </c>
      <c r="K1397" s="13" t="s">
        <v>3346</v>
      </c>
      <c r="L1397" s="15">
        <v>97.676666666666662</v>
      </c>
      <c r="M1397" s="16">
        <v>97.676666666666662</v>
      </c>
    </row>
    <row r="1398" spans="1:13" s="5" customFormat="1" x14ac:dyDescent="0.25">
      <c r="A1398" s="12" t="s">
        <v>2709</v>
      </c>
      <c r="B1398" s="13" t="s">
        <v>2710</v>
      </c>
      <c r="C1398" s="14">
        <v>45426</v>
      </c>
      <c r="D1398" s="13">
        <v>2024</v>
      </c>
      <c r="E1398" s="13" t="s">
        <v>10</v>
      </c>
      <c r="F1398" s="13" t="s">
        <v>22</v>
      </c>
      <c r="G1398" s="15">
        <v>663.27</v>
      </c>
      <c r="H1398" s="15">
        <v>663.27</v>
      </c>
      <c r="I1398" s="13">
        <v>5</v>
      </c>
      <c r="J1398" s="13">
        <v>5</v>
      </c>
      <c r="K1398" s="13" t="s">
        <v>15</v>
      </c>
      <c r="L1398" s="15">
        <v>132.654</v>
      </c>
      <c r="M1398" s="16">
        <v>132.654</v>
      </c>
    </row>
    <row r="1399" spans="1:13" s="5" customFormat="1" x14ac:dyDescent="0.25">
      <c r="A1399" s="12" t="s">
        <v>2711</v>
      </c>
      <c r="B1399" s="13" t="s">
        <v>2712</v>
      </c>
      <c r="C1399" s="14">
        <v>45534</v>
      </c>
      <c r="D1399" s="13">
        <v>2024</v>
      </c>
      <c r="E1399" s="13" t="s">
        <v>3347</v>
      </c>
      <c r="F1399" s="13" t="s">
        <v>11</v>
      </c>
      <c r="G1399" s="15">
        <v>574.75</v>
      </c>
      <c r="H1399" s="15">
        <v>574.75</v>
      </c>
      <c r="I1399" s="13">
        <v>9</v>
      </c>
      <c r="J1399" s="13">
        <v>9</v>
      </c>
      <c r="K1399" s="13" t="s">
        <v>15</v>
      </c>
      <c r="L1399" s="15">
        <v>63.861111111111114</v>
      </c>
      <c r="M1399" s="16">
        <v>63.861111111111114</v>
      </c>
    </row>
    <row r="1400" spans="1:13" s="5" customFormat="1" x14ac:dyDescent="0.25">
      <c r="A1400" s="12" t="s">
        <v>2713</v>
      </c>
      <c r="B1400" s="13" t="s">
        <v>1017</v>
      </c>
      <c r="C1400" s="14">
        <v>45021</v>
      </c>
      <c r="D1400" s="13">
        <v>2023</v>
      </c>
      <c r="E1400" s="13" t="s">
        <v>21</v>
      </c>
      <c r="F1400" s="13" t="s">
        <v>22</v>
      </c>
      <c r="G1400" s="15">
        <v>12.4</v>
      </c>
      <c r="H1400" s="15">
        <v>12.4</v>
      </c>
      <c r="I1400" s="13">
        <v>5</v>
      </c>
      <c r="J1400" s="13">
        <v>5</v>
      </c>
      <c r="K1400" s="13" t="s">
        <v>35</v>
      </c>
      <c r="L1400" s="15">
        <v>2.48</v>
      </c>
      <c r="M1400" s="16">
        <v>2.48</v>
      </c>
    </row>
    <row r="1401" spans="1:13" s="5" customFormat="1" x14ac:dyDescent="0.25">
      <c r="A1401" s="12" t="s">
        <v>2714</v>
      </c>
      <c r="B1401" s="13" t="s">
        <v>2715</v>
      </c>
      <c r="C1401" s="14">
        <v>45655</v>
      </c>
      <c r="D1401" s="13">
        <v>2024</v>
      </c>
      <c r="E1401" s="13" t="s">
        <v>21</v>
      </c>
      <c r="F1401" s="13" t="s">
        <v>34</v>
      </c>
      <c r="G1401" s="15">
        <v>1294.57</v>
      </c>
      <c r="H1401" s="15">
        <v>1294.57</v>
      </c>
      <c r="I1401" s="13">
        <v>4</v>
      </c>
      <c r="J1401" s="13">
        <v>4</v>
      </c>
      <c r="K1401" s="13" t="s">
        <v>3348</v>
      </c>
      <c r="L1401" s="15">
        <v>323.64249999999998</v>
      </c>
      <c r="M1401" s="16">
        <v>323.64249999999998</v>
      </c>
    </row>
    <row r="1402" spans="1:13" s="5" customFormat="1" x14ac:dyDescent="0.25">
      <c r="A1402" s="12" t="s">
        <v>2716</v>
      </c>
      <c r="B1402" s="13" t="s">
        <v>2717</v>
      </c>
      <c r="C1402" s="14">
        <v>45809</v>
      </c>
      <c r="D1402" s="13">
        <v>2025</v>
      </c>
      <c r="E1402" s="13" t="s">
        <v>10</v>
      </c>
      <c r="F1402" s="13" t="s">
        <v>25</v>
      </c>
      <c r="G1402" s="15">
        <v>1514.91</v>
      </c>
      <c r="H1402" s="15">
        <v>1514.91</v>
      </c>
      <c r="I1402" s="13">
        <v>6</v>
      </c>
      <c r="J1402" s="13">
        <v>6</v>
      </c>
      <c r="K1402" s="13" t="s">
        <v>3348</v>
      </c>
      <c r="L1402" s="15">
        <v>252.48500000000001</v>
      </c>
      <c r="M1402" s="16">
        <v>252.48500000000001</v>
      </c>
    </row>
    <row r="1403" spans="1:13" s="5" customFormat="1" x14ac:dyDescent="0.25">
      <c r="A1403" s="12" t="s">
        <v>2718</v>
      </c>
      <c r="B1403" s="13" t="s">
        <v>2719</v>
      </c>
      <c r="C1403" s="14">
        <v>45748</v>
      </c>
      <c r="D1403" s="13">
        <v>2025</v>
      </c>
      <c r="E1403" s="13" t="s">
        <v>10</v>
      </c>
      <c r="F1403" s="13" t="s">
        <v>22</v>
      </c>
      <c r="G1403" s="15">
        <v>1702.44</v>
      </c>
      <c r="H1403" s="15">
        <v>1702.44</v>
      </c>
      <c r="I1403" s="13">
        <v>4</v>
      </c>
      <c r="J1403" s="13">
        <v>4</v>
      </c>
      <c r="K1403" s="13" t="s">
        <v>35</v>
      </c>
      <c r="L1403" s="15">
        <v>425.61</v>
      </c>
      <c r="M1403" s="16">
        <v>425.61</v>
      </c>
    </row>
    <row r="1404" spans="1:13" s="5" customFormat="1" x14ac:dyDescent="0.25">
      <c r="A1404" s="12" t="s">
        <v>2720</v>
      </c>
      <c r="B1404" s="13" t="s">
        <v>2721</v>
      </c>
      <c r="C1404" s="14">
        <v>44942</v>
      </c>
      <c r="D1404" s="13">
        <v>2023</v>
      </c>
      <c r="E1404" s="13" t="s">
        <v>14</v>
      </c>
      <c r="F1404" s="13" t="s">
        <v>25</v>
      </c>
      <c r="G1404" s="15">
        <v>1345.04</v>
      </c>
      <c r="H1404" s="15">
        <v>1345.04</v>
      </c>
      <c r="I1404" s="13">
        <v>6</v>
      </c>
      <c r="J1404" s="13">
        <v>6</v>
      </c>
      <c r="K1404" s="13" t="s">
        <v>18</v>
      </c>
      <c r="L1404" s="15">
        <v>224.17333333333332</v>
      </c>
      <c r="M1404" s="16">
        <v>224.17333333333332</v>
      </c>
    </row>
    <row r="1405" spans="1:13" s="5" customFormat="1" x14ac:dyDescent="0.25">
      <c r="A1405" s="12" t="s">
        <v>2722</v>
      </c>
      <c r="B1405" s="13" t="s">
        <v>2723</v>
      </c>
      <c r="C1405" s="14">
        <v>45553</v>
      </c>
      <c r="D1405" s="13">
        <v>2024</v>
      </c>
      <c r="E1405" s="13" t="s">
        <v>10</v>
      </c>
      <c r="F1405" s="13" t="s">
        <v>22</v>
      </c>
      <c r="G1405" s="15"/>
      <c r="H1405" s="15">
        <v>2696.6785714285711</v>
      </c>
      <c r="I1405" s="13">
        <v>9</v>
      </c>
      <c r="J1405" s="13">
        <v>9</v>
      </c>
      <c r="K1405" s="13" t="s">
        <v>3348</v>
      </c>
      <c r="L1405" s="15">
        <v>299.63095238095235</v>
      </c>
      <c r="M1405" s="16">
        <v>299.63095238095235</v>
      </c>
    </row>
    <row r="1406" spans="1:13" s="5" customFormat="1" x14ac:dyDescent="0.25">
      <c r="A1406" s="12" t="s">
        <v>2724</v>
      </c>
      <c r="B1406" s="13" t="s">
        <v>2725</v>
      </c>
      <c r="C1406" s="14">
        <v>45512</v>
      </c>
      <c r="D1406" s="13">
        <v>2024</v>
      </c>
      <c r="E1406" s="13" t="s">
        <v>3347</v>
      </c>
      <c r="F1406" s="13" t="s">
        <v>11</v>
      </c>
      <c r="G1406" s="15">
        <v>337.66</v>
      </c>
      <c r="H1406" s="15">
        <v>337.66</v>
      </c>
      <c r="I1406" s="13">
        <v>10</v>
      </c>
      <c r="J1406" s="13">
        <v>10</v>
      </c>
      <c r="K1406" s="13" t="s">
        <v>15</v>
      </c>
      <c r="L1406" s="15">
        <v>33.766000000000005</v>
      </c>
      <c r="M1406" s="16">
        <v>33.766000000000005</v>
      </c>
    </row>
    <row r="1407" spans="1:13" s="5" customFormat="1" x14ac:dyDescent="0.25">
      <c r="A1407" s="12" t="s">
        <v>2726</v>
      </c>
      <c r="B1407" s="13" t="s">
        <v>2727</v>
      </c>
      <c r="C1407" s="14">
        <v>45267</v>
      </c>
      <c r="D1407" s="13">
        <v>2023</v>
      </c>
      <c r="E1407" s="13" t="s">
        <v>3347</v>
      </c>
      <c r="F1407" s="13" t="s">
        <v>22</v>
      </c>
      <c r="G1407" s="15"/>
      <c r="H1407" s="15">
        <v>1650.1036666666669</v>
      </c>
      <c r="I1407" s="13">
        <v>7</v>
      </c>
      <c r="J1407" s="13">
        <v>7</v>
      </c>
      <c r="K1407" s="13" t="s">
        <v>15</v>
      </c>
      <c r="L1407" s="15">
        <v>235.72909523809525</v>
      </c>
      <c r="M1407" s="16">
        <v>235.72909523809525</v>
      </c>
    </row>
    <row r="1408" spans="1:13" s="5" customFormat="1" x14ac:dyDescent="0.25">
      <c r="A1408" s="12" t="s">
        <v>2728</v>
      </c>
      <c r="B1408" s="13" t="s">
        <v>2729</v>
      </c>
      <c r="C1408" s="14">
        <v>44969</v>
      </c>
      <c r="D1408" s="13">
        <v>2023</v>
      </c>
      <c r="E1408" s="13" t="s">
        <v>14</v>
      </c>
      <c r="F1408" s="13" t="s">
        <v>25</v>
      </c>
      <c r="G1408" s="15">
        <v>622.85</v>
      </c>
      <c r="H1408" s="15">
        <v>622.85</v>
      </c>
      <c r="I1408" s="13"/>
      <c r="J1408" s="13">
        <v>1</v>
      </c>
      <c r="K1408" s="13" t="s">
        <v>15</v>
      </c>
      <c r="L1408" s="15">
        <v>622.85</v>
      </c>
      <c r="M1408" s="16">
        <v>657.95380952380935</v>
      </c>
    </row>
    <row r="1409" spans="1:13" s="5" customFormat="1" x14ac:dyDescent="0.25">
      <c r="A1409" s="12" t="s">
        <v>2730</v>
      </c>
      <c r="B1409" s="13" t="s">
        <v>2731</v>
      </c>
      <c r="C1409" s="14">
        <v>45691</v>
      </c>
      <c r="D1409" s="13">
        <v>2025</v>
      </c>
      <c r="E1409" s="13" t="s">
        <v>14</v>
      </c>
      <c r="F1409" s="13" t="s">
        <v>34</v>
      </c>
      <c r="G1409" s="15"/>
      <c r="H1409" s="15">
        <v>915.86129629629613</v>
      </c>
      <c r="I1409" s="13">
        <v>2</v>
      </c>
      <c r="J1409" s="13">
        <v>2</v>
      </c>
      <c r="K1409" s="13" t="s">
        <v>3348</v>
      </c>
      <c r="L1409" s="15">
        <v>457.93064814814807</v>
      </c>
      <c r="M1409" s="16">
        <v>457.93064814814807</v>
      </c>
    </row>
    <row r="1410" spans="1:13" s="5" customFormat="1" x14ac:dyDescent="0.25">
      <c r="A1410" s="12" t="s">
        <v>2732</v>
      </c>
      <c r="B1410" s="13" t="s">
        <v>1125</v>
      </c>
      <c r="C1410" s="14">
        <v>45776</v>
      </c>
      <c r="D1410" s="13">
        <v>2025</v>
      </c>
      <c r="E1410" s="13" t="s">
        <v>21</v>
      </c>
      <c r="F1410" s="13" t="s">
        <v>34</v>
      </c>
      <c r="G1410" s="15">
        <v>318.02</v>
      </c>
      <c r="H1410" s="15">
        <v>318.02</v>
      </c>
      <c r="I1410" s="13">
        <v>2</v>
      </c>
      <c r="J1410" s="13">
        <v>2</v>
      </c>
      <c r="K1410" s="13" t="s">
        <v>3348</v>
      </c>
      <c r="L1410" s="15">
        <v>159.01</v>
      </c>
      <c r="M1410" s="16">
        <v>159.01</v>
      </c>
    </row>
    <row r="1411" spans="1:13" s="5" customFormat="1" x14ac:dyDescent="0.25">
      <c r="A1411" s="12" t="s">
        <v>2733</v>
      </c>
      <c r="B1411" s="13" t="s">
        <v>2734</v>
      </c>
      <c r="C1411" s="14">
        <v>45089</v>
      </c>
      <c r="D1411" s="13">
        <v>2023</v>
      </c>
      <c r="E1411" s="13" t="s">
        <v>21</v>
      </c>
      <c r="F1411" s="13" t="s">
        <v>22</v>
      </c>
      <c r="G1411" s="15">
        <v>1407.86</v>
      </c>
      <c r="H1411" s="15">
        <v>1407.86</v>
      </c>
      <c r="I1411" s="13">
        <v>10</v>
      </c>
      <c r="J1411" s="13">
        <v>10</v>
      </c>
      <c r="K1411" s="13" t="s">
        <v>3348</v>
      </c>
      <c r="L1411" s="15">
        <v>140.786</v>
      </c>
      <c r="M1411" s="16">
        <v>140.786</v>
      </c>
    </row>
    <row r="1412" spans="1:13" s="5" customFormat="1" x14ac:dyDescent="0.25">
      <c r="A1412" s="12" t="s">
        <v>2735</v>
      </c>
      <c r="B1412" s="13" t="s">
        <v>2736</v>
      </c>
      <c r="C1412" s="14">
        <v>45924</v>
      </c>
      <c r="D1412" s="13">
        <v>2025</v>
      </c>
      <c r="E1412" s="13" t="s">
        <v>21</v>
      </c>
      <c r="F1412" s="13" t="s">
        <v>22</v>
      </c>
      <c r="G1412" s="15">
        <v>1026</v>
      </c>
      <c r="H1412" s="15">
        <v>1026</v>
      </c>
      <c r="I1412" s="13">
        <v>9</v>
      </c>
      <c r="J1412" s="13">
        <v>9</v>
      </c>
      <c r="K1412" s="13" t="s">
        <v>3346</v>
      </c>
      <c r="L1412" s="15">
        <v>114</v>
      </c>
      <c r="M1412" s="16">
        <v>114</v>
      </c>
    </row>
    <row r="1413" spans="1:13" s="5" customFormat="1" x14ac:dyDescent="0.25">
      <c r="A1413" s="12" t="s">
        <v>2737</v>
      </c>
      <c r="B1413" s="13" t="s">
        <v>2738</v>
      </c>
      <c r="C1413" s="14">
        <v>45206</v>
      </c>
      <c r="D1413" s="13">
        <v>2023</v>
      </c>
      <c r="E1413" s="13" t="s">
        <v>14</v>
      </c>
      <c r="F1413" s="13" t="s">
        <v>22</v>
      </c>
      <c r="G1413" s="15">
        <v>1418.05</v>
      </c>
      <c r="H1413" s="15">
        <v>1418.05</v>
      </c>
      <c r="I1413" s="13">
        <v>10</v>
      </c>
      <c r="J1413" s="13">
        <v>10</v>
      </c>
      <c r="K1413" s="13" t="s">
        <v>3348</v>
      </c>
      <c r="L1413" s="15">
        <v>141.80500000000001</v>
      </c>
      <c r="M1413" s="16">
        <v>141.80500000000001</v>
      </c>
    </row>
    <row r="1414" spans="1:13" s="5" customFormat="1" x14ac:dyDescent="0.25">
      <c r="A1414" s="12" t="s">
        <v>2739</v>
      </c>
      <c r="B1414" s="13" t="s">
        <v>2740</v>
      </c>
      <c r="C1414" s="14">
        <v>45612</v>
      </c>
      <c r="D1414" s="13">
        <v>2024</v>
      </c>
      <c r="E1414" s="13" t="s">
        <v>10</v>
      </c>
      <c r="F1414" s="13" t="s">
        <v>25</v>
      </c>
      <c r="G1414" s="15">
        <v>1116.92</v>
      </c>
      <c r="H1414" s="15">
        <v>1116.92</v>
      </c>
      <c r="I1414" s="13">
        <v>4</v>
      </c>
      <c r="J1414" s="13">
        <v>4</v>
      </c>
      <c r="K1414" s="13" t="s">
        <v>3348</v>
      </c>
      <c r="L1414" s="15">
        <v>279.23</v>
      </c>
      <c r="M1414" s="16">
        <v>279.23</v>
      </c>
    </row>
    <row r="1415" spans="1:13" s="5" customFormat="1" x14ac:dyDescent="0.25">
      <c r="A1415" s="12" t="s">
        <v>2741</v>
      </c>
      <c r="B1415" s="13" t="s">
        <v>506</v>
      </c>
      <c r="C1415" s="14">
        <v>45938</v>
      </c>
      <c r="D1415" s="13">
        <v>2025</v>
      </c>
      <c r="E1415" s="13" t="s">
        <v>10</v>
      </c>
      <c r="F1415" s="13" t="s">
        <v>34</v>
      </c>
      <c r="G1415" s="15">
        <v>1678.37</v>
      </c>
      <c r="H1415" s="15">
        <v>1678.37</v>
      </c>
      <c r="I1415" s="13">
        <v>9</v>
      </c>
      <c r="J1415" s="13">
        <v>9</v>
      </c>
      <c r="K1415" s="13" t="s">
        <v>18</v>
      </c>
      <c r="L1415" s="15">
        <v>186.48555555555555</v>
      </c>
      <c r="M1415" s="16">
        <v>186.48555555555555</v>
      </c>
    </row>
    <row r="1416" spans="1:13" s="5" customFormat="1" x14ac:dyDescent="0.25">
      <c r="A1416" s="12" t="s">
        <v>2742</v>
      </c>
      <c r="B1416" s="13" t="s">
        <v>2743</v>
      </c>
      <c r="C1416" s="14">
        <v>45150</v>
      </c>
      <c r="D1416" s="13">
        <v>2023</v>
      </c>
      <c r="E1416" s="13" t="s">
        <v>3347</v>
      </c>
      <c r="F1416" s="13" t="s">
        <v>34</v>
      </c>
      <c r="G1416" s="15">
        <v>34.090000000000003</v>
      </c>
      <c r="H1416" s="15">
        <v>34.090000000000003</v>
      </c>
      <c r="I1416" s="13"/>
      <c r="J1416" s="13">
        <v>1</v>
      </c>
      <c r="K1416" s="13" t="s">
        <v>35</v>
      </c>
      <c r="L1416" s="15">
        <v>34.090000000000003</v>
      </c>
      <c r="M1416" s="16">
        <v>164.27409375000002</v>
      </c>
    </row>
    <row r="1417" spans="1:13" s="5" customFormat="1" x14ac:dyDescent="0.25">
      <c r="A1417" s="12" t="s">
        <v>2744</v>
      </c>
      <c r="B1417" s="13" t="s">
        <v>1263</v>
      </c>
      <c r="C1417" s="14">
        <v>45774</v>
      </c>
      <c r="D1417" s="13">
        <v>2025</v>
      </c>
      <c r="E1417" s="13" t="s">
        <v>3347</v>
      </c>
      <c r="F1417" s="13" t="s">
        <v>25</v>
      </c>
      <c r="G1417" s="15"/>
      <c r="H1417" s="15">
        <v>539.08562962962969</v>
      </c>
      <c r="I1417" s="13">
        <v>4</v>
      </c>
      <c r="J1417" s="13">
        <v>4</v>
      </c>
      <c r="K1417" s="13" t="s">
        <v>35</v>
      </c>
      <c r="L1417" s="15">
        <v>134.77140740740742</v>
      </c>
      <c r="M1417" s="16">
        <v>134.77140740740742</v>
      </c>
    </row>
    <row r="1418" spans="1:13" s="5" customFormat="1" x14ac:dyDescent="0.25">
      <c r="A1418" s="12" t="s">
        <v>2745</v>
      </c>
      <c r="B1418" s="13" t="s">
        <v>2746</v>
      </c>
      <c r="C1418" s="14">
        <v>44976</v>
      </c>
      <c r="D1418" s="13">
        <v>2023</v>
      </c>
      <c r="E1418" s="13" t="s">
        <v>3347</v>
      </c>
      <c r="F1418" s="13" t="s">
        <v>34</v>
      </c>
      <c r="G1418" s="15">
        <v>809.08</v>
      </c>
      <c r="H1418" s="15">
        <v>809.08</v>
      </c>
      <c r="I1418" s="13">
        <v>9</v>
      </c>
      <c r="J1418" s="13">
        <v>9</v>
      </c>
      <c r="K1418" s="13" t="s">
        <v>3346</v>
      </c>
      <c r="L1418" s="15">
        <v>89.897777777777776</v>
      </c>
      <c r="M1418" s="16">
        <v>89.897777777777776</v>
      </c>
    </row>
    <row r="1419" spans="1:13" s="5" customFormat="1" x14ac:dyDescent="0.25">
      <c r="A1419" s="12" t="s">
        <v>2747</v>
      </c>
      <c r="B1419" s="13" t="s">
        <v>2748</v>
      </c>
      <c r="C1419" s="14">
        <v>44993</v>
      </c>
      <c r="D1419" s="13">
        <v>2023</v>
      </c>
      <c r="E1419" s="13" t="s">
        <v>10</v>
      </c>
      <c r="F1419" s="13" t="s">
        <v>25</v>
      </c>
      <c r="G1419" s="15">
        <v>1525.99</v>
      </c>
      <c r="H1419" s="15">
        <v>1525.99</v>
      </c>
      <c r="I1419" s="13">
        <v>1</v>
      </c>
      <c r="J1419" s="13">
        <v>1</v>
      </c>
      <c r="K1419" s="13" t="s">
        <v>15</v>
      </c>
      <c r="L1419" s="15">
        <v>1525.99</v>
      </c>
      <c r="M1419" s="16">
        <v>1525.99</v>
      </c>
    </row>
    <row r="1420" spans="1:13" s="5" customFormat="1" x14ac:dyDescent="0.25">
      <c r="A1420" s="12" t="s">
        <v>2749</v>
      </c>
      <c r="B1420" s="13" t="s">
        <v>2750</v>
      </c>
      <c r="C1420" s="14">
        <v>45653</v>
      </c>
      <c r="D1420" s="13">
        <v>2024</v>
      </c>
      <c r="E1420" s="13" t="s">
        <v>21</v>
      </c>
      <c r="F1420" s="13" t="s">
        <v>22</v>
      </c>
      <c r="G1420" s="15">
        <v>927.16</v>
      </c>
      <c r="H1420" s="15">
        <v>927.16</v>
      </c>
      <c r="I1420" s="13">
        <v>8</v>
      </c>
      <c r="J1420" s="13">
        <v>8</v>
      </c>
      <c r="K1420" s="13" t="s">
        <v>15</v>
      </c>
      <c r="L1420" s="15">
        <v>115.895</v>
      </c>
      <c r="M1420" s="16">
        <v>115.895</v>
      </c>
    </row>
    <row r="1421" spans="1:13" s="5" customFormat="1" x14ac:dyDescent="0.25">
      <c r="A1421" s="12" t="s">
        <v>2751</v>
      </c>
      <c r="B1421" s="13" t="s">
        <v>657</v>
      </c>
      <c r="C1421" s="14">
        <v>45041</v>
      </c>
      <c r="D1421" s="13">
        <v>2023</v>
      </c>
      <c r="E1421" s="13" t="s">
        <v>10</v>
      </c>
      <c r="F1421" s="13" t="s">
        <v>22</v>
      </c>
      <c r="G1421" s="15">
        <v>1817.02</v>
      </c>
      <c r="H1421" s="15">
        <v>1817.02</v>
      </c>
      <c r="I1421" s="13">
        <v>5</v>
      </c>
      <c r="J1421" s="13">
        <v>5</v>
      </c>
      <c r="K1421" s="13" t="s">
        <v>18</v>
      </c>
      <c r="L1421" s="15">
        <v>363.404</v>
      </c>
      <c r="M1421" s="16">
        <v>363.404</v>
      </c>
    </row>
    <row r="1422" spans="1:13" s="5" customFormat="1" x14ac:dyDescent="0.25">
      <c r="A1422" s="12" t="s">
        <v>2752</v>
      </c>
      <c r="B1422" s="13" t="s">
        <v>2753</v>
      </c>
      <c r="C1422" s="14">
        <v>45501</v>
      </c>
      <c r="D1422" s="13">
        <v>2024</v>
      </c>
      <c r="E1422" s="13" t="s">
        <v>3347</v>
      </c>
      <c r="F1422" s="13" t="s">
        <v>11</v>
      </c>
      <c r="G1422" s="15">
        <v>1700.91</v>
      </c>
      <c r="H1422" s="15">
        <v>1700.91</v>
      </c>
      <c r="I1422" s="13">
        <v>6</v>
      </c>
      <c r="J1422" s="13">
        <v>6</v>
      </c>
      <c r="K1422" s="13" t="s">
        <v>15</v>
      </c>
      <c r="L1422" s="15">
        <v>283.48500000000001</v>
      </c>
      <c r="M1422" s="16">
        <v>283.48500000000001</v>
      </c>
    </row>
    <row r="1423" spans="1:13" s="5" customFormat="1" x14ac:dyDescent="0.25">
      <c r="A1423" s="12" t="s">
        <v>2754</v>
      </c>
      <c r="B1423" s="13" t="s">
        <v>2755</v>
      </c>
      <c r="C1423" s="14">
        <v>45590</v>
      </c>
      <c r="D1423" s="13">
        <v>2024</v>
      </c>
      <c r="E1423" s="13" t="s">
        <v>3347</v>
      </c>
      <c r="F1423" s="13" t="s">
        <v>22</v>
      </c>
      <c r="G1423" s="15">
        <v>1528.82</v>
      </c>
      <c r="H1423" s="15">
        <v>1528.82</v>
      </c>
      <c r="I1423" s="13">
        <v>5</v>
      </c>
      <c r="J1423" s="13">
        <v>5</v>
      </c>
      <c r="K1423" s="13" t="s">
        <v>3346</v>
      </c>
      <c r="L1423" s="15">
        <v>305.76400000000001</v>
      </c>
      <c r="M1423" s="16">
        <v>305.76400000000001</v>
      </c>
    </row>
    <row r="1424" spans="1:13" s="5" customFormat="1" x14ac:dyDescent="0.25">
      <c r="A1424" s="12" t="s">
        <v>2756</v>
      </c>
      <c r="B1424" s="13" t="s">
        <v>2757</v>
      </c>
      <c r="C1424" s="14">
        <v>45944</v>
      </c>
      <c r="D1424" s="13">
        <v>2025</v>
      </c>
      <c r="E1424" s="13" t="s">
        <v>10</v>
      </c>
      <c r="F1424" s="13" t="s">
        <v>22</v>
      </c>
      <c r="G1424" s="15">
        <v>1818.15</v>
      </c>
      <c r="H1424" s="15">
        <v>1818.15</v>
      </c>
      <c r="I1424" s="13">
        <v>1</v>
      </c>
      <c r="J1424" s="13">
        <v>1</v>
      </c>
      <c r="K1424" s="13" t="s">
        <v>3348</v>
      </c>
      <c r="L1424" s="15">
        <v>1818.15</v>
      </c>
      <c r="M1424" s="16">
        <v>1818.15</v>
      </c>
    </row>
    <row r="1425" spans="1:13" s="5" customFormat="1" x14ac:dyDescent="0.25">
      <c r="A1425" s="12" t="s">
        <v>2758</v>
      </c>
      <c r="B1425" s="13" t="s">
        <v>2759</v>
      </c>
      <c r="C1425" s="14">
        <v>45456</v>
      </c>
      <c r="D1425" s="13">
        <v>2024</v>
      </c>
      <c r="E1425" s="13" t="s">
        <v>14</v>
      </c>
      <c r="F1425" s="13" t="s">
        <v>11</v>
      </c>
      <c r="G1425" s="15">
        <v>1696.43</v>
      </c>
      <c r="H1425" s="15">
        <v>1696.43</v>
      </c>
      <c r="I1425" s="13">
        <v>1</v>
      </c>
      <c r="J1425" s="13">
        <v>1</v>
      </c>
      <c r="K1425" s="13" t="s">
        <v>3348</v>
      </c>
      <c r="L1425" s="15">
        <v>1696.43</v>
      </c>
      <c r="M1425" s="16">
        <v>1696.43</v>
      </c>
    </row>
    <row r="1426" spans="1:13" s="5" customFormat="1" x14ac:dyDescent="0.25">
      <c r="A1426" s="12" t="s">
        <v>2760</v>
      </c>
      <c r="B1426" s="13" t="s">
        <v>2761</v>
      </c>
      <c r="C1426" s="14">
        <v>45212</v>
      </c>
      <c r="D1426" s="13">
        <v>2023</v>
      </c>
      <c r="E1426" s="13" t="s">
        <v>3347</v>
      </c>
      <c r="F1426" s="13" t="s">
        <v>25</v>
      </c>
      <c r="G1426" s="15">
        <v>536.69000000000005</v>
      </c>
      <c r="H1426" s="15">
        <v>536.69000000000005</v>
      </c>
      <c r="I1426" s="13">
        <v>7</v>
      </c>
      <c r="J1426" s="13">
        <v>7</v>
      </c>
      <c r="K1426" s="13" t="s">
        <v>18</v>
      </c>
      <c r="L1426" s="15">
        <v>76.67</v>
      </c>
      <c r="M1426" s="16">
        <v>76.67</v>
      </c>
    </row>
    <row r="1427" spans="1:13" s="5" customFormat="1" x14ac:dyDescent="0.25">
      <c r="A1427" s="12" t="s">
        <v>2762</v>
      </c>
      <c r="B1427" s="13" t="s">
        <v>2763</v>
      </c>
      <c r="C1427" s="14">
        <v>45646</v>
      </c>
      <c r="D1427" s="13">
        <v>2024</v>
      </c>
      <c r="E1427" s="13" t="s">
        <v>10</v>
      </c>
      <c r="F1427" s="13" t="s">
        <v>34</v>
      </c>
      <c r="G1427" s="15">
        <v>1387.58</v>
      </c>
      <c r="H1427" s="15">
        <v>1387.58</v>
      </c>
      <c r="I1427" s="13">
        <v>9</v>
      </c>
      <c r="J1427" s="13">
        <v>9</v>
      </c>
      <c r="K1427" s="13" t="s">
        <v>3346</v>
      </c>
      <c r="L1427" s="15">
        <v>154.17555555555555</v>
      </c>
      <c r="M1427" s="16">
        <v>154.17555555555555</v>
      </c>
    </row>
    <row r="1428" spans="1:13" s="5" customFormat="1" x14ac:dyDescent="0.25">
      <c r="A1428" s="12" t="s">
        <v>2764</v>
      </c>
      <c r="B1428" s="13" t="s">
        <v>732</v>
      </c>
      <c r="C1428" s="14">
        <v>45414</v>
      </c>
      <c r="D1428" s="13">
        <v>2024</v>
      </c>
      <c r="E1428" s="13" t="s">
        <v>21</v>
      </c>
      <c r="F1428" s="13" t="s">
        <v>34</v>
      </c>
      <c r="G1428" s="15">
        <v>1472.55</v>
      </c>
      <c r="H1428" s="15">
        <v>1472.55</v>
      </c>
      <c r="I1428" s="13">
        <v>7</v>
      </c>
      <c r="J1428" s="13">
        <v>7</v>
      </c>
      <c r="K1428" s="13" t="s">
        <v>35</v>
      </c>
      <c r="L1428" s="15">
        <v>210.3642857142857</v>
      </c>
      <c r="M1428" s="16">
        <v>210.3642857142857</v>
      </c>
    </row>
    <row r="1429" spans="1:13" s="5" customFormat="1" x14ac:dyDescent="0.25">
      <c r="A1429" s="12" t="s">
        <v>2765</v>
      </c>
      <c r="B1429" s="13" t="s">
        <v>2766</v>
      </c>
      <c r="C1429" s="14">
        <v>45892</v>
      </c>
      <c r="D1429" s="13">
        <v>2025</v>
      </c>
      <c r="E1429" s="13" t="s">
        <v>21</v>
      </c>
      <c r="F1429" s="13" t="s">
        <v>22</v>
      </c>
      <c r="G1429" s="15">
        <v>1083.1500000000001</v>
      </c>
      <c r="H1429" s="15">
        <v>1083.1500000000001</v>
      </c>
      <c r="I1429" s="13">
        <v>3</v>
      </c>
      <c r="J1429" s="13">
        <v>3</v>
      </c>
      <c r="K1429" s="13" t="s">
        <v>3346</v>
      </c>
      <c r="L1429" s="15">
        <v>361.05</v>
      </c>
      <c r="M1429" s="16">
        <v>361.05</v>
      </c>
    </row>
    <row r="1430" spans="1:13" s="5" customFormat="1" x14ac:dyDescent="0.25">
      <c r="A1430" s="12" t="s">
        <v>2767</v>
      </c>
      <c r="B1430" s="13" t="s">
        <v>2768</v>
      </c>
      <c r="C1430" s="14">
        <v>45089</v>
      </c>
      <c r="D1430" s="13">
        <v>2023</v>
      </c>
      <c r="E1430" s="13" t="s">
        <v>3347</v>
      </c>
      <c r="F1430" s="13" t="s">
        <v>34</v>
      </c>
      <c r="G1430" s="15">
        <v>1833.43</v>
      </c>
      <c r="H1430" s="15">
        <v>1833.43</v>
      </c>
      <c r="I1430" s="13">
        <v>3</v>
      </c>
      <c r="J1430" s="13">
        <v>3</v>
      </c>
      <c r="K1430" s="13" t="s">
        <v>35</v>
      </c>
      <c r="L1430" s="15">
        <v>611.14333333333332</v>
      </c>
      <c r="M1430" s="16">
        <v>611.14333333333332</v>
      </c>
    </row>
    <row r="1431" spans="1:13" s="5" customFormat="1" x14ac:dyDescent="0.25">
      <c r="A1431" s="12" t="s">
        <v>2769</v>
      </c>
      <c r="B1431" s="13" t="s">
        <v>2770</v>
      </c>
      <c r="C1431" s="14">
        <v>45876</v>
      </c>
      <c r="D1431" s="13">
        <v>2025</v>
      </c>
      <c r="E1431" s="13" t="s">
        <v>3347</v>
      </c>
      <c r="F1431" s="13" t="s">
        <v>34</v>
      </c>
      <c r="G1431" s="15">
        <v>1890.88</v>
      </c>
      <c r="H1431" s="15">
        <v>1890.88</v>
      </c>
      <c r="I1431" s="13">
        <v>9</v>
      </c>
      <c r="J1431" s="13">
        <v>9</v>
      </c>
      <c r="K1431" s="13" t="s">
        <v>15</v>
      </c>
      <c r="L1431" s="15">
        <v>210.09777777777779</v>
      </c>
      <c r="M1431" s="16">
        <v>210.09777777777779</v>
      </c>
    </row>
    <row r="1432" spans="1:13" s="5" customFormat="1" x14ac:dyDescent="0.25">
      <c r="A1432" s="12" t="s">
        <v>2771</v>
      </c>
      <c r="B1432" s="13" t="s">
        <v>2772</v>
      </c>
      <c r="C1432" s="14">
        <v>45652</v>
      </c>
      <c r="D1432" s="13">
        <v>2024</v>
      </c>
      <c r="E1432" s="13" t="s">
        <v>10</v>
      </c>
      <c r="F1432" s="13" t="s">
        <v>22</v>
      </c>
      <c r="G1432" s="15"/>
      <c r="H1432" s="15">
        <v>339.38333333333338</v>
      </c>
      <c r="I1432" s="13">
        <v>1</v>
      </c>
      <c r="J1432" s="13">
        <v>1</v>
      </c>
      <c r="K1432" s="13" t="s">
        <v>15</v>
      </c>
      <c r="L1432" s="15">
        <v>339.38333333333338</v>
      </c>
      <c r="M1432" s="16">
        <v>339.38333333333338</v>
      </c>
    </row>
    <row r="1433" spans="1:13" s="5" customFormat="1" x14ac:dyDescent="0.25">
      <c r="A1433" s="12" t="s">
        <v>2773</v>
      </c>
      <c r="B1433" s="13" t="s">
        <v>2774</v>
      </c>
      <c r="C1433" s="14">
        <v>45903</v>
      </c>
      <c r="D1433" s="13">
        <v>2025</v>
      </c>
      <c r="E1433" s="13" t="s">
        <v>14</v>
      </c>
      <c r="F1433" s="13" t="s">
        <v>22</v>
      </c>
      <c r="G1433" s="15"/>
      <c r="H1433" s="15">
        <v>1583.7057777777777</v>
      </c>
      <c r="I1433" s="13">
        <v>8</v>
      </c>
      <c r="J1433" s="13">
        <v>8</v>
      </c>
      <c r="K1433" s="13" t="s">
        <v>35</v>
      </c>
      <c r="L1433" s="15">
        <v>197.96322222222221</v>
      </c>
      <c r="M1433" s="16">
        <v>197.96322222222221</v>
      </c>
    </row>
    <row r="1434" spans="1:13" s="5" customFormat="1" x14ac:dyDescent="0.25">
      <c r="A1434" s="12" t="s">
        <v>2775</v>
      </c>
      <c r="B1434" s="13" t="s">
        <v>2776</v>
      </c>
      <c r="C1434" s="14">
        <v>44912</v>
      </c>
      <c r="D1434" s="13">
        <v>2022</v>
      </c>
      <c r="E1434" s="13" t="s">
        <v>3347</v>
      </c>
      <c r="F1434" s="13" t="s">
        <v>11</v>
      </c>
      <c r="G1434" s="15">
        <v>391.08</v>
      </c>
      <c r="H1434" s="15">
        <v>391.08</v>
      </c>
      <c r="I1434" s="13">
        <v>2</v>
      </c>
      <c r="J1434" s="13">
        <v>2</v>
      </c>
      <c r="K1434" s="13" t="s">
        <v>3346</v>
      </c>
      <c r="L1434" s="15">
        <v>195.54</v>
      </c>
      <c r="M1434" s="16">
        <v>195.54</v>
      </c>
    </row>
    <row r="1435" spans="1:13" s="5" customFormat="1" x14ac:dyDescent="0.25">
      <c r="A1435" s="12" t="s">
        <v>2777</v>
      </c>
      <c r="B1435" s="13" t="s">
        <v>1302</v>
      </c>
      <c r="C1435" s="14">
        <v>45165</v>
      </c>
      <c r="D1435" s="13">
        <v>2023</v>
      </c>
      <c r="E1435" s="13" t="s">
        <v>10</v>
      </c>
      <c r="F1435" s="13" t="s">
        <v>22</v>
      </c>
      <c r="G1435" s="15"/>
      <c r="H1435" s="15">
        <v>1352.4805555555554</v>
      </c>
      <c r="I1435" s="13">
        <v>8</v>
      </c>
      <c r="J1435" s="13">
        <v>8</v>
      </c>
      <c r="K1435" s="13" t="s">
        <v>35</v>
      </c>
      <c r="L1435" s="15">
        <v>169.06006944444442</v>
      </c>
      <c r="M1435" s="16">
        <v>169.06006944444442</v>
      </c>
    </row>
    <row r="1436" spans="1:13" s="5" customFormat="1" x14ac:dyDescent="0.25">
      <c r="A1436" s="12" t="s">
        <v>2778</v>
      </c>
      <c r="B1436" s="13" t="s">
        <v>2779</v>
      </c>
      <c r="C1436" s="14">
        <v>45691</v>
      </c>
      <c r="D1436" s="13">
        <v>2025</v>
      </c>
      <c r="E1436" s="13" t="s">
        <v>14</v>
      </c>
      <c r="F1436" s="13" t="s">
        <v>22</v>
      </c>
      <c r="G1436" s="15">
        <v>17.37</v>
      </c>
      <c r="H1436" s="15">
        <v>17.37</v>
      </c>
      <c r="I1436" s="13">
        <v>1</v>
      </c>
      <c r="J1436" s="13">
        <v>1</v>
      </c>
      <c r="K1436" s="13" t="s">
        <v>15</v>
      </c>
      <c r="L1436" s="15">
        <v>17.37</v>
      </c>
      <c r="M1436" s="16">
        <v>17.37</v>
      </c>
    </row>
    <row r="1437" spans="1:13" s="5" customFormat="1" x14ac:dyDescent="0.25">
      <c r="A1437" s="12" t="s">
        <v>2780</v>
      </c>
      <c r="B1437" s="13" t="s">
        <v>2781</v>
      </c>
      <c r="C1437" s="14">
        <v>45439</v>
      </c>
      <c r="D1437" s="13">
        <v>2024</v>
      </c>
      <c r="E1437" s="13" t="s">
        <v>3347</v>
      </c>
      <c r="F1437" s="13" t="s">
        <v>22</v>
      </c>
      <c r="G1437" s="15">
        <v>235.46</v>
      </c>
      <c r="H1437" s="15">
        <v>235.46</v>
      </c>
      <c r="I1437" s="13">
        <v>7</v>
      </c>
      <c r="J1437" s="13">
        <v>7</v>
      </c>
      <c r="K1437" s="13" t="s">
        <v>3346</v>
      </c>
      <c r="L1437" s="15">
        <v>33.637142857142855</v>
      </c>
      <c r="M1437" s="16">
        <v>33.637142857142855</v>
      </c>
    </row>
    <row r="1438" spans="1:13" s="5" customFormat="1" x14ac:dyDescent="0.25">
      <c r="A1438" s="12" t="s">
        <v>2782</v>
      </c>
      <c r="B1438" s="13" t="s">
        <v>2783</v>
      </c>
      <c r="C1438" s="14">
        <v>44954</v>
      </c>
      <c r="D1438" s="13">
        <v>2023</v>
      </c>
      <c r="E1438" s="13" t="s">
        <v>3347</v>
      </c>
      <c r="F1438" s="13" t="s">
        <v>34</v>
      </c>
      <c r="G1438" s="15">
        <v>1412.31</v>
      </c>
      <c r="H1438" s="15">
        <v>1412.31</v>
      </c>
      <c r="I1438" s="13">
        <v>7</v>
      </c>
      <c r="J1438" s="13">
        <v>7</v>
      </c>
      <c r="K1438" s="13" t="s">
        <v>15</v>
      </c>
      <c r="L1438" s="15">
        <v>201.75857142857143</v>
      </c>
      <c r="M1438" s="16">
        <v>201.75857142857143</v>
      </c>
    </row>
    <row r="1439" spans="1:13" s="5" customFormat="1" x14ac:dyDescent="0.25">
      <c r="A1439" s="12" t="s">
        <v>2784</v>
      </c>
      <c r="B1439" s="13" t="s">
        <v>2785</v>
      </c>
      <c r="C1439" s="14">
        <v>45529</v>
      </c>
      <c r="D1439" s="13">
        <v>2024</v>
      </c>
      <c r="E1439" s="13" t="s">
        <v>14</v>
      </c>
      <c r="F1439" s="13" t="s">
        <v>11</v>
      </c>
      <c r="G1439" s="15">
        <v>1264.5999999999999</v>
      </c>
      <c r="H1439" s="15">
        <v>1264.5999999999999</v>
      </c>
      <c r="I1439" s="13">
        <v>3</v>
      </c>
      <c r="J1439" s="13">
        <v>3</v>
      </c>
      <c r="K1439" s="13" t="s">
        <v>35</v>
      </c>
      <c r="L1439" s="15">
        <v>421.5333333333333</v>
      </c>
      <c r="M1439" s="16">
        <v>421.5333333333333</v>
      </c>
    </row>
    <row r="1440" spans="1:13" s="5" customFormat="1" x14ac:dyDescent="0.25">
      <c r="A1440" s="12" t="s">
        <v>2786</v>
      </c>
      <c r="B1440" s="13" t="s">
        <v>2545</v>
      </c>
      <c r="C1440" s="14">
        <v>45727</v>
      </c>
      <c r="D1440" s="13">
        <v>2025</v>
      </c>
      <c r="E1440" s="13" t="s">
        <v>14</v>
      </c>
      <c r="F1440" s="13" t="s">
        <v>22</v>
      </c>
      <c r="G1440" s="15">
        <v>896.25</v>
      </c>
      <c r="H1440" s="15">
        <v>896.25</v>
      </c>
      <c r="I1440" s="13">
        <v>4</v>
      </c>
      <c r="J1440" s="13">
        <v>4</v>
      </c>
      <c r="K1440" s="13" t="s">
        <v>3348</v>
      </c>
      <c r="L1440" s="15">
        <v>224.0625</v>
      </c>
      <c r="M1440" s="16">
        <v>224.0625</v>
      </c>
    </row>
    <row r="1441" spans="1:13" s="5" customFormat="1" x14ac:dyDescent="0.25">
      <c r="A1441" s="12" t="s">
        <v>2787</v>
      </c>
      <c r="B1441" s="13" t="s">
        <v>2788</v>
      </c>
      <c r="C1441" s="14">
        <v>45689</v>
      </c>
      <c r="D1441" s="13">
        <v>2025</v>
      </c>
      <c r="E1441" s="13" t="s">
        <v>21</v>
      </c>
      <c r="F1441" s="13" t="s">
        <v>34</v>
      </c>
      <c r="G1441" s="15">
        <v>61.87</v>
      </c>
      <c r="H1441" s="15">
        <v>61.87</v>
      </c>
      <c r="I1441" s="13">
        <v>8</v>
      </c>
      <c r="J1441" s="13">
        <v>8</v>
      </c>
      <c r="K1441" s="13" t="s">
        <v>3348</v>
      </c>
      <c r="L1441" s="15">
        <v>7.7337499999999997</v>
      </c>
      <c r="M1441" s="16">
        <v>7.7337499999999997</v>
      </c>
    </row>
    <row r="1442" spans="1:13" s="5" customFormat="1" x14ac:dyDescent="0.25">
      <c r="A1442" s="12" t="s">
        <v>2789</v>
      </c>
      <c r="B1442" s="13" t="s">
        <v>2790</v>
      </c>
      <c r="C1442" s="14">
        <v>45767</v>
      </c>
      <c r="D1442" s="13">
        <v>2025</v>
      </c>
      <c r="E1442" s="13" t="s">
        <v>14</v>
      </c>
      <c r="F1442" s="13" t="s">
        <v>34</v>
      </c>
      <c r="G1442" s="15">
        <v>1942.74</v>
      </c>
      <c r="H1442" s="15">
        <v>1942.74</v>
      </c>
      <c r="I1442" s="13"/>
      <c r="J1442" s="13">
        <v>4</v>
      </c>
      <c r="K1442" s="13" t="s">
        <v>3348</v>
      </c>
      <c r="L1442" s="15">
        <v>485.685</v>
      </c>
      <c r="M1442" s="16">
        <v>457.93064814814807</v>
      </c>
    </row>
    <row r="1443" spans="1:13" s="5" customFormat="1" x14ac:dyDescent="0.25">
      <c r="A1443" s="12" t="s">
        <v>2791</v>
      </c>
      <c r="B1443" s="13" t="s">
        <v>2792</v>
      </c>
      <c r="C1443" s="14">
        <v>45543</v>
      </c>
      <c r="D1443" s="13">
        <v>2024</v>
      </c>
      <c r="E1443" s="13" t="s">
        <v>3347</v>
      </c>
      <c r="F1443" s="13" t="s">
        <v>22</v>
      </c>
      <c r="G1443" s="15">
        <v>787.82</v>
      </c>
      <c r="H1443" s="15">
        <v>787.82</v>
      </c>
      <c r="I1443" s="13">
        <v>7</v>
      </c>
      <c r="J1443" s="13">
        <v>7</v>
      </c>
      <c r="K1443" s="13" t="s">
        <v>3346</v>
      </c>
      <c r="L1443" s="15">
        <v>112.5457142857143</v>
      </c>
      <c r="M1443" s="16">
        <v>112.5457142857143</v>
      </c>
    </row>
    <row r="1444" spans="1:13" s="5" customFormat="1" x14ac:dyDescent="0.25">
      <c r="A1444" s="12" t="s">
        <v>2793</v>
      </c>
      <c r="B1444" s="13" t="s">
        <v>2794</v>
      </c>
      <c r="C1444" s="14">
        <v>45412</v>
      </c>
      <c r="D1444" s="13">
        <v>2024</v>
      </c>
      <c r="E1444" s="13" t="s">
        <v>3347</v>
      </c>
      <c r="F1444" s="13" t="s">
        <v>22</v>
      </c>
      <c r="G1444" s="15">
        <v>488.2</v>
      </c>
      <c r="H1444" s="15">
        <v>488.2</v>
      </c>
      <c r="I1444" s="13">
        <v>9</v>
      </c>
      <c r="J1444" s="13">
        <v>9</v>
      </c>
      <c r="K1444" s="13" t="s">
        <v>18</v>
      </c>
      <c r="L1444" s="15">
        <v>54.24444444444444</v>
      </c>
      <c r="M1444" s="16">
        <v>54.24444444444444</v>
      </c>
    </row>
    <row r="1445" spans="1:13" s="5" customFormat="1" x14ac:dyDescent="0.25">
      <c r="A1445" s="12" t="s">
        <v>2795</v>
      </c>
      <c r="B1445" s="13" t="s">
        <v>2796</v>
      </c>
      <c r="C1445" s="14">
        <v>45601</v>
      </c>
      <c r="D1445" s="13">
        <v>2024</v>
      </c>
      <c r="E1445" s="13" t="s">
        <v>14</v>
      </c>
      <c r="F1445" s="13" t="s">
        <v>22</v>
      </c>
      <c r="G1445" s="15"/>
      <c r="H1445" s="15">
        <v>830.90997321428574</v>
      </c>
      <c r="I1445" s="13">
        <v>6</v>
      </c>
      <c r="J1445" s="13">
        <v>6</v>
      </c>
      <c r="K1445" s="13" t="s">
        <v>3346</v>
      </c>
      <c r="L1445" s="15">
        <v>138.48499553571429</v>
      </c>
      <c r="M1445" s="16">
        <v>138.48499553571429</v>
      </c>
    </row>
    <row r="1446" spans="1:13" s="5" customFormat="1" x14ac:dyDescent="0.25">
      <c r="A1446" s="12" t="s">
        <v>2797</v>
      </c>
      <c r="B1446" s="13" t="s">
        <v>2798</v>
      </c>
      <c r="C1446" s="14">
        <v>45276</v>
      </c>
      <c r="D1446" s="13">
        <v>2023</v>
      </c>
      <c r="E1446" s="13" t="s">
        <v>10</v>
      </c>
      <c r="F1446" s="13" t="s">
        <v>25</v>
      </c>
      <c r="G1446" s="15">
        <v>1204.3699999999999</v>
      </c>
      <c r="H1446" s="15">
        <v>1204.3699999999999</v>
      </c>
      <c r="I1446" s="13"/>
      <c r="J1446" s="13">
        <v>9</v>
      </c>
      <c r="K1446" s="13" t="s">
        <v>3346</v>
      </c>
      <c r="L1446" s="15">
        <v>133.81888888888886</v>
      </c>
      <c r="M1446" s="16">
        <v>131.3463630952381</v>
      </c>
    </row>
    <row r="1447" spans="1:13" s="5" customFormat="1" x14ac:dyDescent="0.25">
      <c r="A1447" s="12" t="s">
        <v>2799</v>
      </c>
      <c r="B1447" s="13" t="s">
        <v>2800</v>
      </c>
      <c r="C1447" s="14">
        <v>45217</v>
      </c>
      <c r="D1447" s="13">
        <v>2023</v>
      </c>
      <c r="E1447" s="13" t="s">
        <v>10</v>
      </c>
      <c r="F1447" s="13" t="s">
        <v>22</v>
      </c>
      <c r="G1447" s="15">
        <v>380.7</v>
      </c>
      <c r="H1447" s="15">
        <v>380.7</v>
      </c>
      <c r="I1447" s="13">
        <v>8</v>
      </c>
      <c r="J1447" s="13">
        <v>8</v>
      </c>
      <c r="K1447" s="13" t="s">
        <v>18</v>
      </c>
      <c r="L1447" s="15">
        <v>47.587499999999999</v>
      </c>
      <c r="M1447" s="16">
        <v>47.587499999999999</v>
      </c>
    </row>
    <row r="1448" spans="1:13" s="5" customFormat="1" x14ac:dyDescent="0.25">
      <c r="A1448" s="12" t="s">
        <v>2801</v>
      </c>
      <c r="B1448" s="13" t="s">
        <v>2802</v>
      </c>
      <c r="C1448" s="14">
        <v>45813</v>
      </c>
      <c r="D1448" s="13">
        <v>2025</v>
      </c>
      <c r="E1448" s="13" t="s">
        <v>14</v>
      </c>
      <c r="F1448" s="13" t="s">
        <v>22</v>
      </c>
      <c r="G1448" s="15"/>
      <c r="H1448" s="15">
        <v>1979.632222222222</v>
      </c>
      <c r="I1448" s="13">
        <v>10</v>
      </c>
      <c r="J1448" s="13">
        <v>10</v>
      </c>
      <c r="K1448" s="13" t="s">
        <v>35</v>
      </c>
      <c r="L1448" s="15">
        <v>197.96322222222221</v>
      </c>
      <c r="M1448" s="16">
        <v>197.96322222222221</v>
      </c>
    </row>
    <row r="1449" spans="1:13" s="5" customFormat="1" x14ac:dyDescent="0.25">
      <c r="A1449" s="12" t="s">
        <v>2803</v>
      </c>
      <c r="B1449" s="13" t="s">
        <v>2804</v>
      </c>
      <c r="C1449" s="14">
        <v>45652</v>
      </c>
      <c r="D1449" s="13">
        <v>2024</v>
      </c>
      <c r="E1449" s="13" t="s">
        <v>3347</v>
      </c>
      <c r="F1449" s="13" t="s">
        <v>22</v>
      </c>
      <c r="G1449" s="15">
        <v>1965.04</v>
      </c>
      <c r="H1449" s="15">
        <v>1965.04</v>
      </c>
      <c r="I1449" s="13">
        <v>9</v>
      </c>
      <c r="J1449" s="13">
        <v>9</v>
      </c>
      <c r="K1449" s="13" t="s">
        <v>3348</v>
      </c>
      <c r="L1449" s="15">
        <v>218.33777777777777</v>
      </c>
      <c r="M1449" s="16">
        <v>218.33777777777777</v>
      </c>
    </row>
    <row r="1450" spans="1:13" s="5" customFormat="1" x14ac:dyDescent="0.25">
      <c r="A1450" s="12" t="s">
        <v>2805</v>
      </c>
      <c r="B1450" s="13" t="s">
        <v>706</v>
      </c>
      <c r="C1450" s="14">
        <v>45651</v>
      </c>
      <c r="D1450" s="13">
        <v>2024</v>
      </c>
      <c r="E1450" s="13" t="s">
        <v>21</v>
      </c>
      <c r="F1450" s="13" t="s">
        <v>34</v>
      </c>
      <c r="G1450" s="15">
        <v>1799.96</v>
      </c>
      <c r="H1450" s="15">
        <v>1799.96</v>
      </c>
      <c r="I1450" s="13">
        <v>1</v>
      </c>
      <c r="J1450" s="13">
        <v>1</v>
      </c>
      <c r="K1450" s="13" t="s">
        <v>3346</v>
      </c>
      <c r="L1450" s="15">
        <v>1799.96</v>
      </c>
      <c r="M1450" s="16">
        <v>1799.96</v>
      </c>
    </row>
    <row r="1451" spans="1:13" s="5" customFormat="1" x14ac:dyDescent="0.25">
      <c r="A1451" s="12" t="s">
        <v>2806</v>
      </c>
      <c r="B1451" s="13" t="s">
        <v>2807</v>
      </c>
      <c r="C1451" s="14">
        <v>45155</v>
      </c>
      <c r="D1451" s="13">
        <v>2023</v>
      </c>
      <c r="E1451" s="13" t="s">
        <v>10</v>
      </c>
      <c r="F1451" s="13" t="s">
        <v>34</v>
      </c>
      <c r="G1451" s="15">
        <v>1849.62</v>
      </c>
      <c r="H1451" s="15">
        <v>1849.62</v>
      </c>
      <c r="I1451" s="13">
        <v>7</v>
      </c>
      <c r="J1451" s="13">
        <v>7</v>
      </c>
      <c r="K1451" s="13" t="s">
        <v>35</v>
      </c>
      <c r="L1451" s="15">
        <v>264.23142857142858</v>
      </c>
      <c r="M1451" s="16">
        <v>264.23142857142858</v>
      </c>
    </row>
    <row r="1452" spans="1:13" s="5" customFormat="1" x14ac:dyDescent="0.25">
      <c r="A1452" s="12" t="s">
        <v>2808</v>
      </c>
      <c r="B1452" s="13" t="s">
        <v>2809</v>
      </c>
      <c r="C1452" s="14">
        <v>45640</v>
      </c>
      <c r="D1452" s="13">
        <v>2024</v>
      </c>
      <c r="E1452" s="13" t="s">
        <v>3347</v>
      </c>
      <c r="F1452" s="13" t="s">
        <v>34</v>
      </c>
      <c r="G1452" s="15">
        <v>830.06</v>
      </c>
      <c r="H1452" s="15">
        <v>830.06</v>
      </c>
      <c r="I1452" s="13">
        <v>2</v>
      </c>
      <c r="J1452" s="13">
        <v>2</v>
      </c>
      <c r="K1452" s="13" t="s">
        <v>35</v>
      </c>
      <c r="L1452" s="15">
        <v>415.03</v>
      </c>
      <c r="M1452" s="16">
        <v>415.03</v>
      </c>
    </row>
    <row r="1453" spans="1:13" s="5" customFormat="1" x14ac:dyDescent="0.25">
      <c r="A1453" s="12" t="s">
        <v>2810</v>
      </c>
      <c r="B1453" s="13" t="s">
        <v>2811</v>
      </c>
      <c r="C1453" s="14">
        <v>45699</v>
      </c>
      <c r="D1453" s="13">
        <v>2025</v>
      </c>
      <c r="E1453" s="13" t="s">
        <v>3347</v>
      </c>
      <c r="F1453" s="13" t="s">
        <v>25</v>
      </c>
      <c r="G1453" s="15">
        <v>260.86</v>
      </c>
      <c r="H1453" s="15">
        <v>260.86</v>
      </c>
      <c r="I1453" s="13">
        <v>5</v>
      </c>
      <c r="J1453" s="13">
        <v>5</v>
      </c>
      <c r="K1453" s="13" t="s">
        <v>35</v>
      </c>
      <c r="L1453" s="15">
        <v>52.172000000000004</v>
      </c>
      <c r="M1453" s="16">
        <v>52.172000000000004</v>
      </c>
    </row>
    <row r="1454" spans="1:13" s="5" customFormat="1" x14ac:dyDescent="0.25">
      <c r="A1454" s="12" t="s">
        <v>2812</v>
      </c>
      <c r="B1454" s="13" t="s">
        <v>2813</v>
      </c>
      <c r="C1454" s="14">
        <v>45496</v>
      </c>
      <c r="D1454" s="13">
        <v>2024</v>
      </c>
      <c r="E1454" s="13" t="s">
        <v>14</v>
      </c>
      <c r="F1454" s="13" t="s">
        <v>34</v>
      </c>
      <c r="G1454" s="15">
        <v>626.86</v>
      </c>
      <c r="H1454" s="15">
        <v>626.86</v>
      </c>
      <c r="I1454" s="13">
        <v>3</v>
      </c>
      <c r="J1454" s="13">
        <v>3</v>
      </c>
      <c r="K1454" s="13" t="s">
        <v>3348</v>
      </c>
      <c r="L1454" s="15">
        <v>208.95333333333335</v>
      </c>
      <c r="M1454" s="16">
        <v>208.95333333333335</v>
      </c>
    </row>
    <row r="1455" spans="1:13" s="5" customFormat="1" x14ac:dyDescent="0.25">
      <c r="A1455" s="12" t="s">
        <v>2814</v>
      </c>
      <c r="B1455" s="13" t="s">
        <v>2815</v>
      </c>
      <c r="C1455" s="14">
        <v>45586</v>
      </c>
      <c r="D1455" s="13">
        <v>2024</v>
      </c>
      <c r="E1455" s="13" t="s">
        <v>3347</v>
      </c>
      <c r="F1455" s="13" t="s">
        <v>25</v>
      </c>
      <c r="G1455" s="15">
        <v>1049.51</v>
      </c>
      <c r="H1455" s="15">
        <v>1049.51</v>
      </c>
      <c r="I1455" s="13">
        <v>2</v>
      </c>
      <c r="J1455" s="13">
        <v>2</v>
      </c>
      <c r="K1455" s="13" t="s">
        <v>3348</v>
      </c>
      <c r="L1455" s="15">
        <v>524.755</v>
      </c>
      <c r="M1455" s="16">
        <v>524.755</v>
      </c>
    </row>
    <row r="1456" spans="1:13" s="5" customFormat="1" x14ac:dyDescent="0.25">
      <c r="A1456" s="12" t="s">
        <v>2816</v>
      </c>
      <c r="B1456" s="13" t="s">
        <v>2817</v>
      </c>
      <c r="C1456" s="14">
        <v>45772</v>
      </c>
      <c r="D1456" s="13">
        <v>2025</v>
      </c>
      <c r="E1456" s="13" t="s">
        <v>3347</v>
      </c>
      <c r="F1456" s="13" t="s">
        <v>22</v>
      </c>
      <c r="G1456" s="15">
        <v>110.75</v>
      </c>
      <c r="H1456" s="15">
        <v>110.75</v>
      </c>
      <c r="I1456" s="13">
        <v>4</v>
      </c>
      <c r="J1456" s="13">
        <v>4</v>
      </c>
      <c r="K1456" s="13" t="s">
        <v>3346</v>
      </c>
      <c r="L1456" s="15">
        <v>27.6875</v>
      </c>
      <c r="M1456" s="16">
        <v>27.6875</v>
      </c>
    </row>
    <row r="1457" spans="1:13" s="5" customFormat="1" x14ac:dyDescent="0.25">
      <c r="A1457" s="12" t="s">
        <v>2818</v>
      </c>
      <c r="B1457" s="13" t="s">
        <v>1236</v>
      </c>
      <c r="C1457" s="14">
        <v>45045</v>
      </c>
      <c r="D1457" s="13">
        <v>2023</v>
      </c>
      <c r="E1457" s="13" t="s">
        <v>10</v>
      </c>
      <c r="F1457" s="13" t="s">
        <v>34</v>
      </c>
      <c r="G1457" s="15">
        <v>541.17999999999995</v>
      </c>
      <c r="H1457" s="15">
        <v>541.17999999999995</v>
      </c>
      <c r="I1457" s="13">
        <v>9</v>
      </c>
      <c r="J1457" s="13">
        <v>9</v>
      </c>
      <c r="K1457" s="13" t="s">
        <v>18</v>
      </c>
      <c r="L1457" s="15">
        <v>60.131111111111103</v>
      </c>
      <c r="M1457" s="16">
        <v>60.131111111111103</v>
      </c>
    </row>
    <row r="1458" spans="1:13" s="5" customFormat="1" x14ac:dyDescent="0.25">
      <c r="A1458" s="12" t="s">
        <v>2819</v>
      </c>
      <c r="B1458" s="13" t="s">
        <v>2820</v>
      </c>
      <c r="C1458" s="14">
        <v>44866</v>
      </c>
      <c r="D1458" s="13">
        <v>2022</v>
      </c>
      <c r="E1458" s="13" t="s">
        <v>14</v>
      </c>
      <c r="F1458" s="13" t="s">
        <v>25</v>
      </c>
      <c r="G1458" s="15">
        <v>180.15</v>
      </c>
      <c r="H1458" s="15">
        <v>180.15</v>
      </c>
      <c r="I1458" s="13">
        <v>7</v>
      </c>
      <c r="J1458" s="13">
        <v>7</v>
      </c>
      <c r="K1458" s="13" t="s">
        <v>3346</v>
      </c>
      <c r="L1458" s="15">
        <v>25.735714285714288</v>
      </c>
      <c r="M1458" s="16">
        <v>25.735714285714288</v>
      </c>
    </row>
    <row r="1459" spans="1:13" s="5" customFormat="1" x14ac:dyDescent="0.25">
      <c r="A1459" s="12" t="s">
        <v>2821</v>
      </c>
      <c r="B1459" s="13" t="s">
        <v>2822</v>
      </c>
      <c r="C1459" s="14">
        <v>45116</v>
      </c>
      <c r="D1459" s="13">
        <v>2023</v>
      </c>
      <c r="E1459" s="13" t="s">
        <v>14</v>
      </c>
      <c r="F1459" s="13" t="s">
        <v>34</v>
      </c>
      <c r="G1459" s="15"/>
      <c r="H1459" s="15">
        <v>315.65933080808082</v>
      </c>
      <c r="I1459" s="13">
        <v>1</v>
      </c>
      <c r="J1459" s="13">
        <v>1</v>
      </c>
      <c r="K1459" s="13" t="s">
        <v>18</v>
      </c>
      <c r="L1459" s="15">
        <v>315.65933080808082</v>
      </c>
      <c r="M1459" s="16">
        <v>315.65933080808082</v>
      </c>
    </row>
    <row r="1460" spans="1:13" s="5" customFormat="1" x14ac:dyDescent="0.25">
      <c r="A1460" s="12" t="s">
        <v>2823</v>
      </c>
      <c r="B1460" s="13" t="s">
        <v>2824</v>
      </c>
      <c r="C1460" s="14">
        <v>45580</v>
      </c>
      <c r="D1460" s="13">
        <v>2024</v>
      </c>
      <c r="E1460" s="13" t="s">
        <v>10</v>
      </c>
      <c r="F1460" s="13" t="s">
        <v>34</v>
      </c>
      <c r="G1460" s="15">
        <v>1690.84</v>
      </c>
      <c r="H1460" s="15">
        <v>1690.84</v>
      </c>
      <c r="I1460" s="13">
        <v>3</v>
      </c>
      <c r="J1460" s="13">
        <v>3</v>
      </c>
      <c r="K1460" s="13" t="s">
        <v>35</v>
      </c>
      <c r="L1460" s="15">
        <v>563.61333333333334</v>
      </c>
      <c r="M1460" s="16">
        <v>563.61333333333334</v>
      </c>
    </row>
    <row r="1461" spans="1:13" s="5" customFormat="1" x14ac:dyDescent="0.25">
      <c r="A1461" s="12" t="s">
        <v>2825</v>
      </c>
      <c r="B1461" s="13" t="s">
        <v>2826</v>
      </c>
      <c r="C1461" s="14">
        <v>45276</v>
      </c>
      <c r="D1461" s="13">
        <v>2023</v>
      </c>
      <c r="E1461" s="13" t="s">
        <v>10</v>
      </c>
      <c r="F1461" s="13" t="s">
        <v>34</v>
      </c>
      <c r="G1461" s="15">
        <v>1047.28</v>
      </c>
      <c r="H1461" s="15">
        <v>1047.28</v>
      </c>
      <c r="I1461" s="13">
        <v>5</v>
      </c>
      <c r="J1461" s="13">
        <v>5</v>
      </c>
      <c r="K1461" s="13" t="s">
        <v>35</v>
      </c>
      <c r="L1461" s="15">
        <v>209.45599999999999</v>
      </c>
      <c r="M1461" s="16">
        <v>209.45599999999999</v>
      </c>
    </row>
    <row r="1462" spans="1:13" s="5" customFormat="1" x14ac:dyDescent="0.25">
      <c r="A1462" s="12" t="s">
        <v>2827</v>
      </c>
      <c r="B1462" s="13" t="s">
        <v>2828</v>
      </c>
      <c r="C1462" s="14">
        <v>45103</v>
      </c>
      <c r="D1462" s="13">
        <v>2023</v>
      </c>
      <c r="E1462" s="13" t="s">
        <v>14</v>
      </c>
      <c r="F1462" s="13" t="s">
        <v>34</v>
      </c>
      <c r="G1462" s="15"/>
      <c r="H1462" s="15">
        <v>1572.8716041666667</v>
      </c>
      <c r="I1462" s="13">
        <v>3</v>
      </c>
      <c r="J1462" s="13">
        <v>3</v>
      </c>
      <c r="K1462" s="13" t="s">
        <v>35</v>
      </c>
      <c r="L1462" s="15">
        <v>524.29053472222222</v>
      </c>
      <c r="M1462" s="16">
        <v>524.29053472222222</v>
      </c>
    </row>
    <row r="1463" spans="1:13" s="5" customFormat="1" x14ac:dyDescent="0.25">
      <c r="A1463" s="12" t="s">
        <v>2829</v>
      </c>
      <c r="B1463" s="13" t="s">
        <v>2830</v>
      </c>
      <c r="C1463" s="14">
        <v>45416</v>
      </c>
      <c r="D1463" s="13">
        <v>2024</v>
      </c>
      <c r="E1463" s="13" t="s">
        <v>14</v>
      </c>
      <c r="F1463" s="13" t="s">
        <v>22</v>
      </c>
      <c r="G1463" s="15">
        <v>1765.17</v>
      </c>
      <c r="H1463" s="15">
        <v>1765.17</v>
      </c>
      <c r="I1463" s="13">
        <v>6</v>
      </c>
      <c r="J1463" s="13">
        <v>6</v>
      </c>
      <c r="K1463" s="13" t="s">
        <v>3346</v>
      </c>
      <c r="L1463" s="15">
        <v>294.19499999999999</v>
      </c>
      <c r="M1463" s="16">
        <v>294.19499999999999</v>
      </c>
    </row>
    <row r="1464" spans="1:13" s="5" customFormat="1" x14ac:dyDescent="0.25">
      <c r="A1464" s="12" t="s">
        <v>2831</v>
      </c>
      <c r="B1464" s="13" t="s">
        <v>1619</v>
      </c>
      <c r="C1464" s="14">
        <v>45615</v>
      </c>
      <c r="D1464" s="13">
        <v>2024</v>
      </c>
      <c r="E1464" s="13" t="s">
        <v>14</v>
      </c>
      <c r="F1464" s="13" t="s">
        <v>34</v>
      </c>
      <c r="G1464" s="15">
        <v>170.63</v>
      </c>
      <c r="H1464" s="15">
        <v>170.63</v>
      </c>
      <c r="I1464" s="13">
        <v>10</v>
      </c>
      <c r="J1464" s="13">
        <v>10</v>
      </c>
      <c r="K1464" s="13" t="s">
        <v>35</v>
      </c>
      <c r="L1464" s="15">
        <v>17.062999999999999</v>
      </c>
      <c r="M1464" s="16">
        <v>17.062999999999999</v>
      </c>
    </row>
    <row r="1465" spans="1:13" s="5" customFormat="1" x14ac:dyDescent="0.25">
      <c r="A1465" s="12" t="s">
        <v>2832</v>
      </c>
      <c r="B1465" s="13" t="s">
        <v>2833</v>
      </c>
      <c r="C1465" s="14">
        <v>44942</v>
      </c>
      <c r="D1465" s="13">
        <v>2023</v>
      </c>
      <c r="E1465" s="13" t="s">
        <v>3347</v>
      </c>
      <c r="F1465" s="13" t="s">
        <v>22</v>
      </c>
      <c r="G1465" s="15">
        <v>1685.66</v>
      </c>
      <c r="H1465" s="15">
        <v>1685.66</v>
      </c>
      <c r="I1465" s="13">
        <v>6</v>
      </c>
      <c r="J1465" s="13">
        <v>6</v>
      </c>
      <c r="K1465" s="13" t="s">
        <v>18</v>
      </c>
      <c r="L1465" s="15">
        <v>280.94333333333333</v>
      </c>
      <c r="M1465" s="16">
        <v>280.94333333333333</v>
      </c>
    </row>
    <row r="1466" spans="1:13" s="5" customFormat="1" x14ac:dyDescent="0.25">
      <c r="A1466" s="12" t="s">
        <v>2834</v>
      </c>
      <c r="B1466" s="13" t="s">
        <v>2835</v>
      </c>
      <c r="C1466" s="14">
        <v>45428</v>
      </c>
      <c r="D1466" s="13">
        <v>2024</v>
      </c>
      <c r="E1466" s="13" t="s">
        <v>21</v>
      </c>
      <c r="F1466" s="13" t="s">
        <v>22</v>
      </c>
      <c r="G1466" s="15">
        <v>1571.1</v>
      </c>
      <c r="H1466" s="15">
        <v>1571.1</v>
      </c>
      <c r="I1466" s="13">
        <v>10</v>
      </c>
      <c r="J1466" s="13">
        <v>10</v>
      </c>
      <c r="K1466" s="13" t="s">
        <v>3346</v>
      </c>
      <c r="L1466" s="15">
        <v>157.10999999999999</v>
      </c>
      <c r="M1466" s="16">
        <v>157.10999999999999</v>
      </c>
    </row>
    <row r="1467" spans="1:13" s="5" customFormat="1" x14ac:dyDescent="0.25">
      <c r="A1467" s="12" t="s">
        <v>2836</v>
      </c>
      <c r="B1467" s="13" t="s">
        <v>2837</v>
      </c>
      <c r="C1467" s="14">
        <v>45803</v>
      </c>
      <c r="D1467" s="13">
        <v>2025</v>
      </c>
      <c r="E1467" s="13" t="s">
        <v>3347</v>
      </c>
      <c r="F1467" s="13" t="s">
        <v>22</v>
      </c>
      <c r="G1467" s="15">
        <v>1478.36</v>
      </c>
      <c r="H1467" s="15">
        <v>1478.36</v>
      </c>
      <c r="I1467" s="13"/>
      <c r="J1467" s="13">
        <v>1</v>
      </c>
      <c r="K1467" s="13" t="s">
        <v>35</v>
      </c>
      <c r="L1467" s="15">
        <v>1478.36</v>
      </c>
      <c r="M1467" s="16">
        <v>1470.11</v>
      </c>
    </row>
    <row r="1468" spans="1:13" s="5" customFormat="1" x14ac:dyDescent="0.25">
      <c r="A1468" s="12" t="s">
        <v>2838</v>
      </c>
      <c r="B1468" s="13" t="s">
        <v>2839</v>
      </c>
      <c r="C1468" s="14">
        <v>45877</v>
      </c>
      <c r="D1468" s="13">
        <v>2025</v>
      </c>
      <c r="E1468" s="13" t="s">
        <v>3347</v>
      </c>
      <c r="F1468" s="13" t="s">
        <v>22</v>
      </c>
      <c r="G1468" s="15">
        <v>80.62</v>
      </c>
      <c r="H1468" s="15">
        <v>80.62</v>
      </c>
      <c r="I1468" s="13">
        <v>6</v>
      </c>
      <c r="J1468" s="13">
        <v>6</v>
      </c>
      <c r="K1468" s="13" t="s">
        <v>15</v>
      </c>
      <c r="L1468" s="15">
        <v>13.436666666666667</v>
      </c>
      <c r="M1468" s="16">
        <v>13.436666666666667</v>
      </c>
    </row>
    <row r="1469" spans="1:13" s="5" customFormat="1" x14ac:dyDescent="0.25">
      <c r="A1469" s="12" t="s">
        <v>2840</v>
      </c>
      <c r="B1469" s="13" t="s">
        <v>2841</v>
      </c>
      <c r="C1469" s="14">
        <v>45844</v>
      </c>
      <c r="D1469" s="13">
        <v>2025</v>
      </c>
      <c r="E1469" s="13" t="s">
        <v>10</v>
      </c>
      <c r="F1469" s="13" t="s">
        <v>25</v>
      </c>
      <c r="G1469" s="15">
        <v>191.32</v>
      </c>
      <c r="H1469" s="15">
        <v>191.32</v>
      </c>
      <c r="I1469" s="13">
        <v>5</v>
      </c>
      <c r="J1469" s="13">
        <v>5</v>
      </c>
      <c r="K1469" s="13" t="s">
        <v>3348</v>
      </c>
      <c r="L1469" s="15">
        <v>38.263999999999996</v>
      </c>
      <c r="M1469" s="16">
        <v>38.263999999999996</v>
      </c>
    </row>
    <row r="1470" spans="1:13" s="5" customFormat="1" x14ac:dyDescent="0.25">
      <c r="A1470" s="12" t="s">
        <v>2842</v>
      </c>
      <c r="B1470" s="13" t="s">
        <v>2843</v>
      </c>
      <c r="C1470" s="14">
        <v>44993</v>
      </c>
      <c r="D1470" s="13">
        <v>2023</v>
      </c>
      <c r="E1470" s="13" t="s">
        <v>14</v>
      </c>
      <c r="F1470" s="13" t="s">
        <v>34</v>
      </c>
      <c r="G1470" s="15">
        <v>1534.5</v>
      </c>
      <c r="H1470" s="15">
        <v>1534.5</v>
      </c>
      <c r="I1470" s="13">
        <v>4</v>
      </c>
      <c r="J1470" s="13">
        <v>4</v>
      </c>
      <c r="K1470" s="13" t="s">
        <v>18</v>
      </c>
      <c r="L1470" s="15">
        <v>383.625</v>
      </c>
      <c r="M1470" s="16">
        <v>383.625</v>
      </c>
    </row>
    <row r="1471" spans="1:13" s="5" customFormat="1" x14ac:dyDescent="0.25">
      <c r="A1471" s="12" t="s">
        <v>2844</v>
      </c>
      <c r="B1471" s="13" t="s">
        <v>2845</v>
      </c>
      <c r="C1471" s="14">
        <v>45882</v>
      </c>
      <c r="D1471" s="13">
        <v>2025</v>
      </c>
      <c r="E1471" s="13" t="s">
        <v>10</v>
      </c>
      <c r="F1471" s="13" t="s">
        <v>11</v>
      </c>
      <c r="G1471" s="15">
        <v>1852.5</v>
      </c>
      <c r="H1471" s="15">
        <v>1852.5</v>
      </c>
      <c r="I1471" s="13">
        <v>9</v>
      </c>
      <c r="J1471" s="13">
        <v>9</v>
      </c>
      <c r="K1471" s="13" t="s">
        <v>35</v>
      </c>
      <c r="L1471" s="15">
        <v>205.83333333333334</v>
      </c>
      <c r="M1471" s="16">
        <v>205.83333333333334</v>
      </c>
    </row>
    <row r="1472" spans="1:13" s="5" customFormat="1" x14ac:dyDescent="0.25">
      <c r="A1472" s="12" t="s">
        <v>2846</v>
      </c>
      <c r="B1472" s="13" t="s">
        <v>2847</v>
      </c>
      <c r="C1472" s="14">
        <v>45217</v>
      </c>
      <c r="D1472" s="13">
        <v>2023</v>
      </c>
      <c r="E1472" s="13" t="s">
        <v>14</v>
      </c>
      <c r="F1472" s="13" t="s">
        <v>22</v>
      </c>
      <c r="G1472" s="15">
        <v>187.37</v>
      </c>
      <c r="H1472" s="15">
        <v>187.37</v>
      </c>
      <c r="I1472" s="13">
        <v>10</v>
      </c>
      <c r="J1472" s="13">
        <v>10</v>
      </c>
      <c r="K1472" s="13" t="s">
        <v>35</v>
      </c>
      <c r="L1472" s="15">
        <v>18.737000000000002</v>
      </c>
      <c r="M1472" s="16">
        <v>18.737000000000002</v>
      </c>
    </row>
    <row r="1473" spans="1:13" s="5" customFormat="1" x14ac:dyDescent="0.25">
      <c r="A1473" s="12" t="s">
        <v>2848</v>
      </c>
      <c r="B1473" s="13" t="s">
        <v>2849</v>
      </c>
      <c r="C1473" s="14">
        <v>45833</v>
      </c>
      <c r="D1473" s="13">
        <v>2025</v>
      </c>
      <c r="E1473" s="13" t="s">
        <v>21</v>
      </c>
      <c r="F1473" s="13" t="s">
        <v>11</v>
      </c>
      <c r="G1473" s="15"/>
      <c r="H1473" s="15">
        <v>408.6275</v>
      </c>
      <c r="I1473" s="13">
        <v>1</v>
      </c>
      <c r="J1473" s="13">
        <v>1</v>
      </c>
      <c r="K1473" s="13" t="s">
        <v>3348</v>
      </c>
      <c r="L1473" s="15">
        <v>408.6275</v>
      </c>
      <c r="M1473" s="16">
        <v>408.6275</v>
      </c>
    </row>
    <row r="1474" spans="1:13" s="5" customFormat="1" x14ac:dyDescent="0.25">
      <c r="A1474" s="12" t="s">
        <v>2850</v>
      </c>
      <c r="B1474" s="13" t="s">
        <v>2851</v>
      </c>
      <c r="C1474" s="14">
        <v>45002</v>
      </c>
      <c r="D1474" s="13">
        <v>2023</v>
      </c>
      <c r="E1474" s="13" t="s">
        <v>10</v>
      </c>
      <c r="F1474" s="13" t="s">
        <v>34</v>
      </c>
      <c r="G1474" s="15"/>
      <c r="H1474" s="15">
        <v>1464.910875</v>
      </c>
      <c r="I1474" s="13">
        <v>9</v>
      </c>
      <c r="J1474" s="13">
        <v>9</v>
      </c>
      <c r="K1474" s="13" t="s">
        <v>15</v>
      </c>
      <c r="L1474" s="15">
        <v>162.767875</v>
      </c>
      <c r="M1474" s="16">
        <v>162.767875</v>
      </c>
    </row>
    <row r="1475" spans="1:13" s="5" customFormat="1" x14ac:dyDescent="0.25">
      <c r="A1475" s="12" t="s">
        <v>2852</v>
      </c>
      <c r="B1475" s="13" t="s">
        <v>2853</v>
      </c>
      <c r="C1475" s="14">
        <v>45237</v>
      </c>
      <c r="D1475" s="13">
        <v>2023</v>
      </c>
      <c r="E1475" s="13" t="s">
        <v>21</v>
      </c>
      <c r="F1475" s="13" t="s">
        <v>11</v>
      </c>
      <c r="G1475" s="15">
        <v>1868.12</v>
      </c>
      <c r="H1475" s="15">
        <v>1868.12</v>
      </c>
      <c r="I1475" s="13"/>
      <c r="J1475" s="13">
        <v>10</v>
      </c>
      <c r="K1475" s="13" t="s">
        <v>35</v>
      </c>
      <c r="L1475" s="15">
        <v>169.82909090909089</v>
      </c>
      <c r="M1475" s="16">
        <v>164.35821428571427</v>
      </c>
    </row>
    <row r="1476" spans="1:13" s="5" customFormat="1" x14ac:dyDescent="0.25">
      <c r="A1476" s="12" t="s">
        <v>2854</v>
      </c>
      <c r="B1476" s="13" t="s">
        <v>2855</v>
      </c>
      <c r="C1476" s="14">
        <v>45362</v>
      </c>
      <c r="D1476" s="13">
        <v>2024</v>
      </c>
      <c r="E1476" s="13" t="s">
        <v>21</v>
      </c>
      <c r="F1476" s="13" t="s">
        <v>22</v>
      </c>
      <c r="G1476" s="15">
        <v>1836.85</v>
      </c>
      <c r="H1476" s="15">
        <v>1836.85</v>
      </c>
      <c r="I1476" s="13">
        <v>1</v>
      </c>
      <c r="J1476" s="13">
        <v>1</v>
      </c>
      <c r="K1476" s="13" t="s">
        <v>3348</v>
      </c>
      <c r="L1476" s="15">
        <v>1836.85</v>
      </c>
      <c r="M1476" s="16">
        <v>1836.85</v>
      </c>
    </row>
    <row r="1477" spans="1:13" s="5" customFormat="1" x14ac:dyDescent="0.25">
      <c r="A1477" s="12" t="s">
        <v>2856</v>
      </c>
      <c r="B1477" s="13" t="s">
        <v>2857</v>
      </c>
      <c r="C1477" s="14">
        <v>45273</v>
      </c>
      <c r="D1477" s="13">
        <v>2023</v>
      </c>
      <c r="E1477" s="13" t="s">
        <v>3347</v>
      </c>
      <c r="F1477" s="13" t="s">
        <v>34</v>
      </c>
      <c r="G1477" s="15"/>
      <c r="H1477" s="15">
        <v>1758.3459259259259</v>
      </c>
      <c r="I1477" s="13">
        <v>5</v>
      </c>
      <c r="J1477" s="13">
        <v>5</v>
      </c>
      <c r="K1477" s="13" t="s">
        <v>3346</v>
      </c>
      <c r="L1477" s="15">
        <v>351.6691851851852</v>
      </c>
      <c r="M1477" s="16">
        <v>351.6691851851852</v>
      </c>
    </row>
    <row r="1478" spans="1:13" s="5" customFormat="1" x14ac:dyDescent="0.25">
      <c r="A1478" s="12" t="s">
        <v>2858</v>
      </c>
      <c r="B1478" s="13" t="s">
        <v>2859</v>
      </c>
      <c r="C1478" s="14">
        <v>45594</v>
      </c>
      <c r="D1478" s="13">
        <v>2024</v>
      </c>
      <c r="E1478" s="13" t="s">
        <v>21</v>
      </c>
      <c r="F1478" s="13" t="s">
        <v>22</v>
      </c>
      <c r="G1478" s="15">
        <v>1194.9000000000001</v>
      </c>
      <c r="H1478" s="15">
        <v>1194.9000000000001</v>
      </c>
      <c r="I1478" s="13"/>
      <c r="J1478" s="13">
        <v>3</v>
      </c>
      <c r="K1478" s="13" t="s">
        <v>18</v>
      </c>
      <c r="L1478" s="15">
        <v>398.3</v>
      </c>
      <c r="M1478" s="16">
        <v>379.20491666666669</v>
      </c>
    </row>
    <row r="1479" spans="1:13" s="5" customFormat="1" x14ac:dyDescent="0.25">
      <c r="A1479" s="12" t="s">
        <v>2860</v>
      </c>
      <c r="B1479" s="13" t="s">
        <v>1984</v>
      </c>
      <c r="C1479" s="14">
        <v>45777</v>
      </c>
      <c r="D1479" s="13">
        <v>2025</v>
      </c>
      <c r="E1479" s="13" t="s">
        <v>10</v>
      </c>
      <c r="F1479" s="13" t="s">
        <v>25</v>
      </c>
      <c r="G1479" s="15">
        <v>1954.88</v>
      </c>
      <c r="H1479" s="15">
        <v>1954.88</v>
      </c>
      <c r="I1479" s="13">
        <v>1</v>
      </c>
      <c r="J1479" s="13">
        <v>1</v>
      </c>
      <c r="K1479" s="13" t="s">
        <v>35</v>
      </c>
      <c r="L1479" s="15">
        <v>1954.88</v>
      </c>
      <c r="M1479" s="16">
        <v>1954.88</v>
      </c>
    </row>
    <row r="1480" spans="1:13" s="5" customFormat="1" x14ac:dyDescent="0.25">
      <c r="A1480" s="12" t="s">
        <v>2861</v>
      </c>
      <c r="B1480" s="13" t="s">
        <v>2862</v>
      </c>
      <c r="C1480" s="14">
        <v>45474</v>
      </c>
      <c r="D1480" s="13">
        <v>2024</v>
      </c>
      <c r="E1480" s="13" t="s">
        <v>10</v>
      </c>
      <c r="F1480" s="13" t="s">
        <v>34</v>
      </c>
      <c r="G1480" s="15">
        <v>120.16</v>
      </c>
      <c r="H1480" s="15">
        <v>120.16</v>
      </c>
      <c r="I1480" s="13">
        <v>1</v>
      </c>
      <c r="J1480" s="13">
        <v>1</v>
      </c>
      <c r="K1480" s="13" t="s">
        <v>3346</v>
      </c>
      <c r="L1480" s="15">
        <v>120.16</v>
      </c>
      <c r="M1480" s="16">
        <v>120.16</v>
      </c>
    </row>
    <row r="1481" spans="1:13" s="5" customFormat="1" x14ac:dyDescent="0.25">
      <c r="A1481" s="12" t="s">
        <v>2863</v>
      </c>
      <c r="B1481" s="13" t="s">
        <v>2864</v>
      </c>
      <c r="C1481" s="14">
        <v>45386</v>
      </c>
      <c r="D1481" s="13">
        <v>2024</v>
      </c>
      <c r="E1481" s="13" t="s">
        <v>21</v>
      </c>
      <c r="F1481" s="13" t="s">
        <v>11</v>
      </c>
      <c r="G1481" s="15">
        <v>1777.6</v>
      </c>
      <c r="H1481" s="15">
        <v>1777.6</v>
      </c>
      <c r="I1481" s="13">
        <v>9</v>
      </c>
      <c r="J1481" s="13">
        <v>9</v>
      </c>
      <c r="K1481" s="13" t="s">
        <v>3348</v>
      </c>
      <c r="L1481" s="15">
        <v>197.51111111111109</v>
      </c>
      <c r="M1481" s="16">
        <v>197.51111111111109</v>
      </c>
    </row>
    <row r="1482" spans="1:13" s="5" customFormat="1" x14ac:dyDescent="0.25">
      <c r="A1482" s="12" t="s">
        <v>2865</v>
      </c>
      <c r="B1482" s="13" t="s">
        <v>2866</v>
      </c>
      <c r="C1482" s="14">
        <v>44932</v>
      </c>
      <c r="D1482" s="13">
        <v>2023</v>
      </c>
      <c r="E1482" s="13" t="s">
        <v>14</v>
      </c>
      <c r="F1482" s="13" t="s">
        <v>25</v>
      </c>
      <c r="G1482" s="15">
        <v>1774.28</v>
      </c>
      <c r="H1482" s="15">
        <v>1774.28</v>
      </c>
      <c r="I1482" s="13"/>
      <c r="J1482" s="13">
        <v>8</v>
      </c>
      <c r="K1482" s="13" t="s">
        <v>35</v>
      </c>
      <c r="L1482" s="15">
        <v>221.785</v>
      </c>
      <c r="M1482" s="16">
        <v>236.49944444444444</v>
      </c>
    </row>
    <row r="1483" spans="1:13" s="5" customFormat="1" x14ac:dyDescent="0.25">
      <c r="A1483" s="12" t="s">
        <v>2867</v>
      </c>
      <c r="B1483" s="13" t="s">
        <v>2868</v>
      </c>
      <c r="C1483" s="14">
        <v>45091</v>
      </c>
      <c r="D1483" s="13">
        <v>2023</v>
      </c>
      <c r="E1483" s="13" t="s">
        <v>10</v>
      </c>
      <c r="F1483" s="13" t="s">
        <v>34</v>
      </c>
      <c r="G1483" s="15"/>
      <c r="H1483" s="15">
        <v>651.07150000000001</v>
      </c>
      <c r="I1483" s="13">
        <v>4</v>
      </c>
      <c r="J1483" s="13">
        <v>4</v>
      </c>
      <c r="K1483" s="13" t="s">
        <v>15</v>
      </c>
      <c r="L1483" s="15">
        <v>162.767875</v>
      </c>
      <c r="M1483" s="16">
        <v>162.767875</v>
      </c>
    </row>
    <row r="1484" spans="1:13" s="5" customFormat="1" x14ac:dyDescent="0.25">
      <c r="A1484" s="12" t="s">
        <v>2869</v>
      </c>
      <c r="B1484" s="13" t="s">
        <v>2870</v>
      </c>
      <c r="C1484" s="14">
        <v>44989</v>
      </c>
      <c r="D1484" s="13">
        <v>2023</v>
      </c>
      <c r="E1484" s="13" t="s">
        <v>3347</v>
      </c>
      <c r="F1484" s="13" t="s">
        <v>11</v>
      </c>
      <c r="G1484" s="15">
        <v>1913.15</v>
      </c>
      <c r="H1484" s="15">
        <v>1913.15</v>
      </c>
      <c r="I1484" s="13">
        <v>4</v>
      </c>
      <c r="J1484" s="13">
        <v>4</v>
      </c>
      <c r="K1484" s="13" t="s">
        <v>3346</v>
      </c>
      <c r="L1484" s="15">
        <v>478.28750000000002</v>
      </c>
      <c r="M1484" s="16">
        <v>478.28750000000002</v>
      </c>
    </row>
    <row r="1485" spans="1:13" s="5" customFormat="1" x14ac:dyDescent="0.25">
      <c r="A1485" s="12" t="s">
        <v>2871</v>
      </c>
      <c r="B1485" s="13" t="s">
        <v>2872</v>
      </c>
      <c r="C1485" s="14">
        <v>45364</v>
      </c>
      <c r="D1485" s="13">
        <v>2024</v>
      </c>
      <c r="E1485" s="13" t="s">
        <v>21</v>
      </c>
      <c r="F1485" s="13" t="s">
        <v>34</v>
      </c>
      <c r="G1485" s="15">
        <v>800.49</v>
      </c>
      <c r="H1485" s="15">
        <v>800.49</v>
      </c>
      <c r="I1485" s="13">
        <v>1</v>
      </c>
      <c r="J1485" s="13">
        <v>1</v>
      </c>
      <c r="K1485" s="13" t="s">
        <v>18</v>
      </c>
      <c r="L1485" s="15">
        <v>800.49</v>
      </c>
      <c r="M1485" s="16">
        <v>800.49</v>
      </c>
    </row>
    <row r="1486" spans="1:13" s="5" customFormat="1" x14ac:dyDescent="0.25">
      <c r="A1486" s="12" t="s">
        <v>2873</v>
      </c>
      <c r="B1486" s="13" t="s">
        <v>2874</v>
      </c>
      <c r="C1486" s="14">
        <v>44951</v>
      </c>
      <c r="D1486" s="13">
        <v>2023</v>
      </c>
      <c r="E1486" s="13" t="s">
        <v>3347</v>
      </c>
      <c r="F1486" s="13" t="s">
        <v>11</v>
      </c>
      <c r="G1486" s="15">
        <v>617.69000000000005</v>
      </c>
      <c r="H1486" s="15">
        <v>617.69000000000005</v>
      </c>
      <c r="I1486" s="13">
        <v>6</v>
      </c>
      <c r="J1486" s="13">
        <v>6</v>
      </c>
      <c r="K1486" s="13" t="s">
        <v>3346</v>
      </c>
      <c r="L1486" s="15">
        <v>102.94833333333334</v>
      </c>
      <c r="M1486" s="16">
        <v>102.94833333333334</v>
      </c>
    </row>
    <row r="1487" spans="1:13" s="5" customFormat="1" x14ac:dyDescent="0.25">
      <c r="A1487" s="12" t="s">
        <v>2875</v>
      </c>
      <c r="B1487" s="13" t="s">
        <v>2876</v>
      </c>
      <c r="C1487" s="14">
        <v>45061</v>
      </c>
      <c r="D1487" s="13">
        <v>2023</v>
      </c>
      <c r="E1487" s="13" t="s">
        <v>14</v>
      </c>
      <c r="F1487" s="13" t="s">
        <v>11</v>
      </c>
      <c r="G1487" s="15">
        <v>1197.79</v>
      </c>
      <c r="H1487" s="15">
        <v>1197.79</v>
      </c>
      <c r="I1487" s="13">
        <v>3</v>
      </c>
      <c r="J1487" s="13">
        <v>3</v>
      </c>
      <c r="K1487" s="13" t="s">
        <v>35</v>
      </c>
      <c r="L1487" s="15">
        <v>399.26333333333332</v>
      </c>
      <c r="M1487" s="16">
        <v>399.26333333333332</v>
      </c>
    </row>
    <row r="1488" spans="1:13" s="5" customFormat="1" x14ac:dyDescent="0.25">
      <c r="A1488" s="12" t="s">
        <v>2877</v>
      </c>
      <c r="B1488" s="13" t="s">
        <v>2878</v>
      </c>
      <c r="C1488" s="14">
        <v>45406</v>
      </c>
      <c r="D1488" s="13">
        <v>2024</v>
      </c>
      <c r="E1488" s="13" t="s">
        <v>14</v>
      </c>
      <c r="F1488" s="13" t="s">
        <v>22</v>
      </c>
      <c r="G1488" s="15">
        <v>284.43</v>
      </c>
      <c r="H1488" s="15">
        <v>284.43</v>
      </c>
      <c r="I1488" s="13">
        <v>8</v>
      </c>
      <c r="J1488" s="13">
        <v>8</v>
      </c>
      <c r="K1488" s="13" t="s">
        <v>18</v>
      </c>
      <c r="L1488" s="15">
        <v>35.553750000000001</v>
      </c>
      <c r="M1488" s="16">
        <v>35.553750000000001</v>
      </c>
    </row>
    <row r="1489" spans="1:13" s="5" customFormat="1" x14ac:dyDescent="0.25">
      <c r="A1489" s="12" t="s">
        <v>2879</v>
      </c>
      <c r="B1489" s="13" t="s">
        <v>2880</v>
      </c>
      <c r="C1489" s="14">
        <v>45140</v>
      </c>
      <c r="D1489" s="13">
        <v>2023</v>
      </c>
      <c r="E1489" s="13" t="s">
        <v>3347</v>
      </c>
      <c r="F1489" s="13" t="s">
        <v>34</v>
      </c>
      <c r="G1489" s="15">
        <v>1536.38</v>
      </c>
      <c r="H1489" s="15">
        <v>1536.38</v>
      </c>
      <c r="I1489" s="13">
        <v>9</v>
      </c>
      <c r="J1489" s="13">
        <v>9</v>
      </c>
      <c r="K1489" s="13" t="s">
        <v>18</v>
      </c>
      <c r="L1489" s="15">
        <v>170.70888888888891</v>
      </c>
      <c r="M1489" s="16">
        <v>170.70888888888891</v>
      </c>
    </row>
    <row r="1490" spans="1:13" s="5" customFormat="1" x14ac:dyDescent="0.25">
      <c r="A1490" s="12" t="s">
        <v>2881</v>
      </c>
      <c r="B1490" s="13" t="s">
        <v>2882</v>
      </c>
      <c r="C1490" s="14">
        <v>45408</v>
      </c>
      <c r="D1490" s="13">
        <v>2024</v>
      </c>
      <c r="E1490" s="13" t="s">
        <v>3347</v>
      </c>
      <c r="F1490" s="13" t="s">
        <v>22</v>
      </c>
      <c r="G1490" s="15">
        <v>539.38</v>
      </c>
      <c r="H1490" s="15">
        <v>539.38</v>
      </c>
      <c r="I1490" s="13">
        <v>10</v>
      </c>
      <c r="J1490" s="13">
        <v>10</v>
      </c>
      <c r="K1490" s="13" t="s">
        <v>15</v>
      </c>
      <c r="L1490" s="15">
        <v>53.938000000000002</v>
      </c>
      <c r="M1490" s="16">
        <v>53.938000000000002</v>
      </c>
    </row>
    <row r="1491" spans="1:13" s="5" customFormat="1" x14ac:dyDescent="0.25">
      <c r="A1491" s="12" t="s">
        <v>2883</v>
      </c>
      <c r="B1491" s="13" t="s">
        <v>2884</v>
      </c>
      <c r="C1491" s="14">
        <v>45455</v>
      </c>
      <c r="D1491" s="13">
        <v>2024</v>
      </c>
      <c r="E1491" s="13" t="s">
        <v>3347</v>
      </c>
      <c r="F1491" s="13" t="s">
        <v>34</v>
      </c>
      <c r="G1491" s="15">
        <v>401.8</v>
      </c>
      <c r="H1491" s="15">
        <v>401.8</v>
      </c>
      <c r="I1491" s="13">
        <v>5</v>
      </c>
      <c r="J1491" s="13">
        <v>5</v>
      </c>
      <c r="K1491" s="13" t="s">
        <v>3346</v>
      </c>
      <c r="L1491" s="15">
        <v>80.36</v>
      </c>
      <c r="M1491" s="16">
        <v>80.36</v>
      </c>
    </row>
    <row r="1492" spans="1:13" s="5" customFormat="1" x14ac:dyDescent="0.25">
      <c r="A1492" s="12" t="s">
        <v>2885</v>
      </c>
      <c r="B1492" s="13" t="s">
        <v>2886</v>
      </c>
      <c r="C1492" s="14">
        <v>44949</v>
      </c>
      <c r="D1492" s="13">
        <v>2023</v>
      </c>
      <c r="E1492" s="13" t="s">
        <v>10</v>
      </c>
      <c r="F1492" s="13" t="s">
        <v>25</v>
      </c>
      <c r="G1492" s="15">
        <v>1253.0999999999999</v>
      </c>
      <c r="H1492" s="15">
        <v>1253.0999999999999</v>
      </c>
      <c r="I1492" s="13">
        <v>1</v>
      </c>
      <c r="J1492" s="13">
        <v>1</v>
      </c>
      <c r="K1492" s="13" t="s">
        <v>3348</v>
      </c>
      <c r="L1492" s="15">
        <v>1253.0999999999999</v>
      </c>
      <c r="M1492" s="16">
        <v>1253.0999999999999</v>
      </c>
    </row>
    <row r="1493" spans="1:13" s="5" customFormat="1" x14ac:dyDescent="0.25">
      <c r="A1493" s="12" t="s">
        <v>2887</v>
      </c>
      <c r="B1493" s="13" t="s">
        <v>2440</v>
      </c>
      <c r="C1493" s="14">
        <v>45192</v>
      </c>
      <c r="D1493" s="13">
        <v>2023</v>
      </c>
      <c r="E1493" s="13" t="s">
        <v>3347</v>
      </c>
      <c r="F1493" s="13" t="s">
        <v>11</v>
      </c>
      <c r="G1493" s="15">
        <v>1871.12</v>
      </c>
      <c r="H1493" s="15">
        <v>1871.12</v>
      </c>
      <c r="I1493" s="13">
        <v>6</v>
      </c>
      <c r="J1493" s="13">
        <v>6</v>
      </c>
      <c r="K1493" s="13" t="s">
        <v>15</v>
      </c>
      <c r="L1493" s="15">
        <v>311.8533333333333</v>
      </c>
      <c r="M1493" s="16">
        <v>311.8533333333333</v>
      </c>
    </row>
    <row r="1494" spans="1:13" s="5" customFormat="1" x14ac:dyDescent="0.25">
      <c r="A1494" s="12" t="s">
        <v>2888</v>
      </c>
      <c r="B1494" s="13" t="s">
        <v>2889</v>
      </c>
      <c r="C1494" s="14">
        <v>45931</v>
      </c>
      <c r="D1494" s="13">
        <v>2025</v>
      </c>
      <c r="E1494" s="13" t="s">
        <v>10</v>
      </c>
      <c r="F1494" s="13" t="s">
        <v>25</v>
      </c>
      <c r="G1494" s="15">
        <v>301.87</v>
      </c>
      <c r="H1494" s="15">
        <v>301.87</v>
      </c>
      <c r="I1494" s="13">
        <v>6</v>
      </c>
      <c r="J1494" s="13">
        <v>6</v>
      </c>
      <c r="K1494" s="13" t="s">
        <v>15</v>
      </c>
      <c r="L1494" s="15">
        <v>50.311666666666667</v>
      </c>
      <c r="M1494" s="16">
        <v>50.311666666666667</v>
      </c>
    </row>
    <row r="1495" spans="1:13" s="5" customFormat="1" x14ac:dyDescent="0.25">
      <c r="A1495" s="12" t="s">
        <v>2890</v>
      </c>
      <c r="B1495" s="13" t="s">
        <v>2891</v>
      </c>
      <c r="C1495" s="14">
        <v>45130</v>
      </c>
      <c r="D1495" s="13">
        <v>2023</v>
      </c>
      <c r="E1495" s="13" t="s">
        <v>21</v>
      </c>
      <c r="F1495" s="13" t="s">
        <v>25</v>
      </c>
      <c r="G1495" s="15">
        <v>978.88</v>
      </c>
      <c r="H1495" s="15">
        <v>978.88</v>
      </c>
      <c r="I1495" s="13">
        <v>9</v>
      </c>
      <c r="J1495" s="13">
        <v>9</v>
      </c>
      <c r="K1495" s="13" t="s">
        <v>3348</v>
      </c>
      <c r="L1495" s="15">
        <v>108.76444444444445</v>
      </c>
      <c r="M1495" s="16">
        <v>108.76444444444445</v>
      </c>
    </row>
    <row r="1496" spans="1:13" s="5" customFormat="1" x14ac:dyDescent="0.25">
      <c r="A1496" s="12" t="s">
        <v>2892</v>
      </c>
      <c r="B1496" s="13" t="s">
        <v>2893</v>
      </c>
      <c r="C1496" s="14">
        <v>44916</v>
      </c>
      <c r="D1496" s="13">
        <v>2022</v>
      </c>
      <c r="E1496" s="13" t="s">
        <v>21</v>
      </c>
      <c r="F1496" s="13" t="s">
        <v>25</v>
      </c>
      <c r="G1496" s="15">
        <v>1931.13</v>
      </c>
      <c r="H1496" s="15">
        <v>1931.13</v>
      </c>
      <c r="I1496" s="13">
        <v>3</v>
      </c>
      <c r="J1496" s="13">
        <v>3</v>
      </c>
      <c r="K1496" s="13" t="s">
        <v>3348</v>
      </c>
      <c r="L1496" s="15">
        <v>643.71</v>
      </c>
      <c r="M1496" s="16">
        <v>643.71</v>
      </c>
    </row>
    <row r="1497" spans="1:13" s="5" customFormat="1" x14ac:dyDescent="0.25">
      <c r="A1497" s="12" t="s">
        <v>2894</v>
      </c>
      <c r="B1497" s="13" t="s">
        <v>2895</v>
      </c>
      <c r="C1497" s="14">
        <v>45104</v>
      </c>
      <c r="D1497" s="13">
        <v>2023</v>
      </c>
      <c r="E1497" s="13" t="s">
        <v>10</v>
      </c>
      <c r="F1497" s="13" t="s">
        <v>11</v>
      </c>
      <c r="G1497" s="15">
        <v>1953.73</v>
      </c>
      <c r="H1497" s="15">
        <v>1953.73</v>
      </c>
      <c r="I1497" s="13"/>
      <c r="J1497" s="13">
        <v>5</v>
      </c>
      <c r="K1497" s="13" t="s">
        <v>3348</v>
      </c>
      <c r="L1497" s="15">
        <v>390.74599999999998</v>
      </c>
      <c r="M1497" s="16">
        <v>383.74898148148145</v>
      </c>
    </row>
    <row r="1498" spans="1:13" s="5" customFormat="1" x14ac:dyDescent="0.25">
      <c r="A1498" s="12" t="s">
        <v>2896</v>
      </c>
      <c r="B1498" s="13" t="s">
        <v>2897</v>
      </c>
      <c r="C1498" s="14">
        <v>45662</v>
      </c>
      <c r="D1498" s="13">
        <v>2025</v>
      </c>
      <c r="E1498" s="13" t="s">
        <v>14</v>
      </c>
      <c r="F1498" s="13" t="s">
        <v>22</v>
      </c>
      <c r="G1498" s="15">
        <v>621.59</v>
      </c>
      <c r="H1498" s="15">
        <v>621.59</v>
      </c>
      <c r="I1498" s="13">
        <v>7</v>
      </c>
      <c r="J1498" s="13">
        <v>7</v>
      </c>
      <c r="K1498" s="13" t="s">
        <v>18</v>
      </c>
      <c r="L1498" s="15">
        <v>88.798571428571435</v>
      </c>
      <c r="M1498" s="16">
        <v>88.798571428571435</v>
      </c>
    </row>
    <row r="1499" spans="1:13" s="5" customFormat="1" x14ac:dyDescent="0.25">
      <c r="A1499" s="12" t="s">
        <v>2898</v>
      </c>
      <c r="B1499" s="13" t="s">
        <v>2899</v>
      </c>
      <c r="C1499" s="14">
        <v>45058</v>
      </c>
      <c r="D1499" s="13">
        <v>2023</v>
      </c>
      <c r="E1499" s="13" t="s">
        <v>3347</v>
      </c>
      <c r="F1499" s="13" t="s">
        <v>25</v>
      </c>
      <c r="G1499" s="15">
        <v>783.58</v>
      </c>
      <c r="H1499" s="15">
        <v>783.58</v>
      </c>
      <c r="I1499" s="13">
        <v>3</v>
      </c>
      <c r="J1499" s="13">
        <v>3</v>
      </c>
      <c r="K1499" s="13" t="s">
        <v>18</v>
      </c>
      <c r="L1499" s="15">
        <v>261.19333333333333</v>
      </c>
      <c r="M1499" s="16">
        <v>261.19333333333333</v>
      </c>
    </row>
    <row r="1500" spans="1:13" s="5" customFormat="1" x14ac:dyDescent="0.25">
      <c r="A1500" s="12" t="s">
        <v>2900</v>
      </c>
      <c r="B1500" s="13" t="s">
        <v>2824</v>
      </c>
      <c r="C1500" s="14">
        <v>45926</v>
      </c>
      <c r="D1500" s="13">
        <v>2025</v>
      </c>
      <c r="E1500" s="13" t="s">
        <v>14</v>
      </c>
      <c r="F1500" s="13" t="s">
        <v>34</v>
      </c>
      <c r="G1500" s="15">
        <v>1506.26</v>
      </c>
      <c r="H1500" s="15">
        <v>1506.26</v>
      </c>
      <c r="I1500" s="13"/>
      <c r="J1500" s="13">
        <v>8</v>
      </c>
      <c r="K1500" s="13" t="s">
        <v>15</v>
      </c>
      <c r="L1500" s="15">
        <v>188.2825</v>
      </c>
      <c r="M1500" s="16">
        <v>189.99304166666667</v>
      </c>
    </row>
    <row r="1501" spans="1:13" s="5" customFormat="1" x14ac:dyDescent="0.25">
      <c r="A1501" s="12" t="s">
        <v>2901</v>
      </c>
      <c r="B1501" s="13" t="s">
        <v>2902</v>
      </c>
      <c r="C1501" s="14">
        <v>45056</v>
      </c>
      <c r="D1501" s="13">
        <v>2023</v>
      </c>
      <c r="E1501" s="13" t="s">
        <v>21</v>
      </c>
      <c r="F1501" s="13" t="s">
        <v>34</v>
      </c>
      <c r="G1501" s="15">
        <v>1086.1099999999999</v>
      </c>
      <c r="H1501" s="15">
        <v>1086.1099999999999</v>
      </c>
      <c r="I1501" s="13">
        <v>5</v>
      </c>
      <c r="J1501" s="13">
        <v>5</v>
      </c>
      <c r="K1501" s="13" t="s">
        <v>18</v>
      </c>
      <c r="L1501" s="15">
        <v>217.22199999999998</v>
      </c>
      <c r="M1501" s="16">
        <v>217.22199999999998</v>
      </c>
    </row>
    <row r="1502" spans="1:13" s="5" customFormat="1" x14ac:dyDescent="0.25">
      <c r="A1502" s="12" t="s">
        <v>2903</v>
      </c>
      <c r="B1502" s="13" t="s">
        <v>2904</v>
      </c>
      <c r="C1502" s="14">
        <v>45388</v>
      </c>
      <c r="D1502" s="13">
        <v>2024</v>
      </c>
      <c r="E1502" s="13" t="s">
        <v>3347</v>
      </c>
      <c r="F1502" s="13" t="s">
        <v>11</v>
      </c>
      <c r="G1502" s="15"/>
      <c r="H1502" s="15">
        <v>2169.7369999999996</v>
      </c>
      <c r="I1502" s="13">
        <v>9</v>
      </c>
      <c r="J1502" s="13">
        <v>9</v>
      </c>
      <c r="K1502" s="13" t="s">
        <v>18</v>
      </c>
      <c r="L1502" s="15">
        <v>241.08188888888884</v>
      </c>
      <c r="M1502" s="16">
        <v>241.08188888888887</v>
      </c>
    </row>
    <row r="1503" spans="1:13" s="5" customFormat="1" x14ac:dyDescent="0.25">
      <c r="A1503" s="12" t="s">
        <v>2905</v>
      </c>
      <c r="B1503" s="13" t="s">
        <v>2906</v>
      </c>
      <c r="C1503" s="14">
        <v>45357</v>
      </c>
      <c r="D1503" s="13">
        <v>2024</v>
      </c>
      <c r="E1503" s="13" t="s">
        <v>10</v>
      </c>
      <c r="F1503" s="13" t="s">
        <v>11</v>
      </c>
      <c r="G1503" s="15">
        <v>999.07</v>
      </c>
      <c r="H1503" s="15">
        <v>999.07</v>
      </c>
      <c r="I1503" s="13">
        <v>3</v>
      </c>
      <c r="J1503" s="13">
        <v>3</v>
      </c>
      <c r="K1503" s="13" t="s">
        <v>15</v>
      </c>
      <c r="L1503" s="15">
        <v>333.02333333333337</v>
      </c>
      <c r="M1503" s="16">
        <v>333.02333333333337</v>
      </c>
    </row>
    <row r="1504" spans="1:13" s="5" customFormat="1" x14ac:dyDescent="0.25">
      <c r="A1504" s="12" t="s">
        <v>2907</v>
      </c>
      <c r="B1504" s="13" t="s">
        <v>2908</v>
      </c>
      <c r="C1504" s="14">
        <v>45489</v>
      </c>
      <c r="D1504" s="13">
        <v>2024</v>
      </c>
      <c r="E1504" s="13" t="s">
        <v>10</v>
      </c>
      <c r="F1504" s="13" t="s">
        <v>11</v>
      </c>
      <c r="G1504" s="15"/>
      <c r="H1504" s="15">
        <v>1196.838611111111</v>
      </c>
      <c r="I1504" s="13">
        <v>5</v>
      </c>
      <c r="J1504" s="13">
        <v>5</v>
      </c>
      <c r="K1504" s="13" t="s">
        <v>3346</v>
      </c>
      <c r="L1504" s="15">
        <v>239.3677222222222</v>
      </c>
      <c r="M1504" s="16">
        <v>239.36772222222223</v>
      </c>
    </row>
    <row r="1505" spans="1:13" s="5" customFormat="1" x14ac:dyDescent="0.25">
      <c r="A1505" s="12" t="s">
        <v>2909</v>
      </c>
      <c r="B1505" s="13" t="s">
        <v>2910</v>
      </c>
      <c r="C1505" s="14">
        <v>45894</v>
      </c>
      <c r="D1505" s="13">
        <v>2025</v>
      </c>
      <c r="E1505" s="13" t="s">
        <v>14</v>
      </c>
      <c r="F1505" s="13" t="s">
        <v>34</v>
      </c>
      <c r="G1505" s="15">
        <v>298.82</v>
      </c>
      <c r="H1505" s="15">
        <v>298.82</v>
      </c>
      <c r="I1505" s="13">
        <v>4</v>
      </c>
      <c r="J1505" s="13">
        <v>4</v>
      </c>
      <c r="K1505" s="13" t="s">
        <v>18</v>
      </c>
      <c r="L1505" s="15">
        <v>74.704999999999998</v>
      </c>
      <c r="M1505" s="16">
        <v>74.704999999999998</v>
      </c>
    </row>
    <row r="1506" spans="1:13" s="5" customFormat="1" x14ac:dyDescent="0.25">
      <c r="A1506" s="12" t="s">
        <v>2911</v>
      </c>
      <c r="B1506" s="13" t="s">
        <v>2912</v>
      </c>
      <c r="C1506" s="14">
        <v>45385</v>
      </c>
      <c r="D1506" s="13">
        <v>2024</v>
      </c>
      <c r="E1506" s="13" t="s">
        <v>21</v>
      </c>
      <c r="F1506" s="13" t="s">
        <v>34</v>
      </c>
      <c r="G1506" s="15">
        <v>1324.35</v>
      </c>
      <c r="H1506" s="15">
        <v>1324.35</v>
      </c>
      <c r="I1506" s="13">
        <v>9</v>
      </c>
      <c r="J1506" s="13">
        <v>9</v>
      </c>
      <c r="K1506" s="13" t="s">
        <v>18</v>
      </c>
      <c r="L1506" s="15">
        <v>147.14999999999998</v>
      </c>
      <c r="M1506" s="16">
        <v>147.14999999999998</v>
      </c>
    </row>
    <row r="1507" spans="1:13" s="5" customFormat="1" x14ac:dyDescent="0.25">
      <c r="A1507" s="12" t="s">
        <v>2913</v>
      </c>
      <c r="B1507" s="13" t="s">
        <v>2914</v>
      </c>
      <c r="C1507" s="14">
        <v>45726</v>
      </c>
      <c r="D1507" s="13">
        <v>2025</v>
      </c>
      <c r="E1507" s="13" t="s">
        <v>10</v>
      </c>
      <c r="F1507" s="13" t="s">
        <v>22</v>
      </c>
      <c r="G1507" s="15">
        <v>116.07</v>
      </c>
      <c r="H1507" s="15">
        <v>116.07</v>
      </c>
      <c r="I1507" s="13">
        <v>8</v>
      </c>
      <c r="J1507" s="13">
        <v>8</v>
      </c>
      <c r="K1507" s="13" t="s">
        <v>3346</v>
      </c>
      <c r="L1507" s="15">
        <v>14.508749999999999</v>
      </c>
      <c r="M1507" s="16">
        <v>14.508749999999999</v>
      </c>
    </row>
    <row r="1508" spans="1:13" s="5" customFormat="1" x14ac:dyDescent="0.25">
      <c r="A1508" s="12" t="s">
        <v>2915</v>
      </c>
      <c r="B1508" s="13" t="s">
        <v>2916</v>
      </c>
      <c r="C1508" s="14">
        <v>45910</v>
      </c>
      <c r="D1508" s="13">
        <v>2025</v>
      </c>
      <c r="E1508" s="13" t="s">
        <v>10</v>
      </c>
      <c r="F1508" s="13" t="s">
        <v>25</v>
      </c>
      <c r="G1508" s="15">
        <v>1512.88</v>
      </c>
      <c r="H1508" s="15">
        <v>1512.88</v>
      </c>
      <c r="I1508" s="13">
        <v>7</v>
      </c>
      <c r="J1508" s="13">
        <v>7</v>
      </c>
      <c r="K1508" s="13" t="s">
        <v>3348</v>
      </c>
      <c r="L1508" s="15">
        <v>216.12571428571431</v>
      </c>
      <c r="M1508" s="16">
        <v>216.12571428571431</v>
      </c>
    </row>
    <row r="1509" spans="1:13" s="5" customFormat="1" x14ac:dyDescent="0.25">
      <c r="A1509" s="12" t="s">
        <v>2917</v>
      </c>
      <c r="B1509" s="13" t="s">
        <v>1764</v>
      </c>
      <c r="C1509" s="14">
        <v>45800</v>
      </c>
      <c r="D1509" s="13">
        <v>2025</v>
      </c>
      <c r="E1509" s="13" t="s">
        <v>21</v>
      </c>
      <c r="F1509" s="13" t="s">
        <v>22</v>
      </c>
      <c r="G1509" s="15">
        <v>183.39</v>
      </c>
      <c r="H1509" s="15">
        <v>183.39</v>
      </c>
      <c r="I1509" s="13">
        <v>3</v>
      </c>
      <c r="J1509" s="13">
        <v>3</v>
      </c>
      <c r="K1509" s="13" t="s">
        <v>3348</v>
      </c>
      <c r="L1509" s="15">
        <v>61.129999999999995</v>
      </c>
      <c r="M1509" s="16">
        <v>61.129999999999995</v>
      </c>
    </row>
    <row r="1510" spans="1:13" s="5" customFormat="1" x14ac:dyDescent="0.25">
      <c r="A1510" s="12" t="s">
        <v>2918</v>
      </c>
      <c r="B1510" s="13" t="s">
        <v>2919</v>
      </c>
      <c r="C1510" s="14">
        <v>45388</v>
      </c>
      <c r="D1510" s="13">
        <v>2024</v>
      </c>
      <c r="E1510" s="13" t="s">
        <v>3347</v>
      </c>
      <c r="F1510" s="13" t="s">
        <v>25</v>
      </c>
      <c r="G1510" s="15">
        <v>1356.76</v>
      </c>
      <c r="H1510" s="15">
        <v>1356.76</v>
      </c>
      <c r="I1510" s="13">
        <v>3</v>
      </c>
      <c r="J1510" s="13">
        <v>3</v>
      </c>
      <c r="K1510" s="13" t="s">
        <v>3346</v>
      </c>
      <c r="L1510" s="15">
        <v>452.25333333333333</v>
      </c>
      <c r="M1510" s="16">
        <v>452.25333333333333</v>
      </c>
    </row>
    <row r="1511" spans="1:13" s="5" customFormat="1" x14ac:dyDescent="0.25">
      <c r="A1511" s="12" t="s">
        <v>2920</v>
      </c>
      <c r="B1511" s="13" t="s">
        <v>2921</v>
      </c>
      <c r="C1511" s="14">
        <v>45650</v>
      </c>
      <c r="D1511" s="13">
        <v>2024</v>
      </c>
      <c r="E1511" s="13" t="s">
        <v>21</v>
      </c>
      <c r="F1511" s="13" t="s">
        <v>34</v>
      </c>
      <c r="G1511" s="15"/>
      <c r="H1511" s="15">
        <v>164.04357142857143</v>
      </c>
      <c r="I1511" s="13">
        <v>1</v>
      </c>
      <c r="J1511" s="13">
        <v>1</v>
      </c>
      <c r="K1511" s="13" t="s">
        <v>35</v>
      </c>
      <c r="L1511" s="15">
        <v>164.04357142857143</v>
      </c>
      <c r="M1511" s="16">
        <v>164.04357142857143</v>
      </c>
    </row>
    <row r="1512" spans="1:13" s="5" customFormat="1" x14ac:dyDescent="0.25">
      <c r="A1512" s="12" t="s">
        <v>2922</v>
      </c>
      <c r="B1512" s="13" t="s">
        <v>2923</v>
      </c>
      <c r="C1512" s="14">
        <v>45717</v>
      </c>
      <c r="D1512" s="13">
        <v>2025</v>
      </c>
      <c r="E1512" s="13" t="s">
        <v>14</v>
      </c>
      <c r="F1512" s="13" t="s">
        <v>22</v>
      </c>
      <c r="G1512" s="15">
        <v>1206.74</v>
      </c>
      <c r="H1512" s="15">
        <v>1206.74</v>
      </c>
      <c r="I1512" s="13">
        <v>1</v>
      </c>
      <c r="J1512" s="13">
        <v>1</v>
      </c>
      <c r="K1512" s="13" t="s">
        <v>18</v>
      </c>
      <c r="L1512" s="15">
        <v>1206.74</v>
      </c>
      <c r="M1512" s="16">
        <v>1206.74</v>
      </c>
    </row>
    <row r="1513" spans="1:13" s="5" customFormat="1" x14ac:dyDescent="0.25">
      <c r="A1513" s="12" t="s">
        <v>2924</v>
      </c>
      <c r="B1513" s="13" t="s">
        <v>2925</v>
      </c>
      <c r="C1513" s="14">
        <v>45224</v>
      </c>
      <c r="D1513" s="13">
        <v>2023</v>
      </c>
      <c r="E1513" s="13" t="s">
        <v>10</v>
      </c>
      <c r="F1513" s="13" t="s">
        <v>34</v>
      </c>
      <c r="G1513" s="15">
        <v>738.09</v>
      </c>
      <c r="H1513" s="15">
        <v>738.09</v>
      </c>
      <c r="I1513" s="13">
        <v>9</v>
      </c>
      <c r="J1513" s="13">
        <v>9</v>
      </c>
      <c r="K1513" s="13" t="s">
        <v>35</v>
      </c>
      <c r="L1513" s="15">
        <v>82.01</v>
      </c>
      <c r="M1513" s="16">
        <v>82.01</v>
      </c>
    </row>
    <row r="1514" spans="1:13" s="5" customFormat="1" x14ac:dyDescent="0.25">
      <c r="A1514" s="12" t="s">
        <v>2926</v>
      </c>
      <c r="B1514" s="13" t="s">
        <v>2927</v>
      </c>
      <c r="C1514" s="14">
        <v>45258</v>
      </c>
      <c r="D1514" s="13">
        <v>2023</v>
      </c>
      <c r="E1514" s="13" t="s">
        <v>14</v>
      </c>
      <c r="F1514" s="13" t="s">
        <v>25</v>
      </c>
      <c r="G1514" s="15">
        <v>641.97</v>
      </c>
      <c r="H1514" s="15">
        <v>641.97</v>
      </c>
      <c r="I1514" s="13">
        <v>2</v>
      </c>
      <c r="J1514" s="13">
        <v>2</v>
      </c>
      <c r="K1514" s="13" t="s">
        <v>15</v>
      </c>
      <c r="L1514" s="15">
        <v>320.98500000000001</v>
      </c>
      <c r="M1514" s="16">
        <v>320.98500000000001</v>
      </c>
    </row>
    <row r="1515" spans="1:13" s="5" customFormat="1" x14ac:dyDescent="0.25">
      <c r="A1515" s="12" t="s">
        <v>2928</v>
      </c>
      <c r="B1515" s="13" t="s">
        <v>2893</v>
      </c>
      <c r="C1515" s="14">
        <v>45038</v>
      </c>
      <c r="D1515" s="13">
        <v>2023</v>
      </c>
      <c r="E1515" s="13" t="s">
        <v>21</v>
      </c>
      <c r="F1515" s="13" t="s">
        <v>22</v>
      </c>
      <c r="G1515" s="15"/>
      <c r="H1515" s="15">
        <v>1672.8291666666667</v>
      </c>
      <c r="I1515" s="13">
        <v>10</v>
      </c>
      <c r="J1515" s="13">
        <v>10</v>
      </c>
      <c r="K1515" s="13" t="s">
        <v>18</v>
      </c>
      <c r="L1515" s="15">
        <v>167.28291666666667</v>
      </c>
      <c r="M1515" s="16">
        <v>167.28291666666667</v>
      </c>
    </row>
    <row r="1516" spans="1:13" s="5" customFormat="1" x14ac:dyDescent="0.25">
      <c r="A1516" s="12" t="s">
        <v>2929</v>
      </c>
      <c r="B1516" s="13" t="s">
        <v>978</v>
      </c>
      <c r="C1516" s="14">
        <v>45230</v>
      </c>
      <c r="D1516" s="13">
        <v>2023</v>
      </c>
      <c r="E1516" s="13" t="s">
        <v>10</v>
      </c>
      <c r="F1516" s="13" t="s">
        <v>22</v>
      </c>
      <c r="G1516" s="15">
        <v>1477.49</v>
      </c>
      <c r="H1516" s="15">
        <v>1477.49</v>
      </c>
      <c r="I1516" s="13">
        <v>2</v>
      </c>
      <c r="J1516" s="13">
        <v>2</v>
      </c>
      <c r="K1516" s="13" t="s">
        <v>15</v>
      </c>
      <c r="L1516" s="15">
        <v>738.745</v>
      </c>
      <c r="M1516" s="16">
        <v>738.745</v>
      </c>
    </row>
    <row r="1517" spans="1:13" s="5" customFormat="1" x14ac:dyDescent="0.25">
      <c r="A1517" s="12" t="s">
        <v>2930</v>
      </c>
      <c r="B1517" s="13" t="s">
        <v>2931</v>
      </c>
      <c r="C1517" s="14">
        <v>45581</v>
      </c>
      <c r="D1517" s="13">
        <v>2024</v>
      </c>
      <c r="E1517" s="13" t="s">
        <v>10</v>
      </c>
      <c r="F1517" s="13" t="s">
        <v>34</v>
      </c>
      <c r="G1517" s="15">
        <v>1319.53</v>
      </c>
      <c r="H1517" s="15">
        <v>1319.53</v>
      </c>
      <c r="I1517" s="13">
        <v>6</v>
      </c>
      <c r="J1517" s="13">
        <v>6</v>
      </c>
      <c r="K1517" s="13" t="s">
        <v>15</v>
      </c>
      <c r="L1517" s="15">
        <v>219.92166666666665</v>
      </c>
      <c r="M1517" s="16">
        <v>219.92166666666665</v>
      </c>
    </row>
    <row r="1518" spans="1:13" s="5" customFormat="1" x14ac:dyDescent="0.25">
      <c r="A1518" s="12" t="s">
        <v>2932</v>
      </c>
      <c r="B1518" s="13" t="s">
        <v>2933</v>
      </c>
      <c r="C1518" s="14">
        <v>45391</v>
      </c>
      <c r="D1518" s="13">
        <v>2024</v>
      </c>
      <c r="E1518" s="13" t="s">
        <v>10</v>
      </c>
      <c r="F1518" s="13" t="s">
        <v>22</v>
      </c>
      <c r="G1518" s="15">
        <v>1624.52</v>
      </c>
      <c r="H1518" s="15">
        <v>1624.52</v>
      </c>
      <c r="I1518" s="13">
        <v>10</v>
      </c>
      <c r="J1518" s="13">
        <v>10</v>
      </c>
      <c r="K1518" s="13" t="s">
        <v>3346</v>
      </c>
      <c r="L1518" s="15">
        <v>162.452</v>
      </c>
      <c r="M1518" s="16">
        <v>162.452</v>
      </c>
    </row>
    <row r="1519" spans="1:13" s="5" customFormat="1" x14ac:dyDescent="0.25">
      <c r="A1519" s="12" t="s">
        <v>2934</v>
      </c>
      <c r="B1519" s="13" t="s">
        <v>2935</v>
      </c>
      <c r="C1519" s="14">
        <v>45368</v>
      </c>
      <c r="D1519" s="13">
        <v>2024</v>
      </c>
      <c r="E1519" s="13" t="s">
        <v>21</v>
      </c>
      <c r="F1519" s="13" t="s">
        <v>34</v>
      </c>
      <c r="G1519" s="15">
        <v>1276.44</v>
      </c>
      <c r="H1519" s="15">
        <v>1276.44</v>
      </c>
      <c r="I1519" s="13"/>
      <c r="J1519" s="13">
        <v>3</v>
      </c>
      <c r="K1519" s="13" t="s">
        <v>18</v>
      </c>
      <c r="L1519" s="15">
        <v>425.48</v>
      </c>
      <c r="M1519" s="16">
        <v>377.9392559523809</v>
      </c>
    </row>
    <row r="1520" spans="1:13" s="5" customFormat="1" x14ac:dyDescent="0.25">
      <c r="A1520" s="12" t="s">
        <v>2936</v>
      </c>
      <c r="B1520" s="13" t="s">
        <v>2937</v>
      </c>
      <c r="C1520" s="14">
        <v>44859</v>
      </c>
      <c r="D1520" s="13">
        <v>2022</v>
      </c>
      <c r="E1520" s="13" t="s">
        <v>21</v>
      </c>
      <c r="F1520" s="13" t="s">
        <v>25</v>
      </c>
      <c r="G1520" s="15">
        <v>349.14</v>
      </c>
      <c r="H1520" s="15">
        <v>349.14</v>
      </c>
      <c r="I1520" s="13">
        <v>3</v>
      </c>
      <c r="J1520" s="13">
        <v>3</v>
      </c>
      <c r="K1520" s="13" t="s">
        <v>15</v>
      </c>
      <c r="L1520" s="15">
        <v>116.38</v>
      </c>
      <c r="M1520" s="16">
        <v>116.38</v>
      </c>
    </row>
    <row r="1521" spans="1:13" s="5" customFormat="1" x14ac:dyDescent="0.25">
      <c r="A1521" s="12" t="s">
        <v>2938</v>
      </c>
      <c r="B1521" s="13" t="s">
        <v>2939</v>
      </c>
      <c r="C1521" s="14">
        <v>45770</v>
      </c>
      <c r="D1521" s="13">
        <v>2025</v>
      </c>
      <c r="E1521" s="13" t="s">
        <v>3347</v>
      </c>
      <c r="F1521" s="13" t="s">
        <v>34</v>
      </c>
      <c r="G1521" s="15">
        <v>1529.79</v>
      </c>
      <c r="H1521" s="15">
        <v>1529.79</v>
      </c>
      <c r="I1521" s="13"/>
      <c r="J1521" s="13">
        <v>3</v>
      </c>
      <c r="K1521" s="13" t="s">
        <v>18</v>
      </c>
      <c r="L1521" s="15">
        <v>509.93</v>
      </c>
      <c r="M1521" s="16">
        <v>609.77208333333328</v>
      </c>
    </row>
    <row r="1522" spans="1:13" s="5" customFormat="1" x14ac:dyDescent="0.25">
      <c r="A1522" s="12" t="s">
        <v>2940</v>
      </c>
      <c r="B1522" s="13" t="s">
        <v>2941</v>
      </c>
      <c r="C1522" s="14">
        <v>45094</v>
      </c>
      <c r="D1522" s="13">
        <v>2023</v>
      </c>
      <c r="E1522" s="13" t="s">
        <v>21</v>
      </c>
      <c r="F1522" s="13" t="s">
        <v>22</v>
      </c>
      <c r="G1522" s="15">
        <v>1714.07</v>
      </c>
      <c r="H1522" s="15">
        <v>1714.07</v>
      </c>
      <c r="I1522" s="13">
        <v>2</v>
      </c>
      <c r="J1522" s="13">
        <v>2</v>
      </c>
      <c r="K1522" s="13" t="s">
        <v>15</v>
      </c>
      <c r="L1522" s="15">
        <v>857.03499999999997</v>
      </c>
      <c r="M1522" s="16">
        <v>857.03499999999997</v>
      </c>
    </row>
    <row r="1523" spans="1:13" s="5" customFormat="1" x14ac:dyDescent="0.25">
      <c r="A1523" s="12" t="s">
        <v>2942</v>
      </c>
      <c r="B1523" s="13" t="s">
        <v>2943</v>
      </c>
      <c r="C1523" s="14">
        <v>45059</v>
      </c>
      <c r="D1523" s="13">
        <v>2023</v>
      </c>
      <c r="E1523" s="13" t="s">
        <v>10</v>
      </c>
      <c r="F1523" s="13" t="s">
        <v>25</v>
      </c>
      <c r="G1523" s="15">
        <v>1252.8499999999999</v>
      </c>
      <c r="H1523" s="15">
        <v>1252.8499999999999</v>
      </c>
      <c r="I1523" s="13">
        <v>3</v>
      </c>
      <c r="J1523" s="13">
        <v>3</v>
      </c>
      <c r="K1523" s="13" t="s">
        <v>15</v>
      </c>
      <c r="L1523" s="15">
        <v>417.61666666666662</v>
      </c>
      <c r="M1523" s="16">
        <v>417.61666666666662</v>
      </c>
    </row>
    <row r="1524" spans="1:13" s="5" customFormat="1" x14ac:dyDescent="0.25">
      <c r="A1524" s="12" t="s">
        <v>2944</v>
      </c>
      <c r="B1524" s="13" t="s">
        <v>2945</v>
      </c>
      <c r="C1524" s="14">
        <v>45481</v>
      </c>
      <c r="D1524" s="13">
        <v>2024</v>
      </c>
      <c r="E1524" s="13" t="s">
        <v>14</v>
      </c>
      <c r="F1524" s="13" t="s">
        <v>11</v>
      </c>
      <c r="G1524" s="15">
        <v>1404.15</v>
      </c>
      <c r="H1524" s="15">
        <v>1404.15</v>
      </c>
      <c r="I1524" s="13">
        <v>3</v>
      </c>
      <c r="J1524" s="13">
        <v>3</v>
      </c>
      <c r="K1524" s="13" t="s">
        <v>35</v>
      </c>
      <c r="L1524" s="15">
        <v>468.05</v>
      </c>
      <c r="M1524" s="16">
        <v>468.05</v>
      </c>
    </row>
    <row r="1525" spans="1:13" s="5" customFormat="1" x14ac:dyDescent="0.25">
      <c r="A1525" s="12" t="s">
        <v>2946</v>
      </c>
      <c r="B1525" s="13" t="s">
        <v>2947</v>
      </c>
      <c r="C1525" s="14">
        <v>45767</v>
      </c>
      <c r="D1525" s="13">
        <v>2025</v>
      </c>
      <c r="E1525" s="13" t="s">
        <v>14</v>
      </c>
      <c r="F1525" s="13" t="s">
        <v>11</v>
      </c>
      <c r="G1525" s="15">
        <v>1292.19</v>
      </c>
      <c r="H1525" s="15">
        <v>1292.19</v>
      </c>
      <c r="I1525" s="13">
        <v>9</v>
      </c>
      <c r="J1525" s="13">
        <v>9</v>
      </c>
      <c r="K1525" s="13" t="s">
        <v>18</v>
      </c>
      <c r="L1525" s="15">
        <v>143.57666666666668</v>
      </c>
      <c r="M1525" s="16">
        <v>143.57666666666668</v>
      </c>
    </row>
    <row r="1526" spans="1:13" s="5" customFormat="1" x14ac:dyDescent="0.25">
      <c r="A1526" s="12" t="s">
        <v>2948</v>
      </c>
      <c r="B1526" s="13" t="s">
        <v>2949</v>
      </c>
      <c r="C1526" s="14">
        <v>45550</v>
      </c>
      <c r="D1526" s="13">
        <v>2024</v>
      </c>
      <c r="E1526" s="13" t="s">
        <v>10</v>
      </c>
      <c r="F1526" s="13" t="s">
        <v>11</v>
      </c>
      <c r="G1526" s="15">
        <v>1461.14</v>
      </c>
      <c r="H1526" s="15">
        <v>1461.14</v>
      </c>
      <c r="I1526" s="13">
        <v>6</v>
      </c>
      <c r="J1526" s="13">
        <v>6</v>
      </c>
      <c r="K1526" s="13" t="s">
        <v>35</v>
      </c>
      <c r="L1526" s="15">
        <v>243.52333333333334</v>
      </c>
      <c r="M1526" s="16">
        <v>243.52333333333334</v>
      </c>
    </row>
    <row r="1527" spans="1:13" s="5" customFormat="1" x14ac:dyDescent="0.25">
      <c r="A1527" s="12" t="s">
        <v>2950</v>
      </c>
      <c r="B1527" s="13" t="s">
        <v>2424</v>
      </c>
      <c r="C1527" s="14">
        <v>45578</v>
      </c>
      <c r="D1527" s="13">
        <v>2024</v>
      </c>
      <c r="E1527" s="13" t="s">
        <v>21</v>
      </c>
      <c r="F1527" s="13" t="s">
        <v>11</v>
      </c>
      <c r="G1527" s="15"/>
      <c r="H1527" s="15">
        <v>691.13629629629634</v>
      </c>
      <c r="I1527" s="13">
        <v>2</v>
      </c>
      <c r="J1527" s="13">
        <v>2</v>
      </c>
      <c r="K1527" s="13" t="s">
        <v>15</v>
      </c>
      <c r="L1527" s="15">
        <v>345.56814814814817</v>
      </c>
      <c r="M1527" s="16">
        <v>345.56814814814817</v>
      </c>
    </row>
    <row r="1528" spans="1:13" s="5" customFormat="1" x14ac:dyDescent="0.25">
      <c r="A1528" s="12" t="s">
        <v>2951</v>
      </c>
      <c r="B1528" s="13" t="s">
        <v>2952</v>
      </c>
      <c r="C1528" s="14">
        <v>45395</v>
      </c>
      <c r="D1528" s="13">
        <v>2024</v>
      </c>
      <c r="E1528" s="13" t="s">
        <v>3347</v>
      </c>
      <c r="F1528" s="13" t="s">
        <v>11</v>
      </c>
      <c r="G1528" s="15">
        <v>1931.81</v>
      </c>
      <c r="H1528" s="15">
        <v>1931.81</v>
      </c>
      <c r="I1528" s="13">
        <v>3</v>
      </c>
      <c r="J1528" s="13">
        <v>3</v>
      </c>
      <c r="K1528" s="13" t="s">
        <v>18</v>
      </c>
      <c r="L1528" s="15">
        <v>643.93666666666661</v>
      </c>
      <c r="M1528" s="16">
        <v>643.93666666666661</v>
      </c>
    </row>
    <row r="1529" spans="1:13" s="5" customFormat="1" x14ac:dyDescent="0.25">
      <c r="A1529" s="12" t="s">
        <v>2953</v>
      </c>
      <c r="B1529" s="13" t="s">
        <v>1789</v>
      </c>
      <c r="C1529" s="14">
        <v>45708</v>
      </c>
      <c r="D1529" s="13">
        <v>2025</v>
      </c>
      <c r="E1529" s="13" t="s">
        <v>14</v>
      </c>
      <c r="F1529" s="13" t="s">
        <v>22</v>
      </c>
      <c r="G1529" s="15">
        <v>130.34</v>
      </c>
      <c r="H1529" s="15">
        <v>130.34</v>
      </c>
      <c r="I1529" s="13">
        <v>1</v>
      </c>
      <c r="J1529" s="13">
        <v>1</v>
      </c>
      <c r="K1529" s="13" t="s">
        <v>3346</v>
      </c>
      <c r="L1529" s="15">
        <v>130.34</v>
      </c>
      <c r="M1529" s="16">
        <v>130.34</v>
      </c>
    </row>
    <row r="1530" spans="1:13" s="5" customFormat="1" x14ac:dyDescent="0.25">
      <c r="A1530" s="12" t="s">
        <v>2954</v>
      </c>
      <c r="B1530" s="13" t="s">
        <v>2955</v>
      </c>
      <c r="C1530" s="14">
        <v>45284</v>
      </c>
      <c r="D1530" s="13">
        <v>2023</v>
      </c>
      <c r="E1530" s="13" t="s">
        <v>10</v>
      </c>
      <c r="F1530" s="13" t="s">
        <v>34</v>
      </c>
      <c r="G1530" s="15">
        <v>1272.49</v>
      </c>
      <c r="H1530" s="15">
        <v>1272.49</v>
      </c>
      <c r="I1530" s="13">
        <v>5</v>
      </c>
      <c r="J1530" s="13">
        <v>5</v>
      </c>
      <c r="K1530" s="13" t="s">
        <v>3346</v>
      </c>
      <c r="L1530" s="15">
        <v>254.49799999999999</v>
      </c>
      <c r="M1530" s="16">
        <v>254.49799999999999</v>
      </c>
    </row>
    <row r="1531" spans="1:13" s="5" customFormat="1" x14ac:dyDescent="0.25">
      <c r="A1531" s="12" t="s">
        <v>2956</v>
      </c>
      <c r="B1531" s="13" t="s">
        <v>2957</v>
      </c>
      <c r="C1531" s="14">
        <v>45098</v>
      </c>
      <c r="D1531" s="13">
        <v>2023</v>
      </c>
      <c r="E1531" s="13" t="s">
        <v>21</v>
      </c>
      <c r="F1531" s="13" t="s">
        <v>25</v>
      </c>
      <c r="G1531" s="15"/>
      <c r="H1531" s="15">
        <v>1469.430277777778</v>
      </c>
      <c r="I1531" s="13">
        <v>8</v>
      </c>
      <c r="J1531" s="13">
        <v>8</v>
      </c>
      <c r="K1531" s="13" t="s">
        <v>3346</v>
      </c>
      <c r="L1531" s="15">
        <v>183.67878472222225</v>
      </c>
      <c r="M1531" s="16">
        <v>183.67878472222225</v>
      </c>
    </row>
    <row r="1532" spans="1:13" s="5" customFormat="1" x14ac:dyDescent="0.25">
      <c r="A1532" s="12" t="s">
        <v>2958</v>
      </c>
      <c r="B1532" s="13" t="s">
        <v>2959</v>
      </c>
      <c r="C1532" s="14">
        <v>44900</v>
      </c>
      <c r="D1532" s="13">
        <v>2022</v>
      </c>
      <c r="E1532" s="13" t="s">
        <v>3347</v>
      </c>
      <c r="F1532" s="13" t="s">
        <v>34</v>
      </c>
      <c r="G1532" s="15"/>
      <c r="H1532" s="15">
        <v>1429.4363321428573</v>
      </c>
      <c r="I1532" s="13">
        <v>6</v>
      </c>
      <c r="J1532" s="13">
        <v>6</v>
      </c>
      <c r="K1532" s="13" t="s">
        <v>18</v>
      </c>
      <c r="L1532" s="15">
        <v>238.2393886904762</v>
      </c>
      <c r="M1532" s="16">
        <v>238.2393886904762</v>
      </c>
    </row>
    <row r="1533" spans="1:13" s="5" customFormat="1" x14ac:dyDescent="0.25">
      <c r="A1533" s="12" t="s">
        <v>2960</v>
      </c>
      <c r="B1533" s="13" t="s">
        <v>2961</v>
      </c>
      <c r="C1533" s="14">
        <v>45784</v>
      </c>
      <c r="D1533" s="13">
        <v>2025</v>
      </c>
      <c r="E1533" s="13" t="s">
        <v>14</v>
      </c>
      <c r="F1533" s="13" t="s">
        <v>25</v>
      </c>
      <c r="G1533" s="15">
        <v>1528.24</v>
      </c>
      <c r="H1533" s="15">
        <v>1528.24</v>
      </c>
      <c r="I1533" s="13">
        <v>6</v>
      </c>
      <c r="J1533" s="13">
        <v>6</v>
      </c>
      <c r="K1533" s="13" t="s">
        <v>18</v>
      </c>
      <c r="L1533" s="15">
        <v>254.70666666666668</v>
      </c>
      <c r="M1533" s="16">
        <v>254.70666666666668</v>
      </c>
    </row>
    <row r="1534" spans="1:13" s="5" customFormat="1" x14ac:dyDescent="0.25">
      <c r="A1534" s="12" t="s">
        <v>2962</v>
      </c>
      <c r="B1534" s="13" t="s">
        <v>2963</v>
      </c>
      <c r="C1534" s="14">
        <v>44952</v>
      </c>
      <c r="D1534" s="13">
        <v>2023</v>
      </c>
      <c r="E1534" s="13" t="s">
        <v>10</v>
      </c>
      <c r="F1534" s="13" t="s">
        <v>34</v>
      </c>
      <c r="G1534" s="15">
        <v>1341.65</v>
      </c>
      <c r="H1534" s="15">
        <v>1341.65</v>
      </c>
      <c r="I1534" s="13">
        <v>9</v>
      </c>
      <c r="J1534" s="13">
        <v>9</v>
      </c>
      <c r="K1534" s="13" t="s">
        <v>18</v>
      </c>
      <c r="L1534" s="15">
        <v>149.07222222222222</v>
      </c>
      <c r="M1534" s="16">
        <v>149.07222222222222</v>
      </c>
    </row>
    <row r="1535" spans="1:13" s="5" customFormat="1" x14ac:dyDescent="0.25">
      <c r="A1535" s="12" t="s">
        <v>2964</v>
      </c>
      <c r="B1535" s="13" t="s">
        <v>2965</v>
      </c>
      <c r="C1535" s="14">
        <v>45688</v>
      </c>
      <c r="D1535" s="13">
        <v>2025</v>
      </c>
      <c r="E1535" s="13" t="s">
        <v>3347</v>
      </c>
      <c r="F1535" s="13" t="s">
        <v>25</v>
      </c>
      <c r="G1535" s="15"/>
      <c r="H1535" s="15">
        <v>1214.18625</v>
      </c>
      <c r="I1535" s="13">
        <v>2</v>
      </c>
      <c r="J1535" s="13">
        <v>2</v>
      </c>
      <c r="K1535" s="13" t="s">
        <v>3346</v>
      </c>
      <c r="L1535" s="15">
        <v>607.09312499999999</v>
      </c>
      <c r="M1535" s="16">
        <v>607.09312499999999</v>
      </c>
    </row>
    <row r="1536" spans="1:13" s="5" customFormat="1" x14ac:dyDescent="0.25">
      <c r="A1536" s="12" t="s">
        <v>2966</v>
      </c>
      <c r="B1536" s="13" t="s">
        <v>2967</v>
      </c>
      <c r="C1536" s="14">
        <v>45730</v>
      </c>
      <c r="D1536" s="13">
        <v>2025</v>
      </c>
      <c r="E1536" s="13" t="s">
        <v>21</v>
      </c>
      <c r="F1536" s="13" t="s">
        <v>34</v>
      </c>
      <c r="G1536" s="15">
        <v>1508.17</v>
      </c>
      <c r="H1536" s="15">
        <v>1508.17</v>
      </c>
      <c r="I1536" s="13">
        <v>2</v>
      </c>
      <c r="J1536" s="13">
        <v>2</v>
      </c>
      <c r="K1536" s="13" t="s">
        <v>3348</v>
      </c>
      <c r="L1536" s="15">
        <v>754.08500000000004</v>
      </c>
      <c r="M1536" s="16">
        <v>754.08500000000004</v>
      </c>
    </row>
    <row r="1537" spans="1:13" s="5" customFormat="1" x14ac:dyDescent="0.25">
      <c r="A1537" s="12" t="s">
        <v>2968</v>
      </c>
      <c r="B1537" s="13" t="s">
        <v>2969</v>
      </c>
      <c r="C1537" s="14">
        <v>45077</v>
      </c>
      <c r="D1537" s="13">
        <v>2023</v>
      </c>
      <c r="E1537" s="13" t="s">
        <v>21</v>
      </c>
      <c r="F1537" s="13" t="s">
        <v>22</v>
      </c>
      <c r="G1537" s="15">
        <v>1551.64</v>
      </c>
      <c r="H1537" s="15">
        <v>1551.64</v>
      </c>
      <c r="I1537" s="13">
        <v>5</v>
      </c>
      <c r="J1537" s="13">
        <v>5</v>
      </c>
      <c r="K1537" s="13" t="s">
        <v>35</v>
      </c>
      <c r="L1537" s="15">
        <v>310.32800000000003</v>
      </c>
      <c r="M1537" s="16">
        <v>310.32800000000003</v>
      </c>
    </row>
    <row r="1538" spans="1:13" s="5" customFormat="1" x14ac:dyDescent="0.25">
      <c r="A1538" s="12" t="s">
        <v>2970</v>
      </c>
      <c r="B1538" s="13" t="s">
        <v>2971</v>
      </c>
      <c r="C1538" s="14">
        <v>45069</v>
      </c>
      <c r="D1538" s="13">
        <v>2023</v>
      </c>
      <c r="E1538" s="13" t="s">
        <v>14</v>
      </c>
      <c r="F1538" s="13" t="s">
        <v>22</v>
      </c>
      <c r="G1538" s="15">
        <v>725.79</v>
      </c>
      <c r="H1538" s="15">
        <v>725.79</v>
      </c>
      <c r="I1538" s="13"/>
      <c r="J1538" s="13">
        <v>3</v>
      </c>
      <c r="K1538" s="13" t="s">
        <v>18</v>
      </c>
      <c r="L1538" s="15">
        <v>241.92999999999998</v>
      </c>
      <c r="M1538" s="16">
        <v>230.5160595238095</v>
      </c>
    </row>
    <row r="1539" spans="1:13" s="5" customFormat="1" x14ac:dyDescent="0.25">
      <c r="A1539" s="12" t="s">
        <v>2972</v>
      </c>
      <c r="B1539" s="13" t="s">
        <v>2973</v>
      </c>
      <c r="C1539" s="14">
        <v>45326</v>
      </c>
      <c r="D1539" s="13">
        <v>2024</v>
      </c>
      <c r="E1539" s="13" t="s">
        <v>21</v>
      </c>
      <c r="F1539" s="13" t="s">
        <v>25</v>
      </c>
      <c r="G1539" s="15">
        <v>1897.33</v>
      </c>
      <c r="H1539" s="15">
        <v>1897.33</v>
      </c>
      <c r="I1539" s="13"/>
      <c r="J1539" s="13">
        <v>10</v>
      </c>
      <c r="K1539" s="13" t="s">
        <v>15</v>
      </c>
      <c r="L1539" s="15">
        <v>189.733</v>
      </c>
      <c r="M1539" s="16">
        <v>183.05051020408163</v>
      </c>
    </row>
    <row r="1540" spans="1:13" s="5" customFormat="1" x14ac:dyDescent="0.25">
      <c r="A1540" s="12" t="s">
        <v>2974</v>
      </c>
      <c r="B1540" s="13" t="s">
        <v>2975</v>
      </c>
      <c r="C1540" s="14">
        <v>45713</v>
      </c>
      <c r="D1540" s="13">
        <v>2025</v>
      </c>
      <c r="E1540" s="13" t="s">
        <v>10</v>
      </c>
      <c r="F1540" s="13" t="s">
        <v>22</v>
      </c>
      <c r="G1540" s="15">
        <v>957.52</v>
      </c>
      <c r="H1540" s="15">
        <v>957.52</v>
      </c>
      <c r="I1540" s="13">
        <v>3</v>
      </c>
      <c r="J1540" s="13">
        <v>3</v>
      </c>
      <c r="K1540" s="13" t="s">
        <v>18</v>
      </c>
      <c r="L1540" s="15">
        <v>319.17333333333335</v>
      </c>
      <c r="M1540" s="16">
        <v>319.17333333333335</v>
      </c>
    </row>
    <row r="1541" spans="1:13" s="5" customFormat="1" x14ac:dyDescent="0.25">
      <c r="A1541" s="12" t="s">
        <v>2976</v>
      </c>
      <c r="B1541" s="13" t="s">
        <v>2977</v>
      </c>
      <c r="C1541" s="14">
        <v>44990</v>
      </c>
      <c r="D1541" s="13">
        <v>2023</v>
      </c>
      <c r="E1541" s="13" t="s">
        <v>3347</v>
      </c>
      <c r="F1541" s="13" t="s">
        <v>22</v>
      </c>
      <c r="G1541" s="15">
        <v>1663.4</v>
      </c>
      <c r="H1541" s="15">
        <v>1663.4</v>
      </c>
      <c r="I1541" s="13">
        <v>1</v>
      </c>
      <c r="J1541" s="13">
        <v>1</v>
      </c>
      <c r="K1541" s="13" t="s">
        <v>3348</v>
      </c>
      <c r="L1541" s="15">
        <v>1663.4</v>
      </c>
      <c r="M1541" s="16">
        <v>1663.4</v>
      </c>
    </row>
    <row r="1542" spans="1:13" s="5" customFormat="1" x14ac:dyDescent="0.25">
      <c r="A1542" s="12" t="s">
        <v>2978</v>
      </c>
      <c r="B1542" s="13" t="s">
        <v>2979</v>
      </c>
      <c r="C1542" s="14">
        <v>45100</v>
      </c>
      <c r="D1542" s="13">
        <v>2023</v>
      </c>
      <c r="E1542" s="13" t="s">
        <v>3347</v>
      </c>
      <c r="F1542" s="13" t="s">
        <v>22</v>
      </c>
      <c r="G1542" s="15">
        <v>549.16</v>
      </c>
      <c r="H1542" s="15">
        <v>549.16</v>
      </c>
      <c r="I1542" s="13">
        <v>9</v>
      </c>
      <c r="J1542" s="13">
        <v>9</v>
      </c>
      <c r="K1542" s="13" t="s">
        <v>3348</v>
      </c>
      <c r="L1542" s="15">
        <v>61.017777777777773</v>
      </c>
      <c r="M1542" s="16">
        <v>61.017777777777773</v>
      </c>
    </row>
    <row r="1543" spans="1:13" s="5" customFormat="1" x14ac:dyDescent="0.25">
      <c r="A1543" s="12" t="s">
        <v>2980</v>
      </c>
      <c r="B1543" s="13" t="s">
        <v>2981</v>
      </c>
      <c r="C1543" s="14">
        <v>45520</v>
      </c>
      <c r="D1543" s="13">
        <v>2024</v>
      </c>
      <c r="E1543" s="13" t="s">
        <v>10</v>
      </c>
      <c r="F1543" s="13" t="s">
        <v>34</v>
      </c>
      <c r="G1543" s="15">
        <v>251.66</v>
      </c>
      <c r="H1543" s="15">
        <v>251.66</v>
      </c>
      <c r="I1543" s="13">
        <v>9</v>
      </c>
      <c r="J1543" s="13">
        <v>9</v>
      </c>
      <c r="K1543" s="13" t="s">
        <v>3346</v>
      </c>
      <c r="L1543" s="15">
        <v>27.962222222222223</v>
      </c>
      <c r="M1543" s="16">
        <v>27.962222222222223</v>
      </c>
    </row>
    <row r="1544" spans="1:13" s="5" customFormat="1" x14ac:dyDescent="0.25">
      <c r="A1544" s="12" t="s">
        <v>2982</v>
      </c>
      <c r="B1544" s="13" t="s">
        <v>2983</v>
      </c>
      <c r="C1544" s="14">
        <v>44929</v>
      </c>
      <c r="D1544" s="13">
        <v>2023</v>
      </c>
      <c r="E1544" s="13" t="s">
        <v>3347</v>
      </c>
      <c r="F1544" s="13" t="s">
        <v>22</v>
      </c>
      <c r="G1544" s="15">
        <v>1855.05</v>
      </c>
      <c r="H1544" s="15">
        <v>1855.05</v>
      </c>
      <c r="I1544" s="13">
        <v>4</v>
      </c>
      <c r="J1544" s="13">
        <v>4</v>
      </c>
      <c r="K1544" s="13" t="s">
        <v>35</v>
      </c>
      <c r="L1544" s="15">
        <v>463.76249999999999</v>
      </c>
      <c r="M1544" s="16">
        <v>463.76249999999999</v>
      </c>
    </row>
    <row r="1545" spans="1:13" s="5" customFormat="1" x14ac:dyDescent="0.25">
      <c r="A1545" s="12" t="s">
        <v>2984</v>
      </c>
      <c r="B1545" s="13" t="s">
        <v>2985</v>
      </c>
      <c r="C1545" s="14">
        <v>45335</v>
      </c>
      <c r="D1545" s="13">
        <v>2024</v>
      </c>
      <c r="E1545" s="13" t="s">
        <v>10</v>
      </c>
      <c r="F1545" s="13" t="s">
        <v>34</v>
      </c>
      <c r="G1545" s="15">
        <v>1193.8599999999999</v>
      </c>
      <c r="H1545" s="15">
        <v>1193.8599999999999</v>
      </c>
      <c r="I1545" s="13">
        <v>3</v>
      </c>
      <c r="J1545" s="13">
        <v>3</v>
      </c>
      <c r="K1545" s="13" t="s">
        <v>15</v>
      </c>
      <c r="L1545" s="15">
        <v>397.95333333333332</v>
      </c>
      <c r="M1545" s="16">
        <v>397.95333333333332</v>
      </c>
    </row>
    <row r="1546" spans="1:13" s="5" customFormat="1" x14ac:dyDescent="0.25">
      <c r="A1546" s="12" t="s">
        <v>2986</v>
      </c>
      <c r="B1546" s="13" t="s">
        <v>2987</v>
      </c>
      <c r="C1546" s="14">
        <v>45604</v>
      </c>
      <c r="D1546" s="13">
        <v>2024</v>
      </c>
      <c r="E1546" s="13" t="s">
        <v>21</v>
      </c>
      <c r="F1546" s="13" t="s">
        <v>22</v>
      </c>
      <c r="G1546" s="15">
        <v>496.99</v>
      </c>
      <c r="H1546" s="15">
        <v>496.99</v>
      </c>
      <c r="I1546" s="13">
        <v>4</v>
      </c>
      <c r="J1546" s="13">
        <v>4</v>
      </c>
      <c r="K1546" s="13" t="s">
        <v>35</v>
      </c>
      <c r="L1546" s="15">
        <v>124.2475</v>
      </c>
      <c r="M1546" s="16">
        <v>124.2475</v>
      </c>
    </row>
    <row r="1547" spans="1:13" s="5" customFormat="1" x14ac:dyDescent="0.25">
      <c r="A1547" s="12" t="s">
        <v>2988</v>
      </c>
      <c r="B1547" s="13" t="s">
        <v>2989</v>
      </c>
      <c r="C1547" s="14">
        <v>45125</v>
      </c>
      <c r="D1547" s="13">
        <v>2023</v>
      </c>
      <c r="E1547" s="13" t="s">
        <v>14</v>
      </c>
      <c r="F1547" s="13" t="s">
        <v>25</v>
      </c>
      <c r="G1547" s="15">
        <v>1590.02</v>
      </c>
      <c r="H1547" s="15">
        <v>1590.02</v>
      </c>
      <c r="I1547" s="13">
        <v>5</v>
      </c>
      <c r="J1547" s="13">
        <v>5</v>
      </c>
      <c r="K1547" s="13" t="s">
        <v>3348</v>
      </c>
      <c r="L1547" s="15">
        <v>318.00400000000002</v>
      </c>
      <c r="M1547" s="16">
        <v>318.00400000000002</v>
      </c>
    </row>
    <row r="1548" spans="1:13" s="5" customFormat="1" x14ac:dyDescent="0.25">
      <c r="A1548" s="12" t="s">
        <v>2990</v>
      </c>
      <c r="B1548" s="13" t="s">
        <v>1231</v>
      </c>
      <c r="C1548" s="14">
        <v>45940</v>
      </c>
      <c r="D1548" s="13">
        <v>2025</v>
      </c>
      <c r="E1548" s="13" t="s">
        <v>14</v>
      </c>
      <c r="F1548" s="13" t="s">
        <v>34</v>
      </c>
      <c r="G1548" s="15">
        <v>1416.1</v>
      </c>
      <c r="H1548" s="15">
        <v>1416.1</v>
      </c>
      <c r="I1548" s="13"/>
      <c r="J1548" s="13">
        <v>7</v>
      </c>
      <c r="K1548" s="13" t="s">
        <v>15</v>
      </c>
      <c r="L1548" s="15">
        <v>202.29999999999998</v>
      </c>
      <c r="M1548" s="16">
        <v>189.99304166666667</v>
      </c>
    </row>
    <row r="1549" spans="1:13" s="5" customFormat="1" x14ac:dyDescent="0.25">
      <c r="A1549" s="12" t="s">
        <v>2991</v>
      </c>
      <c r="B1549" s="13" t="s">
        <v>2992</v>
      </c>
      <c r="C1549" s="14">
        <v>45822</v>
      </c>
      <c r="D1549" s="13">
        <v>2025</v>
      </c>
      <c r="E1549" s="13" t="s">
        <v>14</v>
      </c>
      <c r="F1549" s="13" t="s">
        <v>34</v>
      </c>
      <c r="G1549" s="15">
        <v>1321.24</v>
      </c>
      <c r="H1549" s="15">
        <v>1321.24</v>
      </c>
      <c r="I1549" s="13">
        <v>9</v>
      </c>
      <c r="J1549" s="13">
        <v>9</v>
      </c>
      <c r="K1549" s="13" t="s">
        <v>35</v>
      </c>
      <c r="L1549" s="15">
        <v>146.80444444444444</v>
      </c>
      <c r="M1549" s="16">
        <v>146.80444444444444</v>
      </c>
    </row>
    <row r="1550" spans="1:13" s="5" customFormat="1" x14ac:dyDescent="0.25">
      <c r="A1550" s="12" t="s">
        <v>2993</v>
      </c>
      <c r="B1550" s="13" t="s">
        <v>2994</v>
      </c>
      <c r="C1550" s="14">
        <v>45754</v>
      </c>
      <c r="D1550" s="13">
        <v>2025</v>
      </c>
      <c r="E1550" s="13" t="s">
        <v>3347</v>
      </c>
      <c r="F1550" s="13" t="s">
        <v>25</v>
      </c>
      <c r="G1550" s="15">
        <v>480.75</v>
      </c>
      <c r="H1550" s="15">
        <v>480.75</v>
      </c>
      <c r="I1550" s="13">
        <v>10</v>
      </c>
      <c r="J1550" s="13">
        <v>10</v>
      </c>
      <c r="K1550" s="13" t="s">
        <v>15</v>
      </c>
      <c r="L1550" s="15">
        <v>48.075000000000003</v>
      </c>
      <c r="M1550" s="16">
        <v>48.075000000000003</v>
      </c>
    </row>
    <row r="1551" spans="1:13" s="5" customFormat="1" x14ac:dyDescent="0.25">
      <c r="A1551" s="12" t="s">
        <v>2995</v>
      </c>
      <c r="B1551" s="13" t="s">
        <v>2996</v>
      </c>
      <c r="C1551" s="14">
        <v>45856</v>
      </c>
      <c r="D1551" s="13">
        <v>2025</v>
      </c>
      <c r="E1551" s="13" t="s">
        <v>3347</v>
      </c>
      <c r="F1551" s="13" t="s">
        <v>34</v>
      </c>
      <c r="G1551" s="15">
        <v>1602.73</v>
      </c>
      <c r="H1551" s="15">
        <v>1602.73</v>
      </c>
      <c r="I1551" s="13">
        <v>2</v>
      </c>
      <c r="J1551" s="13">
        <v>2</v>
      </c>
      <c r="K1551" s="13" t="s">
        <v>35</v>
      </c>
      <c r="L1551" s="15">
        <v>801.36500000000001</v>
      </c>
      <c r="M1551" s="16">
        <v>801.36500000000001</v>
      </c>
    </row>
    <row r="1552" spans="1:13" s="5" customFormat="1" x14ac:dyDescent="0.25">
      <c r="A1552" s="12" t="s">
        <v>2997</v>
      </c>
      <c r="B1552" s="13" t="s">
        <v>2998</v>
      </c>
      <c r="C1552" s="14">
        <v>45175</v>
      </c>
      <c r="D1552" s="13">
        <v>2023</v>
      </c>
      <c r="E1552" s="13" t="s">
        <v>10</v>
      </c>
      <c r="F1552" s="13" t="s">
        <v>22</v>
      </c>
      <c r="G1552" s="15">
        <v>1827.82</v>
      </c>
      <c r="H1552" s="15">
        <v>1827.82</v>
      </c>
      <c r="I1552" s="13">
        <v>1</v>
      </c>
      <c r="J1552" s="13">
        <v>1</v>
      </c>
      <c r="K1552" s="13" t="s">
        <v>3348</v>
      </c>
      <c r="L1552" s="15">
        <v>1827.82</v>
      </c>
      <c r="M1552" s="16">
        <v>1827.82</v>
      </c>
    </row>
    <row r="1553" spans="1:13" s="5" customFormat="1" x14ac:dyDescent="0.25">
      <c r="A1553" s="12" t="s">
        <v>2999</v>
      </c>
      <c r="B1553" s="13" t="s">
        <v>3000</v>
      </c>
      <c r="C1553" s="14">
        <v>45013</v>
      </c>
      <c r="D1553" s="13">
        <v>2023</v>
      </c>
      <c r="E1553" s="13" t="s">
        <v>3347</v>
      </c>
      <c r="F1553" s="13" t="s">
        <v>34</v>
      </c>
      <c r="G1553" s="15">
        <v>1661.6</v>
      </c>
      <c r="H1553" s="15">
        <v>1661.6</v>
      </c>
      <c r="I1553" s="13">
        <v>1</v>
      </c>
      <c r="J1553" s="13">
        <v>1</v>
      </c>
      <c r="K1553" s="13" t="s">
        <v>3348</v>
      </c>
      <c r="L1553" s="15">
        <v>1661.6</v>
      </c>
      <c r="M1553" s="16">
        <v>1661.6</v>
      </c>
    </row>
    <row r="1554" spans="1:13" s="5" customFormat="1" x14ac:dyDescent="0.25">
      <c r="A1554" s="12" t="s">
        <v>3001</v>
      </c>
      <c r="B1554" s="13" t="s">
        <v>3002</v>
      </c>
      <c r="C1554" s="14">
        <v>45232</v>
      </c>
      <c r="D1554" s="13">
        <v>2023</v>
      </c>
      <c r="E1554" s="13" t="s">
        <v>3347</v>
      </c>
      <c r="F1554" s="13" t="s">
        <v>22</v>
      </c>
      <c r="G1554" s="15">
        <v>1335.53</v>
      </c>
      <c r="H1554" s="15">
        <v>1335.53</v>
      </c>
      <c r="I1554" s="13">
        <v>2</v>
      </c>
      <c r="J1554" s="13">
        <v>2</v>
      </c>
      <c r="K1554" s="13" t="s">
        <v>3346</v>
      </c>
      <c r="L1554" s="15">
        <v>667.76499999999999</v>
      </c>
      <c r="M1554" s="16">
        <v>667.76499999999999</v>
      </c>
    </row>
    <row r="1555" spans="1:13" s="5" customFormat="1" x14ac:dyDescent="0.25">
      <c r="A1555" s="12" t="s">
        <v>3003</v>
      </c>
      <c r="B1555" s="13" t="s">
        <v>3004</v>
      </c>
      <c r="C1555" s="14">
        <v>45879</v>
      </c>
      <c r="D1555" s="13">
        <v>2025</v>
      </c>
      <c r="E1555" s="13" t="s">
        <v>14</v>
      </c>
      <c r="F1555" s="13" t="s">
        <v>25</v>
      </c>
      <c r="G1555" s="15">
        <v>418.38</v>
      </c>
      <c r="H1555" s="15">
        <v>418.38</v>
      </c>
      <c r="I1555" s="13">
        <v>10</v>
      </c>
      <c r="J1555" s="13">
        <v>10</v>
      </c>
      <c r="K1555" s="13" t="s">
        <v>15</v>
      </c>
      <c r="L1555" s="15">
        <v>41.838000000000001</v>
      </c>
      <c r="M1555" s="16">
        <v>41.838000000000001</v>
      </c>
    </row>
    <row r="1556" spans="1:13" s="5" customFormat="1" x14ac:dyDescent="0.25">
      <c r="A1556" s="12" t="s">
        <v>3005</v>
      </c>
      <c r="B1556" s="13" t="s">
        <v>1442</v>
      </c>
      <c r="C1556" s="14">
        <v>45478</v>
      </c>
      <c r="D1556" s="13">
        <v>2024</v>
      </c>
      <c r="E1556" s="13" t="s">
        <v>3347</v>
      </c>
      <c r="F1556" s="13" t="s">
        <v>25</v>
      </c>
      <c r="G1556" s="15">
        <v>964.28</v>
      </c>
      <c r="H1556" s="15">
        <v>964.28</v>
      </c>
      <c r="I1556" s="13">
        <v>9</v>
      </c>
      <c r="J1556" s="13">
        <v>9</v>
      </c>
      <c r="K1556" s="13" t="s">
        <v>3346</v>
      </c>
      <c r="L1556" s="15">
        <v>107.14222222222222</v>
      </c>
      <c r="M1556" s="16">
        <v>107.14222222222222</v>
      </c>
    </row>
    <row r="1557" spans="1:13" s="5" customFormat="1" x14ac:dyDescent="0.25">
      <c r="A1557" s="12" t="s">
        <v>3006</v>
      </c>
      <c r="B1557" s="13" t="s">
        <v>498</v>
      </c>
      <c r="C1557" s="14">
        <v>44941</v>
      </c>
      <c r="D1557" s="13">
        <v>2023</v>
      </c>
      <c r="E1557" s="13" t="s">
        <v>3347</v>
      </c>
      <c r="F1557" s="13" t="s">
        <v>11</v>
      </c>
      <c r="G1557" s="15">
        <v>1393.75</v>
      </c>
      <c r="H1557" s="15">
        <v>1393.75</v>
      </c>
      <c r="I1557" s="13">
        <v>1</v>
      </c>
      <c r="J1557" s="13">
        <v>1</v>
      </c>
      <c r="K1557" s="13" t="s">
        <v>15</v>
      </c>
      <c r="L1557" s="15">
        <v>1393.75</v>
      </c>
      <c r="M1557" s="16">
        <v>1393.75</v>
      </c>
    </row>
    <row r="1558" spans="1:13" s="5" customFormat="1" x14ac:dyDescent="0.25">
      <c r="A1558" s="12" t="s">
        <v>3007</v>
      </c>
      <c r="B1558" s="13" t="s">
        <v>3008</v>
      </c>
      <c r="C1558" s="14">
        <v>45017</v>
      </c>
      <c r="D1558" s="13">
        <v>2023</v>
      </c>
      <c r="E1558" s="13" t="s">
        <v>14</v>
      </c>
      <c r="F1558" s="13" t="s">
        <v>34</v>
      </c>
      <c r="G1558" s="15">
        <v>42.28</v>
      </c>
      <c r="H1558" s="15">
        <v>42.28</v>
      </c>
      <c r="I1558" s="13">
        <v>1</v>
      </c>
      <c r="J1558" s="13">
        <v>1</v>
      </c>
      <c r="K1558" s="13" t="s">
        <v>18</v>
      </c>
      <c r="L1558" s="15">
        <v>42.28</v>
      </c>
      <c r="M1558" s="16">
        <v>42.28</v>
      </c>
    </row>
    <row r="1559" spans="1:13" s="5" customFormat="1" x14ac:dyDescent="0.25">
      <c r="A1559" s="12" t="s">
        <v>3009</v>
      </c>
      <c r="B1559" s="13" t="s">
        <v>1438</v>
      </c>
      <c r="C1559" s="14">
        <v>45557</v>
      </c>
      <c r="D1559" s="13">
        <v>2024</v>
      </c>
      <c r="E1559" s="13" t="s">
        <v>21</v>
      </c>
      <c r="F1559" s="13" t="s">
        <v>22</v>
      </c>
      <c r="G1559" s="15">
        <v>1915.84</v>
      </c>
      <c r="H1559" s="15">
        <v>1915.84</v>
      </c>
      <c r="I1559" s="13">
        <v>3</v>
      </c>
      <c r="J1559" s="13">
        <v>3</v>
      </c>
      <c r="K1559" s="13" t="s">
        <v>15</v>
      </c>
      <c r="L1559" s="15">
        <v>638.61333333333334</v>
      </c>
      <c r="M1559" s="16">
        <v>638.61333333333334</v>
      </c>
    </row>
    <row r="1560" spans="1:13" s="5" customFormat="1" x14ac:dyDescent="0.25">
      <c r="A1560" s="12" t="s">
        <v>3010</v>
      </c>
      <c r="B1560" s="13" t="s">
        <v>3011</v>
      </c>
      <c r="C1560" s="14">
        <v>45516</v>
      </c>
      <c r="D1560" s="13">
        <v>2024</v>
      </c>
      <c r="E1560" s="13" t="s">
        <v>3347</v>
      </c>
      <c r="F1560" s="13" t="s">
        <v>22</v>
      </c>
      <c r="G1560" s="15">
        <v>1280.92</v>
      </c>
      <c r="H1560" s="15">
        <v>1280.92</v>
      </c>
      <c r="I1560" s="13">
        <v>5</v>
      </c>
      <c r="J1560" s="13">
        <v>5</v>
      </c>
      <c r="K1560" s="13" t="s">
        <v>35</v>
      </c>
      <c r="L1560" s="15">
        <v>256.18400000000003</v>
      </c>
      <c r="M1560" s="16">
        <v>256.18400000000003</v>
      </c>
    </row>
    <row r="1561" spans="1:13" s="5" customFormat="1" x14ac:dyDescent="0.25">
      <c r="A1561" s="12" t="s">
        <v>3012</v>
      </c>
      <c r="B1561" s="13" t="s">
        <v>3013</v>
      </c>
      <c r="C1561" s="14">
        <v>45026</v>
      </c>
      <c r="D1561" s="13">
        <v>2023</v>
      </c>
      <c r="E1561" s="13" t="s">
        <v>10</v>
      </c>
      <c r="F1561" s="13" t="s">
        <v>25</v>
      </c>
      <c r="G1561" s="15">
        <v>1241.01</v>
      </c>
      <c r="H1561" s="15">
        <v>1241.01</v>
      </c>
      <c r="I1561" s="13">
        <v>6</v>
      </c>
      <c r="J1561" s="13">
        <v>6</v>
      </c>
      <c r="K1561" s="13" t="s">
        <v>3348</v>
      </c>
      <c r="L1561" s="15">
        <v>206.83500000000001</v>
      </c>
      <c r="M1561" s="16">
        <v>206.83500000000001</v>
      </c>
    </row>
    <row r="1562" spans="1:13" s="5" customFormat="1" x14ac:dyDescent="0.25">
      <c r="A1562" s="12" t="s">
        <v>3014</v>
      </c>
      <c r="B1562" s="13" t="s">
        <v>3015</v>
      </c>
      <c r="C1562" s="14">
        <v>45079</v>
      </c>
      <c r="D1562" s="13">
        <v>2023</v>
      </c>
      <c r="E1562" s="13" t="s">
        <v>21</v>
      </c>
      <c r="F1562" s="13" t="s">
        <v>22</v>
      </c>
      <c r="G1562" s="15">
        <v>1282.21</v>
      </c>
      <c r="H1562" s="15">
        <v>1282.21</v>
      </c>
      <c r="I1562" s="13">
        <v>9</v>
      </c>
      <c r="J1562" s="13">
        <v>9</v>
      </c>
      <c r="K1562" s="13" t="s">
        <v>3348</v>
      </c>
      <c r="L1562" s="15">
        <v>142.46777777777777</v>
      </c>
      <c r="M1562" s="16">
        <v>142.46777777777777</v>
      </c>
    </row>
    <row r="1563" spans="1:13" s="5" customFormat="1" x14ac:dyDescent="0.25">
      <c r="A1563" s="12" t="s">
        <v>3016</v>
      </c>
      <c r="B1563" s="13" t="s">
        <v>3017</v>
      </c>
      <c r="C1563" s="14">
        <v>45573</v>
      </c>
      <c r="D1563" s="13">
        <v>2024</v>
      </c>
      <c r="E1563" s="13" t="s">
        <v>14</v>
      </c>
      <c r="F1563" s="13" t="s">
        <v>25</v>
      </c>
      <c r="G1563" s="15">
        <v>1527.82</v>
      </c>
      <c r="H1563" s="15">
        <v>1527.82</v>
      </c>
      <c r="I1563" s="13">
        <v>5</v>
      </c>
      <c r="J1563" s="13">
        <v>5</v>
      </c>
      <c r="K1563" s="13" t="s">
        <v>15</v>
      </c>
      <c r="L1563" s="15">
        <v>305.56399999999996</v>
      </c>
      <c r="M1563" s="16">
        <v>305.56399999999996</v>
      </c>
    </row>
    <row r="1564" spans="1:13" s="5" customFormat="1" x14ac:dyDescent="0.25">
      <c r="A1564" s="12" t="s">
        <v>3018</v>
      </c>
      <c r="B1564" s="13" t="s">
        <v>3019</v>
      </c>
      <c r="C1564" s="14">
        <v>44883</v>
      </c>
      <c r="D1564" s="13">
        <v>2022</v>
      </c>
      <c r="E1564" s="13" t="s">
        <v>3347</v>
      </c>
      <c r="F1564" s="13" t="s">
        <v>34</v>
      </c>
      <c r="G1564" s="15">
        <v>320.58</v>
      </c>
      <c r="H1564" s="15">
        <v>320.58</v>
      </c>
      <c r="I1564" s="13">
        <v>7</v>
      </c>
      <c r="J1564" s="13">
        <v>7</v>
      </c>
      <c r="K1564" s="13" t="s">
        <v>3348</v>
      </c>
      <c r="L1564" s="15">
        <v>45.797142857142852</v>
      </c>
      <c r="M1564" s="16">
        <v>45.797142857142852</v>
      </c>
    </row>
    <row r="1565" spans="1:13" s="5" customFormat="1" x14ac:dyDescent="0.25">
      <c r="A1565" s="12" t="s">
        <v>3020</v>
      </c>
      <c r="B1565" s="13" t="s">
        <v>931</v>
      </c>
      <c r="C1565" s="14">
        <v>45084</v>
      </c>
      <c r="D1565" s="13">
        <v>2023</v>
      </c>
      <c r="E1565" s="13" t="s">
        <v>3347</v>
      </c>
      <c r="F1565" s="13" t="s">
        <v>11</v>
      </c>
      <c r="G1565" s="15">
        <v>78.989999999999995</v>
      </c>
      <c r="H1565" s="15">
        <v>78.989999999999995</v>
      </c>
      <c r="I1565" s="13"/>
      <c r="J1565" s="13">
        <v>1</v>
      </c>
      <c r="K1565" s="13" t="s">
        <v>18</v>
      </c>
      <c r="L1565" s="15">
        <v>78.989999999999995</v>
      </c>
      <c r="M1565" s="16">
        <v>603.98768253968251</v>
      </c>
    </row>
    <row r="1566" spans="1:13" s="5" customFormat="1" x14ac:dyDescent="0.25">
      <c r="A1566" s="12" t="s">
        <v>3021</v>
      </c>
      <c r="B1566" s="13" t="s">
        <v>1762</v>
      </c>
      <c r="C1566" s="14">
        <v>45583</v>
      </c>
      <c r="D1566" s="13">
        <v>2024</v>
      </c>
      <c r="E1566" s="13" t="s">
        <v>3347</v>
      </c>
      <c r="F1566" s="13" t="s">
        <v>25</v>
      </c>
      <c r="G1566" s="15">
        <v>14.75</v>
      </c>
      <c r="H1566" s="15">
        <v>14.75</v>
      </c>
      <c r="I1566" s="13">
        <v>8</v>
      </c>
      <c r="J1566" s="13">
        <v>8</v>
      </c>
      <c r="K1566" s="13" t="s">
        <v>3346</v>
      </c>
      <c r="L1566" s="15">
        <v>1.84375</v>
      </c>
      <c r="M1566" s="16">
        <v>1.84375</v>
      </c>
    </row>
    <row r="1567" spans="1:13" s="5" customFormat="1" x14ac:dyDescent="0.25">
      <c r="A1567" s="12" t="s">
        <v>3022</v>
      </c>
      <c r="B1567" s="13" t="s">
        <v>3023</v>
      </c>
      <c r="C1567" s="14">
        <v>45434</v>
      </c>
      <c r="D1567" s="13">
        <v>2024</v>
      </c>
      <c r="E1567" s="13" t="s">
        <v>14</v>
      </c>
      <c r="F1567" s="13" t="s">
        <v>22</v>
      </c>
      <c r="G1567" s="15">
        <v>487.35</v>
      </c>
      <c r="H1567" s="15">
        <v>487.35</v>
      </c>
      <c r="I1567" s="13">
        <v>8</v>
      </c>
      <c r="J1567" s="13">
        <v>8</v>
      </c>
      <c r="K1567" s="13" t="s">
        <v>18</v>
      </c>
      <c r="L1567" s="15">
        <v>60.918750000000003</v>
      </c>
      <c r="M1567" s="16">
        <v>60.918750000000003</v>
      </c>
    </row>
    <row r="1568" spans="1:13" s="5" customFormat="1" x14ac:dyDescent="0.25">
      <c r="A1568" s="12" t="s">
        <v>3024</v>
      </c>
      <c r="B1568" s="13" t="s">
        <v>3025</v>
      </c>
      <c r="C1568" s="14">
        <v>45673</v>
      </c>
      <c r="D1568" s="13">
        <v>2025</v>
      </c>
      <c r="E1568" s="13" t="s">
        <v>21</v>
      </c>
      <c r="F1568" s="13" t="s">
        <v>25</v>
      </c>
      <c r="G1568" s="15">
        <v>790.79</v>
      </c>
      <c r="H1568" s="15">
        <v>790.79</v>
      </c>
      <c r="I1568" s="13">
        <v>9</v>
      </c>
      <c r="J1568" s="13">
        <v>9</v>
      </c>
      <c r="K1568" s="13" t="s">
        <v>3346</v>
      </c>
      <c r="L1568" s="15">
        <v>87.865555555555545</v>
      </c>
      <c r="M1568" s="16">
        <v>87.865555555555545</v>
      </c>
    </row>
    <row r="1569" spans="1:13" s="5" customFormat="1" x14ac:dyDescent="0.25">
      <c r="A1569" s="12" t="s">
        <v>3026</v>
      </c>
      <c r="B1569" s="13" t="s">
        <v>3027</v>
      </c>
      <c r="C1569" s="14">
        <v>45741</v>
      </c>
      <c r="D1569" s="13">
        <v>2025</v>
      </c>
      <c r="E1569" s="13" t="s">
        <v>21</v>
      </c>
      <c r="F1569" s="13" t="s">
        <v>34</v>
      </c>
      <c r="G1569" s="15"/>
      <c r="H1569" s="15">
        <v>843.24194444444447</v>
      </c>
      <c r="I1569" s="13">
        <v>5</v>
      </c>
      <c r="J1569" s="13">
        <v>5</v>
      </c>
      <c r="K1569" s="13" t="s">
        <v>15</v>
      </c>
      <c r="L1569" s="15">
        <v>168.64838888888889</v>
      </c>
      <c r="M1569" s="16">
        <v>168.64838888888889</v>
      </c>
    </row>
    <row r="1570" spans="1:13" s="5" customFormat="1" x14ac:dyDescent="0.25">
      <c r="A1570" s="12" t="s">
        <v>3028</v>
      </c>
      <c r="B1570" s="13" t="s">
        <v>3029</v>
      </c>
      <c r="C1570" s="14">
        <v>45559</v>
      </c>
      <c r="D1570" s="13">
        <v>2024</v>
      </c>
      <c r="E1570" s="13" t="s">
        <v>14</v>
      </c>
      <c r="F1570" s="13" t="s">
        <v>34</v>
      </c>
      <c r="G1570" s="15">
        <v>1270.42</v>
      </c>
      <c r="H1570" s="15">
        <v>1270.42</v>
      </c>
      <c r="I1570" s="13">
        <v>7</v>
      </c>
      <c r="J1570" s="13">
        <v>7</v>
      </c>
      <c r="K1570" s="13" t="s">
        <v>3348</v>
      </c>
      <c r="L1570" s="15">
        <v>181.48857142857145</v>
      </c>
      <c r="M1570" s="16">
        <v>181.48857142857145</v>
      </c>
    </row>
    <row r="1571" spans="1:13" s="5" customFormat="1" x14ac:dyDescent="0.25">
      <c r="A1571" s="12" t="s">
        <v>3030</v>
      </c>
      <c r="B1571" s="13" t="s">
        <v>3031</v>
      </c>
      <c r="C1571" s="14">
        <v>45781</v>
      </c>
      <c r="D1571" s="13">
        <v>2025</v>
      </c>
      <c r="E1571" s="13" t="s">
        <v>21</v>
      </c>
      <c r="F1571" s="13" t="s">
        <v>22</v>
      </c>
      <c r="G1571" s="15">
        <v>1323.04</v>
      </c>
      <c r="H1571" s="15">
        <v>1323.04</v>
      </c>
      <c r="I1571" s="13">
        <v>8</v>
      </c>
      <c r="J1571" s="13">
        <v>8</v>
      </c>
      <c r="K1571" s="13" t="s">
        <v>35</v>
      </c>
      <c r="L1571" s="15">
        <v>165.38</v>
      </c>
      <c r="M1571" s="16">
        <v>165.38</v>
      </c>
    </row>
    <row r="1572" spans="1:13" s="5" customFormat="1" x14ac:dyDescent="0.25">
      <c r="A1572" s="12" t="s">
        <v>3032</v>
      </c>
      <c r="B1572" s="13" t="s">
        <v>3033</v>
      </c>
      <c r="C1572" s="14">
        <v>45511</v>
      </c>
      <c r="D1572" s="13">
        <v>2024</v>
      </c>
      <c r="E1572" s="13" t="s">
        <v>10</v>
      </c>
      <c r="F1572" s="13" t="s">
        <v>22</v>
      </c>
      <c r="G1572" s="15">
        <v>1357.19</v>
      </c>
      <c r="H1572" s="15">
        <v>1357.19</v>
      </c>
      <c r="I1572" s="13">
        <v>3</v>
      </c>
      <c r="J1572" s="13">
        <v>3</v>
      </c>
      <c r="K1572" s="13" t="s">
        <v>35</v>
      </c>
      <c r="L1572" s="15">
        <v>452.3966666666667</v>
      </c>
      <c r="M1572" s="16">
        <v>452.3966666666667</v>
      </c>
    </row>
    <row r="1573" spans="1:13" s="5" customFormat="1" x14ac:dyDescent="0.25">
      <c r="A1573" s="12" t="s">
        <v>3034</v>
      </c>
      <c r="B1573" s="13" t="s">
        <v>3035</v>
      </c>
      <c r="C1573" s="14">
        <v>45827</v>
      </c>
      <c r="D1573" s="13">
        <v>2025</v>
      </c>
      <c r="E1573" s="13" t="s">
        <v>21</v>
      </c>
      <c r="F1573" s="13" t="s">
        <v>22</v>
      </c>
      <c r="G1573" s="15">
        <v>823.59</v>
      </c>
      <c r="H1573" s="15">
        <v>823.59</v>
      </c>
      <c r="I1573" s="13">
        <v>5</v>
      </c>
      <c r="J1573" s="13">
        <v>5</v>
      </c>
      <c r="K1573" s="13" t="s">
        <v>3346</v>
      </c>
      <c r="L1573" s="15">
        <v>164.71800000000002</v>
      </c>
      <c r="M1573" s="16">
        <v>164.71800000000002</v>
      </c>
    </row>
    <row r="1574" spans="1:13" s="5" customFormat="1" x14ac:dyDescent="0.25">
      <c r="A1574" s="12" t="s">
        <v>3036</v>
      </c>
      <c r="B1574" s="13" t="s">
        <v>3037</v>
      </c>
      <c r="C1574" s="14">
        <v>45506</v>
      </c>
      <c r="D1574" s="13">
        <v>2024</v>
      </c>
      <c r="E1574" s="13" t="s">
        <v>14</v>
      </c>
      <c r="F1574" s="13" t="s">
        <v>22</v>
      </c>
      <c r="G1574" s="15">
        <v>572.88</v>
      </c>
      <c r="H1574" s="15">
        <v>572.88</v>
      </c>
      <c r="I1574" s="13">
        <v>6</v>
      </c>
      <c r="J1574" s="13">
        <v>6</v>
      </c>
      <c r="K1574" s="13" t="s">
        <v>15</v>
      </c>
      <c r="L1574" s="15">
        <v>95.48</v>
      </c>
      <c r="M1574" s="16">
        <v>95.48</v>
      </c>
    </row>
    <row r="1575" spans="1:13" s="5" customFormat="1" x14ac:dyDescent="0.25">
      <c r="A1575" s="12" t="s">
        <v>3038</v>
      </c>
      <c r="B1575" s="13" t="s">
        <v>3039</v>
      </c>
      <c r="C1575" s="14">
        <v>45879</v>
      </c>
      <c r="D1575" s="13">
        <v>2025</v>
      </c>
      <c r="E1575" s="13" t="s">
        <v>10</v>
      </c>
      <c r="F1575" s="13" t="s">
        <v>34</v>
      </c>
      <c r="G1575" s="15">
        <v>12.91</v>
      </c>
      <c r="H1575" s="15">
        <v>12.91</v>
      </c>
      <c r="I1575" s="13"/>
      <c r="J1575" s="13">
        <v>1</v>
      </c>
      <c r="K1575" s="13" t="s">
        <v>35</v>
      </c>
      <c r="L1575" s="15">
        <v>12.91</v>
      </c>
      <c r="M1575" s="16">
        <v>339.2358055555556</v>
      </c>
    </row>
    <row r="1576" spans="1:13" s="5" customFormat="1" x14ac:dyDescent="0.25">
      <c r="A1576" s="12" t="s">
        <v>3040</v>
      </c>
      <c r="B1576" s="13" t="s">
        <v>3041</v>
      </c>
      <c r="C1576" s="14">
        <v>45329</v>
      </c>
      <c r="D1576" s="13">
        <v>2024</v>
      </c>
      <c r="E1576" s="13" t="s">
        <v>3347</v>
      </c>
      <c r="F1576" s="13" t="s">
        <v>25</v>
      </c>
      <c r="G1576" s="15"/>
      <c r="H1576" s="15">
        <v>2726.5844444444447</v>
      </c>
      <c r="I1576" s="13">
        <v>8</v>
      </c>
      <c r="J1576" s="13">
        <v>8</v>
      </c>
      <c r="K1576" s="13" t="s">
        <v>3348</v>
      </c>
      <c r="L1576" s="15">
        <v>340.82305555555558</v>
      </c>
      <c r="M1576" s="16">
        <v>340.82305555555558</v>
      </c>
    </row>
    <row r="1577" spans="1:13" s="5" customFormat="1" x14ac:dyDescent="0.25">
      <c r="A1577" s="12" t="s">
        <v>3042</v>
      </c>
      <c r="B1577" s="13" t="s">
        <v>2198</v>
      </c>
      <c r="C1577" s="14">
        <v>45756</v>
      </c>
      <c r="D1577" s="13">
        <v>2025</v>
      </c>
      <c r="E1577" s="13" t="s">
        <v>3347</v>
      </c>
      <c r="F1577" s="13" t="s">
        <v>11</v>
      </c>
      <c r="G1577" s="15">
        <v>1886.45</v>
      </c>
      <c r="H1577" s="15">
        <v>1886.45</v>
      </c>
      <c r="I1577" s="13">
        <v>6</v>
      </c>
      <c r="J1577" s="13">
        <v>6</v>
      </c>
      <c r="K1577" s="13" t="s">
        <v>15</v>
      </c>
      <c r="L1577" s="15">
        <v>314.40833333333336</v>
      </c>
      <c r="M1577" s="16">
        <v>314.40833333333336</v>
      </c>
    </row>
    <row r="1578" spans="1:13" s="5" customFormat="1" x14ac:dyDescent="0.25">
      <c r="A1578" s="12" t="s">
        <v>3043</v>
      </c>
      <c r="B1578" s="13" t="s">
        <v>3044</v>
      </c>
      <c r="C1578" s="14">
        <v>45155</v>
      </c>
      <c r="D1578" s="13">
        <v>2023</v>
      </c>
      <c r="E1578" s="13" t="s">
        <v>10</v>
      </c>
      <c r="F1578" s="13" t="s">
        <v>22</v>
      </c>
      <c r="G1578" s="15"/>
      <c r="H1578" s="15">
        <v>2204.9461666666666</v>
      </c>
      <c r="I1578" s="13">
        <v>7</v>
      </c>
      <c r="J1578" s="13">
        <v>7</v>
      </c>
      <c r="K1578" s="13" t="s">
        <v>3346</v>
      </c>
      <c r="L1578" s="15">
        <v>314.99230952380952</v>
      </c>
      <c r="M1578" s="16">
        <v>314.99230952380952</v>
      </c>
    </row>
    <row r="1579" spans="1:13" s="5" customFormat="1" x14ac:dyDescent="0.25">
      <c r="A1579" s="12" t="s">
        <v>3045</v>
      </c>
      <c r="B1579" s="13" t="s">
        <v>3029</v>
      </c>
      <c r="C1579" s="14">
        <v>45282</v>
      </c>
      <c r="D1579" s="13">
        <v>2023</v>
      </c>
      <c r="E1579" s="13" t="s">
        <v>14</v>
      </c>
      <c r="F1579" s="13" t="s">
        <v>22</v>
      </c>
      <c r="G1579" s="15">
        <v>30.76</v>
      </c>
      <c r="H1579" s="15">
        <v>30.76</v>
      </c>
      <c r="I1579" s="13">
        <v>10</v>
      </c>
      <c r="J1579" s="13">
        <v>10</v>
      </c>
      <c r="K1579" s="13" t="s">
        <v>3348</v>
      </c>
      <c r="L1579" s="15">
        <v>3.0760000000000001</v>
      </c>
      <c r="M1579" s="16">
        <v>3.0760000000000001</v>
      </c>
    </row>
    <row r="1580" spans="1:13" s="5" customFormat="1" x14ac:dyDescent="0.25">
      <c r="A1580" s="12" t="s">
        <v>3046</v>
      </c>
      <c r="B1580" s="13" t="s">
        <v>3047</v>
      </c>
      <c r="C1580" s="14">
        <v>45895</v>
      </c>
      <c r="D1580" s="13">
        <v>2025</v>
      </c>
      <c r="E1580" s="13" t="s">
        <v>3347</v>
      </c>
      <c r="F1580" s="13" t="s">
        <v>34</v>
      </c>
      <c r="G1580" s="15">
        <v>1727.17</v>
      </c>
      <c r="H1580" s="15">
        <v>1727.17</v>
      </c>
      <c r="I1580" s="13">
        <v>5</v>
      </c>
      <c r="J1580" s="13">
        <v>5</v>
      </c>
      <c r="K1580" s="13" t="s">
        <v>35</v>
      </c>
      <c r="L1580" s="15">
        <v>345.43400000000003</v>
      </c>
      <c r="M1580" s="16">
        <v>345.43400000000003</v>
      </c>
    </row>
    <row r="1581" spans="1:13" s="5" customFormat="1" x14ac:dyDescent="0.25">
      <c r="A1581" s="12" t="s">
        <v>3048</v>
      </c>
      <c r="B1581" s="13" t="s">
        <v>3049</v>
      </c>
      <c r="C1581" s="14">
        <v>45647</v>
      </c>
      <c r="D1581" s="13">
        <v>2024</v>
      </c>
      <c r="E1581" s="13" t="s">
        <v>14</v>
      </c>
      <c r="F1581" s="13" t="s">
        <v>25</v>
      </c>
      <c r="G1581" s="15">
        <v>1708.25</v>
      </c>
      <c r="H1581" s="15">
        <v>1708.25</v>
      </c>
      <c r="I1581" s="13">
        <v>3</v>
      </c>
      <c r="J1581" s="13">
        <v>3</v>
      </c>
      <c r="K1581" s="13" t="s">
        <v>18</v>
      </c>
      <c r="L1581" s="15">
        <v>569.41666666666663</v>
      </c>
      <c r="M1581" s="16">
        <v>569.41666666666663</v>
      </c>
    </row>
    <row r="1582" spans="1:13" s="5" customFormat="1" x14ac:dyDescent="0.25">
      <c r="A1582" s="12" t="s">
        <v>3050</v>
      </c>
      <c r="B1582" s="13" t="s">
        <v>3051</v>
      </c>
      <c r="C1582" s="14">
        <v>45064</v>
      </c>
      <c r="D1582" s="13">
        <v>2023</v>
      </c>
      <c r="E1582" s="13" t="s">
        <v>3347</v>
      </c>
      <c r="F1582" s="13" t="s">
        <v>34</v>
      </c>
      <c r="G1582" s="15">
        <v>490.09</v>
      </c>
      <c r="H1582" s="15">
        <v>490.09</v>
      </c>
      <c r="I1582" s="13">
        <v>8</v>
      </c>
      <c r="J1582" s="13">
        <v>8</v>
      </c>
      <c r="K1582" s="13" t="s">
        <v>35</v>
      </c>
      <c r="L1582" s="15">
        <v>61.261249999999997</v>
      </c>
      <c r="M1582" s="16">
        <v>61.261249999999997</v>
      </c>
    </row>
    <row r="1583" spans="1:13" s="5" customFormat="1" x14ac:dyDescent="0.25">
      <c r="A1583" s="12" t="s">
        <v>3052</v>
      </c>
      <c r="B1583" s="13" t="s">
        <v>3053</v>
      </c>
      <c r="C1583" s="14">
        <v>45094</v>
      </c>
      <c r="D1583" s="13">
        <v>2023</v>
      </c>
      <c r="E1583" s="13" t="s">
        <v>14</v>
      </c>
      <c r="F1583" s="13" t="s">
        <v>34</v>
      </c>
      <c r="G1583" s="15">
        <v>1903.84</v>
      </c>
      <c r="H1583" s="15">
        <v>1903.84</v>
      </c>
      <c r="I1583" s="13">
        <v>6</v>
      </c>
      <c r="J1583" s="13">
        <v>6</v>
      </c>
      <c r="K1583" s="13" t="s">
        <v>18</v>
      </c>
      <c r="L1583" s="15">
        <v>317.30666666666667</v>
      </c>
      <c r="M1583" s="16">
        <v>317.30666666666667</v>
      </c>
    </row>
    <row r="1584" spans="1:13" s="5" customFormat="1" x14ac:dyDescent="0.25">
      <c r="A1584" s="12" t="s">
        <v>3054</v>
      </c>
      <c r="B1584" s="13" t="s">
        <v>3049</v>
      </c>
      <c r="C1584" s="14">
        <v>45204</v>
      </c>
      <c r="D1584" s="13">
        <v>2023</v>
      </c>
      <c r="E1584" s="13" t="s">
        <v>10</v>
      </c>
      <c r="F1584" s="13" t="s">
        <v>25</v>
      </c>
      <c r="G1584" s="15">
        <v>1777.9</v>
      </c>
      <c r="H1584" s="15">
        <v>1777.9</v>
      </c>
      <c r="I1584" s="13">
        <v>6</v>
      </c>
      <c r="J1584" s="13">
        <v>6</v>
      </c>
      <c r="K1584" s="13" t="s">
        <v>15</v>
      </c>
      <c r="L1584" s="15">
        <v>296.31666666666666</v>
      </c>
      <c r="M1584" s="16">
        <v>296.31666666666666</v>
      </c>
    </row>
    <row r="1585" spans="1:13" s="5" customFormat="1" x14ac:dyDescent="0.25">
      <c r="A1585" s="12" t="s">
        <v>3055</v>
      </c>
      <c r="B1585" s="13" t="s">
        <v>3056</v>
      </c>
      <c r="C1585" s="14">
        <v>45887</v>
      </c>
      <c r="D1585" s="13">
        <v>2025</v>
      </c>
      <c r="E1585" s="13" t="s">
        <v>21</v>
      </c>
      <c r="F1585" s="13" t="s">
        <v>22</v>
      </c>
      <c r="G1585" s="15">
        <v>1150.96</v>
      </c>
      <c r="H1585" s="15">
        <v>1150.96</v>
      </c>
      <c r="I1585" s="13">
        <v>1</v>
      </c>
      <c r="J1585" s="13">
        <v>1</v>
      </c>
      <c r="K1585" s="13" t="s">
        <v>35</v>
      </c>
      <c r="L1585" s="15">
        <v>1150.96</v>
      </c>
      <c r="M1585" s="16">
        <v>1150.96</v>
      </c>
    </row>
    <row r="1586" spans="1:13" s="5" customFormat="1" x14ac:dyDescent="0.25">
      <c r="A1586" s="12" t="s">
        <v>3057</v>
      </c>
      <c r="B1586" s="13" t="s">
        <v>2068</v>
      </c>
      <c r="C1586" s="14">
        <v>44968</v>
      </c>
      <c r="D1586" s="13">
        <v>2023</v>
      </c>
      <c r="E1586" s="13" t="s">
        <v>14</v>
      </c>
      <c r="F1586" s="13" t="s">
        <v>22</v>
      </c>
      <c r="G1586" s="15"/>
      <c r="H1586" s="15">
        <v>443.42353061224497</v>
      </c>
      <c r="I1586" s="13">
        <v>2</v>
      </c>
      <c r="J1586" s="13">
        <v>2</v>
      </c>
      <c r="K1586" s="13" t="s">
        <v>35</v>
      </c>
      <c r="L1586" s="15">
        <v>221.71176530612249</v>
      </c>
      <c r="M1586" s="16">
        <v>221.71176530612249</v>
      </c>
    </row>
    <row r="1587" spans="1:13" s="5" customFormat="1" x14ac:dyDescent="0.25">
      <c r="A1587" s="12" t="s">
        <v>3058</v>
      </c>
      <c r="B1587" s="13" t="s">
        <v>3059</v>
      </c>
      <c r="C1587" s="14">
        <v>45599</v>
      </c>
      <c r="D1587" s="13">
        <v>2024</v>
      </c>
      <c r="E1587" s="13" t="s">
        <v>3347</v>
      </c>
      <c r="F1587" s="13" t="s">
        <v>22</v>
      </c>
      <c r="G1587" s="15">
        <v>228.09</v>
      </c>
      <c r="H1587" s="15">
        <v>228.09</v>
      </c>
      <c r="I1587" s="13">
        <v>6</v>
      </c>
      <c r="J1587" s="13">
        <v>6</v>
      </c>
      <c r="K1587" s="13" t="s">
        <v>3348</v>
      </c>
      <c r="L1587" s="15">
        <v>38.015000000000001</v>
      </c>
      <c r="M1587" s="16">
        <v>38.015000000000001</v>
      </c>
    </row>
    <row r="1588" spans="1:13" s="5" customFormat="1" x14ac:dyDescent="0.25">
      <c r="A1588" s="12" t="s">
        <v>3060</v>
      </c>
      <c r="B1588" s="13" t="s">
        <v>3061</v>
      </c>
      <c r="C1588" s="14">
        <v>45097</v>
      </c>
      <c r="D1588" s="13">
        <v>2023</v>
      </c>
      <c r="E1588" s="13" t="s">
        <v>10</v>
      </c>
      <c r="F1588" s="13" t="s">
        <v>25</v>
      </c>
      <c r="G1588" s="15">
        <v>1028.69</v>
      </c>
      <c r="H1588" s="15">
        <v>1028.69</v>
      </c>
      <c r="I1588" s="13">
        <v>8</v>
      </c>
      <c r="J1588" s="13">
        <v>8</v>
      </c>
      <c r="K1588" s="13" t="s">
        <v>15</v>
      </c>
      <c r="L1588" s="15">
        <v>128.58625000000001</v>
      </c>
      <c r="M1588" s="16">
        <v>128.58625000000001</v>
      </c>
    </row>
    <row r="1589" spans="1:13" s="5" customFormat="1" x14ac:dyDescent="0.25">
      <c r="A1589" s="12" t="s">
        <v>3062</v>
      </c>
      <c r="B1589" s="13" t="s">
        <v>3063</v>
      </c>
      <c r="C1589" s="14">
        <v>45441</v>
      </c>
      <c r="D1589" s="13">
        <v>2024</v>
      </c>
      <c r="E1589" s="13" t="s">
        <v>14</v>
      </c>
      <c r="F1589" s="13" t="s">
        <v>22</v>
      </c>
      <c r="G1589" s="15">
        <v>67.489999999999995</v>
      </c>
      <c r="H1589" s="15">
        <v>67.489999999999995</v>
      </c>
      <c r="I1589" s="13">
        <v>4</v>
      </c>
      <c r="J1589" s="13">
        <v>4</v>
      </c>
      <c r="K1589" s="13" t="s">
        <v>15</v>
      </c>
      <c r="L1589" s="15">
        <v>16.872499999999999</v>
      </c>
      <c r="M1589" s="16">
        <v>16.872499999999999</v>
      </c>
    </row>
    <row r="1590" spans="1:13" s="5" customFormat="1" x14ac:dyDescent="0.25">
      <c r="A1590" s="12" t="s">
        <v>3064</v>
      </c>
      <c r="B1590" s="13" t="s">
        <v>3065</v>
      </c>
      <c r="C1590" s="14">
        <v>45692</v>
      </c>
      <c r="D1590" s="13">
        <v>2025</v>
      </c>
      <c r="E1590" s="13" t="s">
        <v>10</v>
      </c>
      <c r="F1590" s="13" t="s">
        <v>11</v>
      </c>
      <c r="G1590" s="15">
        <v>667.07</v>
      </c>
      <c r="H1590" s="15">
        <v>667.07</v>
      </c>
      <c r="I1590" s="13">
        <v>5</v>
      </c>
      <c r="J1590" s="13">
        <v>5</v>
      </c>
      <c r="K1590" s="13" t="s">
        <v>35</v>
      </c>
      <c r="L1590" s="15">
        <v>133.41400000000002</v>
      </c>
      <c r="M1590" s="16">
        <v>133.41400000000002</v>
      </c>
    </row>
    <row r="1591" spans="1:13" s="5" customFormat="1" x14ac:dyDescent="0.25">
      <c r="A1591" s="12" t="s">
        <v>3066</v>
      </c>
      <c r="B1591" s="13" t="s">
        <v>3067</v>
      </c>
      <c r="C1591" s="14">
        <v>45306</v>
      </c>
      <c r="D1591" s="13">
        <v>2024</v>
      </c>
      <c r="E1591" s="13" t="s">
        <v>21</v>
      </c>
      <c r="F1591" s="13" t="s">
        <v>34</v>
      </c>
      <c r="G1591" s="15">
        <v>1032.31</v>
      </c>
      <c r="H1591" s="15">
        <v>1032.31</v>
      </c>
      <c r="I1591" s="13"/>
      <c r="J1591" s="13">
        <v>2</v>
      </c>
      <c r="K1591" s="13" t="s">
        <v>3346</v>
      </c>
      <c r="L1591" s="15">
        <v>516.15499999999997</v>
      </c>
      <c r="M1591" s="16">
        <v>442.88673280423279</v>
      </c>
    </row>
    <row r="1592" spans="1:13" s="5" customFormat="1" x14ac:dyDescent="0.25">
      <c r="A1592" s="12" t="s">
        <v>3068</v>
      </c>
      <c r="B1592" s="13" t="s">
        <v>1007</v>
      </c>
      <c r="C1592" s="14">
        <v>45830</v>
      </c>
      <c r="D1592" s="13">
        <v>2025</v>
      </c>
      <c r="E1592" s="13" t="s">
        <v>3347</v>
      </c>
      <c r="F1592" s="13" t="s">
        <v>34</v>
      </c>
      <c r="G1592" s="15">
        <v>260.08999999999997</v>
      </c>
      <c r="H1592" s="15">
        <v>260.08999999999997</v>
      </c>
      <c r="I1592" s="13">
        <v>6</v>
      </c>
      <c r="J1592" s="13">
        <v>6</v>
      </c>
      <c r="K1592" s="13" t="s">
        <v>18</v>
      </c>
      <c r="L1592" s="15">
        <v>43.348333333333329</v>
      </c>
      <c r="M1592" s="16">
        <v>43.348333333333329</v>
      </c>
    </row>
    <row r="1593" spans="1:13" s="5" customFormat="1" x14ac:dyDescent="0.25">
      <c r="A1593" s="12" t="s">
        <v>3069</v>
      </c>
      <c r="B1593" s="13" t="s">
        <v>3070</v>
      </c>
      <c r="C1593" s="14">
        <v>45839</v>
      </c>
      <c r="D1593" s="13">
        <v>2025</v>
      </c>
      <c r="E1593" s="13" t="s">
        <v>10</v>
      </c>
      <c r="F1593" s="13" t="s">
        <v>34</v>
      </c>
      <c r="G1593" s="15">
        <v>1855.01</v>
      </c>
      <c r="H1593" s="15">
        <v>1855.01</v>
      </c>
      <c r="I1593" s="13">
        <v>8</v>
      </c>
      <c r="J1593" s="13">
        <v>8</v>
      </c>
      <c r="K1593" s="13" t="s">
        <v>35</v>
      </c>
      <c r="L1593" s="15">
        <v>231.87625</v>
      </c>
      <c r="M1593" s="16">
        <v>231.87625</v>
      </c>
    </row>
    <row r="1594" spans="1:13" s="5" customFormat="1" x14ac:dyDescent="0.25">
      <c r="A1594" s="12" t="s">
        <v>3071</v>
      </c>
      <c r="B1594" s="13" t="s">
        <v>29</v>
      </c>
      <c r="C1594" s="14">
        <v>45191</v>
      </c>
      <c r="D1594" s="13">
        <v>2023</v>
      </c>
      <c r="E1594" s="13" t="s">
        <v>10</v>
      </c>
      <c r="F1594" s="13" t="s">
        <v>22</v>
      </c>
      <c r="G1594" s="15">
        <v>153.53</v>
      </c>
      <c r="H1594" s="15">
        <v>153.53</v>
      </c>
      <c r="I1594" s="13">
        <v>1</v>
      </c>
      <c r="J1594" s="13">
        <v>1</v>
      </c>
      <c r="K1594" s="13" t="s">
        <v>18</v>
      </c>
      <c r="L1594" s="15">
        <v>153.53</v>
      </c>
      <c r="M1594" s="16">
        <v>153.53</v>
      </c>
    </row>
    <row r="1595" spans="1:13" s="5" customFormat="1" x14ac:dyDescent="0.25">
      <c r="A1595" s="12" t="s">
        <v>3072</v>
      </c>
      <c r="B1595" s="13" t="s">
        <v>3073</v>
      </c>
      <c r="C1595" s="14">
        <v>45239</v>
      </c>
      <c r="D1595" s="13">
        <v>2023</v>
      </c>
      <c r="E1595" s="13" t="s">
        <v>10</v>
      </c>
      <c r="F1595" s="13" t="s">
        <v>11</v>
      </c>
      <c r="G1595" s="15">
        <v>666.54</v>
      </c>
      <c r="H1595" s="15">
        <v>666.54</v>
      </c>
      <c r="I1595" s="13">
        <v>3</v>
      </c>
      <c r="J1595" s="13">
        <v>3</v>
      </c>
      <c r="K1595" s="13" t="s">
        <v>3348</v>
      </c>
      <c r="L1595" s="15">
        <v>222.17999999999998</v>
      </c>
      <c r="M1595" s="16">
        <v>222.17999999999998</v>
      </c>
    </row>
    <row r="1596" spans="1:13" s="5" customFormat="1" x14ac:dyDescent="0.25">
      <c r="A1596" s="12" t="s">
        <v>3074</v>
      </c>
      <c r="B1596" s="13" t="s">
        <v>3075</v>
      </c>
      <c r="C1596" s="14">
        <v>45897</v>
      </c>
      <c r="D1596" s="13">
        <v>2025</v>
      </c>
      <c r="E1596" s="13" t="s">
        <v>21</v>
      </c>
      <c r="F1596" s="13" t="s">
        <v>11</v>
      </c>
      <c r="G1596" s="15">
        <v>224.75</v>
      </c>
      <c r="H1596" s="15">
        <v>224.75</v>
      </c>
      <c r="I1596" s="13">
        <v>4</v>
      </c>
      <c r="J1596" s="13">
        <v>4</v>
      </c>
      <c r="K1596" s="13" t="s">
        <v>3346</v>
      </c>
      <c r="L1596" s="15">
        <v>56.1875</v>
      </c>
      <c r="M1596" s="16">
        <v>56.1875</v>
      </c>
    </row>
    <row r="1597" spans="1:13" s="5" customFormat="1" x14ac:dyDescent="0.25">
      <c r="A1597" s="12" t="s">
        <v>3076</v>
      </c>
      <c r="B1597" s="13" t="s">
        <v>3077</v>
      </c>
      <c r="C1597" s="14">
        <v>45458</v>
      </c>
      <c r="D1597" s="13">
        <v>2024</v>
      </c>
      <c r="E1597" s="13" t="s">
        <v>21</v>
      </c>
      <c r="F1597" s="13" t="s">
        <v>34</v>
      </c>
      <c r="G1597" s="15">
        <v>926.2</v>
      </c>
      <c r="H1597" s="15">
        <v>926.2</v>
      </c>
      <c r="I1597" s="13">
        <v>8</v>
      </c>
      <c r="J1597" s="13">
        <v>8</v>
      </c>
      <c r="K1597" s="13" t="s">
        <v>3346</v>
      </c>
      <c r="L1597" s="15">
        <v>115.77500000000001</v>
      </c>
      <c r="M1597" s="16">
        <v>115.77500000000001</v>
      </c>
    </row>
    <row r="1598" spans="1:13" s="5" customFormat="1" x14ac:dyDescent="0.25">
      <c r="A1598" s="12" t="s">
        <v>3078</v>
      </c>
      <c r="B1598" s="13" t="s">
        <v>3079</v>
      </c>
      <c r="C1598" s="14">
        <v>45375</v>
      </c>
      <c r="D1598" s="13">
        <v>2024</v>
      </c>
      <c r="E1598" s="13" t="s">
        <v>21</v>
      </c>
      <c r="F1598" s="13" t="s">
        <v>22</v>
      </c>
      <c r="G1598" s="15">
        <v>1840.81</v>
      </c>
      <c r="H1598" s="15">
        <v>1840.81</v>
      </c>
      <c r="I1598" s="13">
        <v>9</v>
      </c>
      <c r="J1598" s="13">
        <v>9</v>
      </c>
      <c r="K1598" s="13" t="s">
        <v>35</v>
      </c>
      <c r="L1598" s="15">
        <v>204.53444444444443</v>
      </c>
      <c r="M1598" s="16">
        <v>204.53444444444443</v>
      </c>
    </row>
    <row r="1599" spans="1:13" s="5" customFormat="1" x14ac:dyDescent="0.25">
      <c r="A1599" s="12" t="s">
        <v>3080</v>
      </c>
      <c r="B1599" s="13" t="s">
        <v>3081</v>
      </c>
      <c r="C1599" s="14">
        <v>45324</v>
      </c>
      <c r="D1599" s="13">
        <v>2024</v>
      </c>
      <c r="E1599" s="13" t="s">
        <v>10</v>
      </c>
      <c r="F1599" s="13" t="s">
        <v>25</v>
      </c>
      <c r="G1599" s="15">
        <v>1772.78</v>
      </c>
      <c r="H1599" s="15">
        <v>1772.78</v>
      </c>
      <c r="I1599" s="13">
        <v>10</v>
      </c>
      <c r="J1599" s="13">
        <v>10</v>
      </c>
      <c r="K1599" s="13" t="s">
        <v>15</v>
      </c>
      <c r="L1599" s="15">
        <v>177.27799999999999</v>
      </c>
      <c r="M1599" s="16">
        <v>177.27799999999999</v>
      </c>
    </row>
    <row r="1600" spans="1:13" s="5" customFormat="1" x14ac:dyDescent="0.25">
      <c r="A1600" s="12" t="s">
        <v>3082</v>
      </c>
      <c r="B1600" s="13" t="s">
        <v>3083</v>
      </c>
      <c r="C1600" s="14">
        <v>45932</v>
      </c>
      <c r="D1600" s="13">
        <v>2025</v>
      </c>
      <c r="E1600" s="13" t="s">
        <v>3347</v>
      </c>
      <c r="F1600" s="13" t="s">
        <v>22</v>
      </c>
      <c r="G1600" s="15">
        <v>1248.1300000000001</v>
      </c>
      <c r="H1600" s="15">
        <v>1248.1300000000001</v>
      </c>
      <c r="I1600" s="13"/>
      <c r="J1600" s="13">
        <v>3</v>
      </c>
      <c r="K1600" s="13" t="s">
        <v>3346</v>
      </c>
      <c r="L1600" s="15">
        <v>416.04333333333335</v>
      </c>
      <c r="M1600" s="16">
        <v>431.69513945578234</v>
      </c>
    </row>
    <row r="1601" spans="1:13" s="5" customFormat="1" x14ac:dyDescent="0.25">
      <c r="A1601" s="12" t="s">
        <v>3084</v>
      </c>
      <c r="B1601" s="13" t="s">
        <v>3085</v>
      </c>
      <c r="C1601" s="14">
        <v>45072</v>
      </c>
      <c r="D1601" s="13">
        <v>2023</v>
      </c>
      <c r="E1601" s="13" t="s">
        <v>3347</v>
      </c>
      <c r="F1601" s="13" t="s">
        <v>25</v>
      </c>
      <c r="G1601" s="15">
        <v>1794.01</v>
      </c>
      <c r="H1601" s="15">
        <v>1794.01</v>
      </c>
      <c r="I1601" s="13">
        <v>7</v>
      </c>
      <c r="J1601" s="13">
        <v>7</v>
      </c>
      <c r="K1601" s="13" t="s">
        <v>15</v>
      </c>
      <c r="L1601" s="15">
        <v>256.28714285714284</v>
      </c>
      <c r="M1601" s="16">
        <v>256.28714285714284</v>
      </c>
    </row>
    <row r="1602" spans="1:13" s="5" customFormat="1" x14ac:dyDescent="0.25">
      <c r="A1602" s="12" t="s">
        <v>3086</v>
      </c>
      <c r="B1602" s="13" t="s">
        <v>3087</v>
      </c>
      <c r="C1602" s="14">
        <v>45087</v>
      </c>
      <c r="D1602" s="13">
        <v>2023</v>
      </c>
      <c r="E1602" s="13" t="s">
        <v>14</v>
      </c>
      <c r="F1602" s="13" t="s">
        <v>34</v>
      </c>
      <c r="G1602" s="15">
        <v>1576.94</v>
      </c>
      <c r="H1602" s="15">
        <v>1576.94</v>
      </c>
      <c r="I1602" s="13">
        <v>10</v>
      </c>
      <c r="J1602" s="13">
        <v>10</v>
      </c>
      <c r="K1602" s="13" t="s">
        <v>3348</v>
      </c>
      <c r="L1602" s="15">
        <v>157.69400000000002</v>
      </c>
      <c r="M1602" s="16">
        <v>157.69400000000002</v>
      </c>
    </row>
    <row r="1603" spans="1:13" s="5" customFormat="1" x14ac:dyDescent="0.25">
      <c r="A1603" s="12" t="s">
        <v>3088</v>
      </c>
      <c r="B1603" s="13" t="s">
        <v>3089</v>
      </c>
      <c r="C1603" s="14">
        <v>45151</v>
      </c>
      <c r="D1603" s="13">
        <v>2023</v>
      </c>
      <c r="E1603" s="13" t="s">
        <v>3347</v>
      </c>
      <c r="F1603" s="13" t="s">
        <v>22</v>
      </c>
      <c r="G1603" s="15">
        <v>94.96</v>
      </c>
      <c r="H1603" s="15">
        <v>94.96</v>
      </c>
      <c r="I1603" s="13">
        <v>5</v>
      </c>
      <c r="J1603" s="13">
        <v>5</v>
      </c>
      <c r="K1603" s="13" t="s">
        <v>3346</v>
      </c>
      <c r="L1603" s="15">
        <v>18.991999999999997</v>
      </c>
      <c r="M1603" s="16">
        <v>18.991999999999997</v>
      </c>
    </row>
    <row r="1604" spans="1:13" s="5" customFormat="1" x14ac:dyDescent="0.25">
      <c r="A1604" s="12" t="s">
        <v>3090</v>
      </c>
      <c r="B1604" s="13" t="s">
        <v>3091</v>
      </c>
      <c r="C1604" s="14">
        <v>45121</v>
      </c>
      <c r="D1604" s="13">
        <v>2023</v>
      </c>
      <c r="E1604" s="13" t="s">
        <v>14</v>
      </c>
      <c r="F1604" s="13" t="s">
        <v>22</v>
      </c>
      <c r="G1604" s="15">
        <v>1976.89</v>
      </c>
      <c r="H1604" s="15">
        <v>1976.89</v>
      </c>
      <c r="I1604" s="13">
        <v>7</v>
      </c>
      <c r="J1604" s="13">
        <v>7</v>
      </c>
      <c r="K1604" s="13" t="s">
        <v>18</v>
      </c>
      <c r="L1604" s="15">
        <v>282.41285714285715</v>
      </c>
      <c r="M1604" s="16">
        <v>282.41285714285715</v>
      </c>
    </row>
    <row r="1605" spans="1:13" s="5" customFormat="1" x14ac:dyDescent="0.25">
      <c r="A1605" s="12" t="s">
        <v>3092</v>
      </c>
      <c r="B1605" s="13" t="s">
        <v>3093</v>
      </c>
      <c r="C1605" s="14">
        <v>45441</v>
      </c>
      <c r="D1605" s="13">
        <v>2024</v>
      </c>
      <c r="E1605" s="13" t="s">
        <v>3347</v>
      </c>
      <c r="F1605" s="13" t="s">
        <v>22</v>
      </c>
      <c r="G1605" s="15">
        <v>1929.12</v>
      </c>
      <c r="H1605" s="15">
        <v>1929.12</v>
      </c>
      <c r="I1605" s="13">
        <v>1</v>
      </c>
      <c r="J1605" s="13">
        <v>1</v>
      </c>
      <c r="K1605" s="13" t="s">
        <v>3346</v>
      </c>
      <c r="L1605" s="15">
        <v>1929.12</v>
      </c>
      <c r="M1605" s="16">
        <v>1929.12</v>
      </c>
    </row>
    <row r="1606" spans="1:13" s="5" customFormat="1" x14ac:dyDescent="0.25">
      <c r="A1606" s="12" t="s">
        <v>3094</v>
      </c>
      <c r="B1606" s="13" t="s">
        <v>3095</v>
      </c>
      <c r="C1606" s="14">
        <v>45762</v>
      </c>
      <c r="D1606" s="13">
        <v>2025</v>
      </c>
      <c r="E1606" s="13" t="s">
        <v>3347</v>
      </c>
      <c r="F1606" s="13" t="s">
        <v>34</v>
      </c>
      <c r="G1606" s="15">
        <v>99.46</v>
      </c>
      <c r="H1606" s="15">
        <v>99.46</v>
      </c>
      <c r="I1606" s="13">
        <v>3</v>
      </c>
      <c r="J1606" s="13">
        <v>3</v>
      </c>
      <c r="K1606" s="13" t="s">
        <v>3348</v>
      </c>
      <c r="L1606" s="15">
        <v>33.153333333333329</v>
      </c>
      <c r="M1606" s="16">
        <v>33.153333333333329</v>
      </c>
    </row>
    <row r="1607" spans="1:13" s="5" customFormat="1" x14ac:dyDescent="0.25">
      <c r="A1607" s="12" t="s">
        <v>3096</v>
      </c>
      <c r="B1607" s="13" t="s">
        <v>3097</v>
      </c>
      <c r="C1607" s="14">
        <v>45733</v>
      </c>
      <c r="D1607" s="13">
        <v>2025</v>
      </c>
      <c r="E1607" s="13" t="s">
        <v>21</v>
      </c>
      <c r="F1607" s="13" t="s">
        <v>34</v>
      </c>
      <c r="G1607" s="15">
        <v>20.83</v>
      </c>
      <c r="H1607" s="15">
        <v>20.83</v>
      </c>
      <c r="I1607" s="13">
        <v>3</v>
      </c>
      <c r="J1607" s="13">
        <v>3</v>
      </c>
      <c r="K1607" s="13" t="s">
        <v>3348</v>
      </c>
      <c r="L1607" s="15">
        <v>6.9433333333333325</v>
      </c>
      <c r="M1607" s="16">
        <v>6.9433333333333325</v>
      </c>
    </row>
    <row r="1608" spans="1:13" s="5" customFormat="1" x14ac:dyDescent="0.25">
      <c r="A1608" s="12" t="s">
        <v>3098</v>
      </c>
      <c r="B1608" s="13" t="s">
        <v>3099</v>
      </c>
      <c r="C1608" s="14">
        <v>45503</v>
      </c>
      <c r="D1608" s="13">
        <v>2024</v>
      </c>
      <c r="E1608" s="13" t="s">
        <v>10</v>
      </c>
      <c r="F1608" s="13" t="s">
        <v>22</v>
      </c>
      <c r="G1608" s="15">
        <v>702.35</v>
      </c>
      <c r="H1608" s="15">
        <v>702.35</v>
      </c>
      <c r="I1608" s="13">
        <v>8</v>
      </c>
      <c r="J1608" s="13">
        <v>8</v>
      </c>
      <c r="K1608" s="13" t="s">
        <v>18</v>
      </c>
      <c r="L1608" s="15">
        <v>87.793750000000003</v>
      </c>
      <c r="M1608" s="16">
        <v>87.793750000000003</v>
      </c>
    </row>
    <row r="1609" spans="1:13" s="5" customFormat="1" x14ac:dyDescent="0.25">
      <c r="A1609" s="12" t="s">
        <v>3100</v>
      </c>
      <c r="B1609" s="13" t="s">
        <v>3101</v>
      </c>
      <c r="C1609" s="14">
        <v>45557</v>
      </c>
      <c r="D1609" s="13">
        <v>2024</v>
      </c>
      <c r="E1609" s="13" t="s">
        <v>10</v>
      </c>
      <c r="F1609" s="13" t="s">
        <v>22</v>
      </c>
      <c r="G1609" s="15">
        <v>143.69</v>
      </c>
      <c r="H1609" s="15">
        <v>143.69</v>
      </c>
      <c r="I1609" s="13">
        <v>5</v>
      </c>
      <c r="J1609" s="13">
        <v>5</v>
      </c>
      <c r="K1609" s="13" t="s">
        <v>3346</v>
      </c>
      <c r="L1609" s="15">
        <v>28.738</v>
      </c>
      <c r="M1609" s="16">
        <v>28.738</v>
      </c>
    </row>
    <row r="1610" spans="1:13" s="5" customFormat="1" x14ac:dyDescent="0.25">
      <c r="A1610" s="12" t="s">
        <v>3102</v>
      </c>
      <c r="B1610" s="13" t="s">
        <v>3103</v>
      </c>
      <c r="C1610" s="14">
        <v>45661</v>
      </c>
      <c r="D1610" s="13">
        <v>2025</v>
      </c>
      <c r="E1610" s="13" t="s">
        <v>21</v>
      </c>
      <c r="F1610" s="13" t="s">
        <v>22</v>
      </c>
      <c r="G1610" s="15">
        <v>199.72</v>
      </c>
      <c r="H1610" s="15">
        <v>199.72</v>
      </c>
      <c r="I1610" s="13">
        <v>6</v>
      </c>
      <c r="J1610" s="13">
        <v>6</v>
      </c>
      <c r="K1610" s="13" t="s">
        <v>3346</v>
      </c>
      <c r="L1610" s="15">
        <v>33.286666666666669</v>
      </c>
      <c r="M1610" s="16">
        <v>33.286666666666669</v>
      </c>
    </row>
    <row r="1611" spans="1:13" s="5" customFormat="1" x14ac:dyDescent="0.25">
      <c r="A1611" s="12" t="s">
        <v>3104</v>
      </c>
      <c r="B1611" s="13" t="s">
        <v>3105</v>
      </c>
      <c r="C1611" s="14">
        <v>45762</v>
      </c>
      <c r="D1611" s="13">
        <v>2025</v>
      </c>
      <c r="E1611" s="13" t="s">
        <v>10</v>
      </c>
      <c r="F1611" s="13" t="s">
        <v>11</v>
      </c>
      <c r="G1611" s="15">
        <v>1126.6199999999999</v>
      </c>
      <c r="H1611" s="15">
        <v>1126.6199999999999</v>
      </c>
      <c r="I1611" s="13">
        <v>1</v>
      </c>
      <c r="J1611" s="13">
        <v>1</v>
      </c>
      <c r="K1611" s="13" t="s">
        <v>3346</v>
      </c>
      <c r="L1611" s="15">
        <v>1126.6199999999999</v>
      </c>
      <c r="M1611" s="16">
        <v>1126.6199999999999</v>
      </c>
    </row>
    <row r="1612" spans="1:13" s="5" customFormat="1" x14ac:dyDescent="0.25">
      <c r="A1612" s="12" t="s">
        <v>3106</v>
      </c>
      <c r="B1612" s="13" t="s">
        <v>3107</v>
      </c>
      <c r="C1612" s="14">
        <v>45388</v>
      </c>
      <c r="D1612" s="13">
        <v>2024</v>
      </c>
      <c r="E1612" s="13" t="s">
        <v>10</v>
      </c>
      <c r="F1612" s="13" t="s">
        <v>22</v>
      </c>
      <c r="G1612" s="15">
        <v>772.35</v>
      </c>
      <c r="H1612" s="15">
        <v>772.35</v>
      </c>
      <c r="I1612" s="13">
        <v>1</v>
      </c>
      <c r="J1612" s="13">
        <v>1</v>
      </c>
      <c r="K1612" s="13" t="s">
        <v>15</v>
      </c>
      <c r="L1612" s="15">
        <v>772.35</v>
      </c>
      <c r="M1612" s="16">
        <v>772.35</v>
      </c>
    </row>
    <row r="1613" spans="1:13" s="5" customFormat="1" x14ac:dyDescent="0.25">
      <c r="A1613" s="12" t="s">
        <v>3108</v>
      </c>
      <c r="B1613" s="13" t="s">
        <v>3109</v>
      </c>
      <c r="C1613" s="14">
        <v>45394</v>
      </c>
      <c r="D1613" s="13">
        <v>2024</v>
      </c>
      <c r="E1613" s="13" t="s">
        <v>10</v>
      </c>
      <c r="F1613" s="13" t="s">
        <v>34</v>
      </c>
      <c r="G1613" s="15">
        <v>508.01</v>
      </c>
      <c r="H1613" s="15">
        <v>508.01</v>
      </c>
      <c r="I1613" s="13">
        <v>9</v>
      </c>
      <c r="J1613" s="13">
        <v>9</v>
      </c>
      <c r="K1613" s="13" t="s">
        <v>35</v>
      </c>
      <c r="L1613" s="15">
        <v>56.445555555555558</v>
      </c>
      <c r="M1613" s="16">
        <v>56.445555555555558</v>
      </c>
    </row>
    <row r="1614" spans="1:13" s="5" customFormat="1" x14ac:dyDescent="0.25">
      <c r="A1614" s="12" t="s">
        <v>3110</v>
      </c>
      <c r="B1614" s="13" t="s">
        <v>3111</v>
      </c>
      <c r="C1614" s="14">
        <v>45527</v>
      </c>
      <c r="D1614" s="13">
        <v>2024</v>
      </c>
      <c r="E1614" s="13" t="s">
        <v>14</v>
      </c>
      <c r="F1614" s="13" t="s">
        <v>34</v>
      </c>
      <c r="G1614" s="15"/>
      <c r="H1614" s="15">
        <v>3160.0775102040816</v>
      </c>
      <c r="I1614" s="13">
        <v>9</v>
      </c>
      <c r="J1614" s="13">
        <v>9</v>
      </c>
      <c r="K1614" s="13" t="s">
        <v>3348</v>
      </c>
      <c r="L1614" s="15">
        <v>351.11972335600905</v>
      </c>
      <c r="M1614" s="16">
        <v>351.11972335600905</v>
      </c>
    </row>
    <row r="1615" spans="1:13" s="5" customFormat="1" x14ac:dyDescent="0.25">
      <c r="A1615" s="12" t="s">
        <v>3112</v>
      </c>
      <c r="B1615" s="13" t="s">
        <v>3113</v>
      </c>
      <c r="C1615" s="14">
        <v>45926</v>
      </c>
      <c r="D1615" s="13">
        <v>2025</v>
      </c>
      <c r="E1615" s="13" t="s">
        <v>3347</v>
      </c>
      <c r="F1615" s="13" t="s">
        <v>22</v>
      </c>
      <c r="G1615" s="15">
        <v>874.08</v>
      </c>
      <c r="H1615" s="15">
        <v>874.08</v>
      </c>
      <c r="I1615" s="13">
        <v>3</v>
      </c>
      <c r="J1615" s="13">
        <v>3</v>
      </c>
      <c r="K1615" s="13" t="s">
        <v>3348</v>
      </c>
      <c r="L1615" s="15">
        <v>291.36</v>
      </c>
      <c r="M1615" s="16">
        <v>291.36</v>
      </c>
    </row>
    <row r="1616" spans="1:13" s="5" customFormat="1" x14ac:dyDescent="0.25">
      <c r="A1616" s="12" t="s">
        <v>3114</v>
      </c>
      <c r="B1616" s="13" t="s">
        <v>3115</v>
      </c>
      <c r="C1616" s="14">
        <v>45237</v>
      </c>
      <c r="D1616" s="13">
        <v>2023</v>
      </c>
      <c r="E1616" s="13" t="s">
        <v>21</v>
      </c>
      <c r="F1616" s="13" t="s">
        <v>34</v>
      </c>
      <c r="G1616" s="15"/>
      <c r="H1616" s="15">
        <v>508.58959126984126</v>
      </c>
      <c r="I1616" s="13">
        <v>2</v>
      </c>
      <c r="J1616" s="13">
        <v>2</v>
      </c>
      <c r="K1616" s="13" t="s">
        <v>35</v>
      </c>
      <c r="L1616" s="15">
        <v>254.29479563492063</v>
      </c>
      <c r="M1616" s="16">
        <v>254.29479563492063</v>
      </c>
    </row>
    <row r="1617" spans="1:13" s="5" customFormat="1" x14ac:dyDescent="0.25">
      <c r="A1617" s="12" t="s">
        <v>3116</v>
      </c>
      <c r="B1617" s="13" t="s">
        <v>3117</v>
      </c>
      <c r="C1617" s="14">
        <v>44932</v>
      </c>
      <c r="D1617" s="13">
        <v>2023</v>
      </c>
      <c r="E1617" s="13" t="s">
        <v>3347</v>
      </c>
      <c r="F1617" s="13" t="s">
        <v>25</v>
      </c>
      <c r="G1617" s="15">
        <v>1542.56</v>
      </c>
      <c r="H1617" s="15">
        <v>1542.56</v>
      </c>
      <c r="I1617" s="13">
        <v>1</v>
      </c>
      <c r="J1617" s="13">
        <v>1</v>
      </c>
      <c r="K1617" s="13" t="s">
        <v>35</v>
      </c>
      <c r="L1617" s="15">
        <v>1542.56</v>
      </c>
      <c r="M1617" s="16">
        <v>1542.56</v>
      </c>
    </row>
    <row r="1618" spans="1:13" s="5" customFormat="1" x14ac:dyDescent="0.25">
      <c r="A1618" s="12" t="s">
        <v>3118</v>
      </c>
      <c r="B1618" s="13" t="s">
        <v>1298</v>
      </c>
      <c r="C1618" s="14">
        <v>45648</v>
      </c>
      <c r="D1618" s="13">
        <v>2024</v>
      </c>
      <c r="E1618" s="13" t="s">
        <v>14</v>
      </c>
      <c r="F1618" s="13" t="s">
        <v>34</v>
      </c>
      <c r="G1618" s="15">
        <v>1633.81</v>
      </c>
      <c r="H1618" s="15">
        <v>1633.81</v>
      </c>
      <c r="I1618" s="13">
        <v>2</v>
      </c>
      <c r="J1618" s="13">
        <v>2</v>
      </c>
      <c r="K1618" s="13" t="s">
        <v>3348</v>
      </c>
      <c r="L1618" s="15">
        <v>816.90499999999997</v>
      </c>
      <c r="M1618" s="16">
        <v>816.90499999999997</v>
      </c>
    </row>
    <row r="1619" spans="1:13" s="5" customFormat="1" x14ac:dyDescent="0.25">
      <c r="A1619" s="12" t="s">
        <v>3119</v>
      </c>
      <c r="B1619" s="13" t="s">
        <v>3120</v>
      </c>
      <c r="C1619" s="14">
        <v>45099</v>
      </c>
      <c r="D1619" s="13">
        <v>2023</v>
      </c>
      <c r="E1619" s="13" t="s">
        <v>21</v>
      </c>
      <c r="F1619" s="13" t="s">
        <v>34</v>
      </c>
      <c r="G1619" s="15">
        <v>1151.06</v>
      </c>
      <c r="H1619" s="15">
        <v>1151.06</v>
      </c>
      <c r="I1619" s="13">
        <v>5</v>
      </c>
      <c r="J1619" s="13">
        <v>5</v>
      </c>
      <c r="K1619" s="13" t="s">
        <v>18</v>
      </c>
      <c r="L1619" s="15">
        <v>230.21199999999999</v>
      </c>
      <c r="M1619" s="16">
        <v>230.21199999999999</v>
      </c>
    </row>
    <row r="1620" spans="1:13" s="5" customFormat="1" x14ac:dyDescent="0.25">
      <c r="A1620" s="12" t="s">
        <v>3121</v>
      </c>
      <c r="B1620" s="13" t="s">
        <v>3122</v>
      </c>
      <c r="C1620" s="14">
        <v>45236</v>
      </c>
      <c r="D1620" s="13">
        <v>2023</v>
      </c>
      <c r="E1620" s="13" t="s">
        <v>3347</v>
      </c>
      <c r="F1620" s="13" t="s">
        <v>22</v>
      </c>
      <c r="G1620" s="15">
        <v>1930.81</v>
      </c>
      <c r="H1620" s="15">
        <v>1930.81</v>
      </c>
      <c r="I1620" s="13">
        <v>5</v>
      </c>
      <c r="J1620" s="13">
        <v>5</v>
      </c>
      <c r="K1620" s="13" t="s">
        <v>3346</v>
      </c>
      <c r="L1620" s="15">
        <v>386.16199999999998</v>
      </c>
      <c r="M1620" s="16">
        <v>386.16199999999998</v>
      </c>
    </row>
    <row r="1621" spans="1:13" s="5" customFormat="1" x14ac:dyDescent="0.25">
      <c r="A1621" s="12" t="s">
        <v>3123</v>
      </c>
      <c r="B1621" s="13" t="s">
        <v>3124</v>
      </c>
      <c r="C1621" s="14">
        <v>45148</v>
      </c>
      <c r="D1621" s="13">
        <v>2023</v>
      </c>
      <c r="E1621" s="13" t="s">
        <v>14</v>
      </c>
      <c r="F1621" s="13" t="s">
        <v>34</v>
      </c>
      <c r="G1621" s="15">
        <v>1354.85</v>
      </c>
      <c r="H1621" s="15">
        <v>1354.85</v>
      </c>
      <c r="I1621" s="13">
        <v>1</v>
      </c>
      <c r="J1621" s="13">
        <v>1</v>
      </c>
      <c r="K1621" s="13" t="s">
        <v>3346</v>
      </c>
      <c r="L1621" s="15">
        <v>1354.85</v>
      </c>
      <c r="M1621" s="16">
        <v>1354.85</v>
      </c>
    </row>
    <row r="1622" spans="1:13" s="5" customFormat="1" x14ac:dyDescent="0.25">
      <c r="A1622" s="12" t="s">
        <v>3125</v>
      </c>
      <c r="B1622" s="13" t="s">
        <v>3126</v>
      </c>
      <c r="C1622" s="14">
        <v>44881</v>
      </c>
      <c r="D1622" s="13">
        <v>2022</v>
      </c>
      <c r="E1622" s="13" t="s">
        <v>3347</v>
      </c>
      <c r="F1622" s="13" t="s">
        <v>34</v>
      </c>
      <c r="G1622" s="15">
        <v>1475.6</v>
      </c>
      <c r="H1622" s="15">
        <v>1475.6</v>
      </c>
      <c r="I1622" s="13">
        <v>2</v>
      </c>
      <c r="J1622" s="13">
        <v>2</v>
      </c>
      <c r="K1622" s="13" t="s">
        <v>3348</v>
      </c>
      <c r="L1622" s="15">
        <v>737.8</v>
      </c>
      <c r="M1622" s="16">
        <v>737.8</v>
      </c>
    </row>
    <row r="1623" spans="1:13" s="5" customFormat="1" x14ac:dyDescent="0.25">
      <c r="A1623" s="12" t="s">
        <v>3127</v>
      </c>
      <c r="B1623" s="13" t="s">
        <v>732</v>
      </c>
      <c r="C1623" s="14">
        <v>45416</v>
      </c>
      <c r="D1623" s="13">
        <v>2024</v>
      </c>
      <c r="E1623" s="13" t="s">
        <v>10</v>
      </c>
      <c r="F1623" s="13" t="s">
        <v>34</v>
      </c>
      <c r="G1623" s="15">
        <v>383.85</v>
      </c>
      <c r="H1623" s="15">
        <v>383.85</v>
      </c>
      <c r="I1623" s="13">
        <v>10</v>
      </c>
      <c r="J1623" s="13">
        <v>10</v>
      </c>
      <c r="K1623" s="13" t="s">
        <v>35</v>
      </c>
      <c r="L1623" s="15">
        <v>38.385000000000005</v>
      </c>
      <c r="M1623" s="16">
        <v>38.385000000000005</v>
      </c>
    </row>
    <row r="1624" spans="1:13" s="5" customFormat="1" x14ac:dyDescent="0.25">
      <c r="A1624" s="12" t="s">
        <v>3128</v>
      </c>
      <c r="B1624" s="13" t="s">
        <v>421</v>
      </c>
      <c r="C1624" s="14">
        <v>45608</v>
      </c>
      <c r="D1624" s="13">
        <v>2024</v>
      </c>
      <c r="E1624" s="13" t="s">
        <v>3347</v>
      </c>
      <c r="F1624" s="13" t="s">
        <v>22</v>
      </c>
      <c r="G1624" s="15">
        <v>1498.23</v>
      </c>
      <c r="H1624" s="15">
        <v>1498.23</v>
      </c>
      <c r="I1624" s="13">
        <v>1</v>
      </c>
      <c r="J1624" s="13">
        <v>1</v>
      </c>
      <c r="K1624" s="13" t="s">
        <v>3348</v>
      </c>
      <c r="L1624" s="15">
        <v>1498.23</v>
      </c>
      <c r="M1624" s="16">
        <v>1498.23</v>
      </c>
    </row>
    <row r="1625" spans="1:13" s="5" customFormat="1" x14ac:dyDescent="0.25">
      <c r="A1625" s="12" t="s">
        <v>3129</v>
      </c>
      <c r="B1625" s="13" t="s">
        <v>3130</v>
      </c>
      <c r="C1625" s="14">
        <v>44885</v>
      </c>
      <c r="D1625" s="13">
        <v>2022</v>
      </c>
      <c r="E1625" s="13" t="s">
        <v>3347</v>
      </c>
      <c r="F1625" s="13" t="s">
        <v>11</v>
      </c>
      <c r="G1625" s="15">
        <v>1836.07</v>
      </c>
      <c r="H1625" s="15">
        <v>1836.07</v>
      </c>
      <c r="I1625" s="13">
        <v>7</v>
      </c>
      <c r="J1625" s="13">
        <v>7</v>
      </c>
      <c r="K1625" s="13" t="s">
        <v>18</v>
      </c>
      <c r="L1625" s="15">
        <v>262.29571428571427</v>
      </c>
      <c r="M1625" s="16">
        <v>262.29571428571427</v>
      </c>
    </row>
    <row r="1626" spans="1:13" s="5" customFormat="1" x14ac:dyDescent="0.25">
      <c r="A1626" s="12" t="s">
        <v>3131</v>
      </c>
      <c r="B1626" s="13" t="s">
        <v>3132</v>
      </c>
      <c r="C1626" s="14">
        <v>44966</v>
      </c>
      <c r="D1626" s="13">
        <v>2023</v>
      </c>
      <c r="E1626" s="13" t="s">
        <v>21</v>
      </c>
      <c r="F1626" s="13" t="s">
        <v>11</v>
      </c>
      <c r="G1626" s="15">
        <v>1915.48</v>
      </c>
      <c r="H1626" s="15">
        <v>1915.48</v>
      </c>
      <c r="I1626" s="13">
        <v>9</v>
      </c>
      <c r="J1626" s="13">
        <v>9</v>
      </c>
      <c r="K1626" s="13" t="s">
        <v>3346</v>
      </c>
      <c r="L1626" s="15">
        <v>212.83111111111111</v>
      </c>
      <c r="M1626" s="16">
        <v>212.83111111111111</v>
      </c>
    </row>
    <row r="1627" spans="1:13" s="5" customFormat="1" x14ac:dyDescent="0.25">
      <c r="A1627" s="12" t="s">
        <v>3133</v>
      </c>
      <c r="B1627" s="13" t="s">
        <v>3134</v>
      </c>
      <c r="C1627" s="14">
        <v>45125</v>
      </c>
      <c r="D1627" s="13">
        <v>2023</v>
      </c>
      <c r="E1627" s="13" t="s">
        <v>3347</v>
      </c>
      <c r="F1627" s="13" t="s">
        <v>34</v>
      </c>
      <c r="G1627" s="15"/>
      <c r="H1627" s="15">
        <v>1055.0075555555557</v>
      </c>
      <c r="I1627" s="13">
        <v>3</v>
      </c>
      <c r="J1627" s="13">
        <v>3</v>
      </c>
      <c r="K1627" s="13" t="s">
        <v>3346</v>
      </c>
      <c r="L1627" s="15">
        <v>351.6691851851852</v>
      </c>
      <c r="M1627" s="16">
        <v>351.6691851851852</v>
      </c>
    </row>
    <row r="1628" spans="1:13" s="5" customFormat="1" x14ac:dyDescent="0.25">
      <c r="A1628" s="12" t="s">
        <v>3135</v>
      </c>
      <c r="B1628" s="13" t="s">
        <v>3136</v>
      </c>
      <c r="C1628" s="14">
        <v>45125</v>
      </c>
      <c r="D1628" s="13">
        <v>2023</v>
      </c>
      <c r="E1628" s="13" t="s">
        <v>21</v>
      </c>
      <c r="F1628" s="13" t="s">
        <v>34</v>
      </c>
      <c r="G1628" s="15">
        <v>483.02</v>
      </c>
      <c r="H1628" s="15">
        <v>483.02</v>
      </c>
      <c r="I1628" s="13">
        <v>9</v>
      </c>
      <c r="J1628" s="13">
        <v>9</v>
      </c>
      <c r="K1628" s="13" t="s">
        <v>3346</v>
      </c>
      <c r="L1628" s="15">
        <v>53.668888888888887</v>
      </c>
      <c r="M1628" s="16">
        <v>53.668888888888887</v>
      </c>
    </row>
    <row r="1629" spans="1:13" s="5" customFormat="1" x14ac:dyDescent="0.25">
      <c r="A1629" s="12" t="s">
        <v>3137</v>
      </c>
      <c r="B1629" s="13" t="s">
        <v>1242</v>
      </c>
      <c r="C1629" s="14">
        <v>45535</v>
      </c>
      <c r="D1629" s="13">
        <v>2024</v>
      </c>
      <c r="E1629" s="13" t="s">
        <v>21</v>
      </c>
      <c r="F1629" s="13" t="s">
        <v>11</v>
      </c>
      <c r="G1629" s="15">
        <v>1156.9100000000001</v>
      </c>
      <c r="H1629" s="15">
        <v>1156.9100000000001</v>
      </c>
      <c r="I1629" s="13">
        <v>3</v>
      </c>
      <c r="J1629" s="13">
        <v>3</v>
      </c>
      <c r="K1629" s="13" t="s">
        <v>18</v>
      </c>
      <c r="L1629" s="15">
        <v>385.63666666666671</v>
      </c>
      <c r="M1629" s="16">
        <v>385.63666666666671</v>
      </c>
    </row>
    <row r="1630" spans="1:13" s="5" customFormat="1" x14ac:dyDescent="0.25">
      <c r="A1630" s="12" t="s">
        <v>3138</v>
      </c>
      <c r="B1630" s="13" t="s">
        <v>3139</v>
      </c>
      <c r="C1630" s="14">
        <v>45855</v>
      </c>
      <c r="D1630" s="13">
        <v>2025</v>
      </c>
      <c r="E1630" s="13" t="s">
        <v>14</v>
      </c>
      <c r="F1630" s="13" t="s">
        <v>22</v>
      </c>
      <c r="G1630" s="15"/>
      <c r="H1630" s="15">
        <v>989.81611111111101</v>
      </c>
      <c r="I1630" s="13">
        <v>5</v>
      </c>
      <c r="J1630" s="13">
        <v>5</v>
      </c>
      <c r="K1630" s="13" t="s">
        <v>35</v>
      </c>
      <c r="L1630" s="15">
        <v>197.96322222222221</v>
      </c>
      <c r="M1630" s="16">
        <v>197.96322222222221</v>
      </c>
    </row>
    <row r="1631" spans="1:13" s="5" customFormat="1" x14ac:dyDescent="0.25">
      <c r="A1631" s="12" t="s">
        <v>3140</v>
      </c>
      <c r="B1631" s="13" t="s">
        <v>3141</v>
      </c>
      <c r="C1631" s="14">
        <v>45551</v>
      </c>
      <c r="D1631" s="13">
        <v>2024</v>
      </c>
      <c r="E1631" s="13" t="s">
        <v>21</v>
      </c>
      <c r="F1631" s="13" t="s">
        <v>34</v>
      </c>
      <c r="G1631" s="15">
        <v>89.14</v>
      </c>
      <c r="H1631" s="15">
        <v>89.14</v>
      </c>
      <c r="I1631" s="13">
        <v>7</v>
      </c>
      <c r="J1631" s="13">
        <v>7</v>
      </c>
      <c r="K1631" s="13" t="s">
        <v>15</v>
      </c>
      <c r="L1631" s="15">
        <v>12.734285714285715</v>
      </c>
      <c r="M1631" s="16">
        <v>12.734285714285715</v>
      </c>
    </row>
    <row r="1632" spans="1:13" s="5" customFormat="1" x14ac:dyDescent="0.25">
      <c r="A1632" s="12" t="s">
        <v>3142</v>
      </c>
      <c r="B1632" s="13" t="s">
        <v>3143</v>
      </c>
      <c r="C1632" s="14">
        <v>45679</v>
      </c>
      <c r="D1632" s="13">
        <v>2025</v>
      </c>
      <c r="E1632" s="13" t="s">
        <v>21</v>
      </c>
      <c r="F1632" s="13" t="s">
        <v>11</v>
      </c>
      <c r="G1632" s="15">
        <v>1328.41</v>
      </c>
      <c r="H1632" s="15">
        <v>1328.41</v>
      </c>
      <c r="I1632" s="13">
        <v>3</v>
      </c>
      <c r="J1632" s="13">
        <v>3</v>
      </c>
      <c r="K1632" s="13" t="s">
        <v>35</v>
      </c>
      <c r="L1632" s="15">
        <v>442.80333333333334</v>
      </c>
      <c r="M1632" s="16">
        <v>442.80333333333334</v>
      </c>
    </row>
    <row r="1633" spans="1:13" s="5" customFormat="1" x14ac:dyDescent="0.25">
      <c r="A1633" s="12" t="s">
        <v>3144</v>
      </c>
      <c r="B1633" s="13" t="s">
        <v>411</v>
      </c>
      <c r="C1633" s="14">
        <v>45929</v>
      </c>
      <c r="D1633" s="13">
        <v>2025</v>
      </c>
      <c r="E1633" s="13" t="s">
        <v>14</v>
      </c>
      <c r="F1633" s="13" t="s">
        <v>25</v>
      </c>
      <c r="G1633" s="15">
        <v>987.81</v>
      </c>
      <c r="H1633" s="15">
        <v>987.81</v>
      </c>
      <c r="I1633" s="13"/>
      <c r="J1633" s="13">
        <v>6</v>
      </c>
      <c r="K1633" s="13" t="s">
        <v>35</v>
      </c>
      <c r="L1633" s="15">
        <v>164.63499999999999</v>
      </c>
      <c r="M1633" s="16">
        <v>156.28166666666667</v>
      </c>
    </row>
    <row r="1634" spans="1:13" s="5" customFormat="1" x14ac:dyDescent="0.25">
      <c r="A1634" s="12" t="s">
        <v>3145</v>
      </c>
      <c r="B1634" s="13" t="s">
        <v>3146</v>
      </c>
      <c r="C1634" s="14">
        <v>44939</v>
      </c>
      <c r="D1634" s="13">
        <v>2023</v>
      </c>
      <c r="E1634" s="13" t="s">
        <v>3347</v>
      </c>
      <c r="F1634" s="13" t="s">
        <v>11</v>
      </c>
      <c r="G1634" s="15">
        <v>1734.83</v>
      </c>
      <c r="H1634" s="15">
        <v>1734.83</v>
      </c>
      <c r="I1634" s="13">
        <v>8</v>
      </c>
      <c r="J1634" s="13">
        <v>8</v>
      </c>
      <c r="K1634" s="13" t="s">
        <v>3346</v>
      </c>
      <c r="L1634" s="15">
        <v>216.85374999999999</v>
      </c>
      <c r="M1634" s="16">
        <v>216.85374999999999</v>
      </c>
    </row>
    <row r="1635" spans="1:13" s="5" customFormat="1" x14ac:dyDescent="0.25">
      <c r="A1635" s="12" t="s">
        <v>3147</v>
      </c>
      <c r="B1635" s="13" t="s">
        <v>3148</v>
      </c>
      <c r="C1635" s="14">
        <v>45555</v>
      </c>
      <c r="D1635" s="13">
        <v>2024</v>
      </c>
      <c r="E1635" s="13" t="s">
        <v>14</v>
      </c>
      <c r="F1635" s="13" t="s">
        <v>34</v>
      </c>
      <c r="G1635" s="15">
        <v>521.63</v>
      </c>
      <c r="H1635" s="15">
        <v>521.63</v>
      </c>
      <c r="I1635" s="13">
        <v>10</v>
      </c>
      <c r="J1635" s="13">
        <v>10</v>
      </c>
      <c r="K1635" s="13" t="s">
        <v>15</v>
      </c>
      <c r="L1635" s="15">
        <v>52.162999999999997</v>
      </c>
      <c r="M1635" s="16">
        <v>52.162999999999997</v>
      </c>
    </row>
    <row r="1636" spans="1:13" s="5" customFormat="1" x14ac:dyDescent="0.25">
      <c r="A1636" s="12" t="s">
        <v>3149</v>
      </c>
      <c r="B1636" s="13" t="s">
        <v>3150</v>
      </c>
      <c r="C1636" s="14">
        <v>44959</v>
      </c>
      <c r="D1636" s="13">
        <v>2023</v>
      </c>
      <c r="E1636" s="13" t="s">
        <v>3347</v>
      </c>
      <c r="F1636" s="13" t="s">
        <v>22</v>
      </c>
      <c r="G1636" s="15">
        <v>1999.32</v>
      </c>
      <c r="H1636" s="15">
        <v>1999.32</v>
      </c>
      <c r="I1636" s="13">
        <v>4</v>
      </c>
      <c r="J1636" s="13">
        <v>4</v>
      </c>
      <c r="K1636" s="13" t="s">
        <v>3346</v>
      </c>
      <c r="L1636" s="15">
        <v>499.83</v>
      </c>
      <c r="M1636" s="16">
        <v>499.83</v>
      </c>
    </row>
    <row r="1637" spans="1:13" s="5" customFormat="1" x14ac:dyDescent="0.25">
      <c r="A1637" s="12" t="s">
        <v>3151</v>
      </c>
      <c r="B1637" s="13" t="s">
        <v>3152</v>
      </c>
      <c r="C1637" s="14">
        <v>44934</v>
      </c>
      <c r="D1637" s="13">
        <v>2023</v>
      </c>
      <c r="E1637" s="13" t="s">
        <v>3347</v>
      </c>
      <c r="F1637" s="13" t="s">
        <v>11</v>
      </c>
      <c r="G1637" s="15"/>
      <c r="H1637" s="15">
        <v>1509.6972916666664</v>
      </c>
      <c r="I1637" s="13">
        <v>7</v>
      </c>
      <c r="J1637" s="13">
        <v>7</v>
      </c>
      <c r="K1637" s="13" t="s">
        <v>3346</v>
      </c>
      <c r="L1637" s="15">
        <v>215.67104166666664</v>
      </c>
      <c r="M1637" s="16">
        <v>215.67104166666664</v>
      </c>
    </row>
    <row r="1638" spans="1:13" s="5" customFormat="1" x14ac:dyDescent="0.25">
      <c r="A1638" s="12" t="s">
        <v>3153</v>
      </c>
      <c r="B1638" s="13" t="s">
        <v>3154</v>
      </c>
      <c r="C1638" s="14">
        <v>45442</v>
      </c>
      <c r="D1638" s="13">
        <v>2024</v>
      </c>
      <c r="E1638" s="13" t="s">
        <v>14</v>
      </c>
      <c r="F1638" s="13" t="s">
        <v>34</v>
      </c>
      <c r="G1638" s="15">
        <v>1021.8</v>
      </c>
      <c r="H1638" s="15">
        <v>1021.8</v>
      </c>
      <c r="I1638" s="13">
        <v>4</v>
      </c>
      <c r="J1638" s="13">
        <v>4</v>
      </c>
      <c r="K1638" s="13" t="s">
        <v>15</v>
      </c>
      <c r="L1638" s="15">
        <v>255.45</v>
      </c>
      <c r="M1638" s="16">
        <v>255.45</v>
      </c>
    </row>
    <row r="1639" spans="1:13" s="5" customFormat="1" x14ac:dyDescent="0.25">
      <c r="A1639" s="12" t="s">
        <v>3155</v>
      </c>
      <c r="B1639" s="13" t="s">
        <v>3156</v>
      </c>
      <c r="C1639" s="14">
        <v>45284</v>
      </c>
      <c r="D1639" s="13">
        <v>2023</v>
      </c>
      <c r="E1639" s="13" t="s">
        <v>3347</v>
      </c>
      <c r="F1639" s="13" t="s">
        <v>11</v>
      </c>
      <c r="G1639" s="15">
        <v>299.10000000000002</v>
      </c>
      <c r="H1639" s="15">
        <v>299.10000000000002</v>
      </c>
      <c r="I1639" s="13">
        <v>2</v>
      </c>
      <c r="J1639" s="13">
        <v>2</v>
      </c>
      <c r="K1639" s="13" t="s">
        <v>18</v>
      </c>
      <c r="L1639" s="15">
        <v>149.55000000000001</v>
      </c>
      <c r="M1639" s="16">
        <v>149.55000000000001</v>
      </c>
    </row>
    <row r="1640" spans="1:13" s="5" customFormat="1" x14ac:dyDescent="0.25">
      <c r="A1640" s="12" t="s">
        <v>3157</v>
      </c>
      <c r="B1640" s="13" t="s">
        <v>3158</v>
      </c>
      <c r="C1640" s="14">
        <v>45186</v>
      </c>
      <c r="D1640" s="13">
        <v>2023</v>
      </c>
      <c r="E1640" s="13" t="s">
        <v>10</v>
      </c>
      <c r="F1640" s="13" t="s">
        <v>34</v>
      </c>
      <c r="G1640" s="15">
        <v>659.57</v>
      </c>
      <c r="H1640" s="15">
        <v>659.57</v>
      </c>
      <c r="I1640" s="13"/>
      <c r="J1640" s="13">
        <v>4</v>
      </c>
      <c r="K1640" s="13" t="s">
        <v>35</v>
      </c>
      <c r="L1640" s="15">
        <v>164.89250000000001</v>
      </c>
      <c r="M1640" s="16">
        <v>186.36954894179891</v>
      </c>
    </row>
    <row r="1641" spans="1:13" s="5" customFormat="1" x14ac:dyDescent="0.25">
      <c r="A1641" s="12" t="s">
        <v>3159</v>
      </c>
      <c r="B1641" s="13" t="s">
        <v>3160</v>
      </c>
      <c r="C1641" s="14">
        <v>45361</v>
      </c>
      <c r="D1641" s="13">
        <v>2024</v>
      </c>
      <c r="E1641" s="13" t="s">
        <v>21</v>
      </c>
      <c r="F1641" s="13" t="s">
        <v>11</v>
      </c>
      <c r="G1641" s="15">
        <v>210.85</v>
      </c>
      <c r="H1641" s="15">
        <v>210.85</v>
      </c>
      <c r="I1641" s="13">
        <v>9</v>
      </c>
      <c r="J1641" s="13">
        <v>9</v>
      </c>
      <c r="K1641" s="13" t="s">
        <v>35</v>
      </c>
      <c r="L1641" s="15">
        <v>23.427777777777777</v>
      </c>
      <c r="M1641" s="16">
        <v>23.427777777777777</v>
      </c>
    </row>
    <row r="1642" spans="1:13" s="5" customFormat="1" x14ac:dyDescent="0.25">
      <c r="A1642" s="12" t="s">
        <v>3161</v>
      </c>
      <c r="B1642" s="13" t="s">
        <v>1116</v>
      </c>
      <c r="C1642" s="14">
        <v>45237</v>
      </c>
      <c r="D1642" s="13">
        <v>2023</v>
      </c>
      <c r="E1642" s="13" t="s">
        <v>21</v>
      </c>
      <c r="F1642" s="13" t="s">
        <v>22</v>
      </c>
      <c r="G1642" s="15">
        <v>560.37</v>
      </c>
      <c r="H1642" s="15">
        <v>560.37</v>
      </c>
      <c r="I1642" s="13">
        <v>8</v>
      </c>
      <c r="J1642" s="13">
        <v>8</v>
      </c>
      <c r="K1642" s="13" t="s">
        <v>18</v>
      </c>
      <c r="L1642" s="15">
        <v>70.046250000000001</v>
      </c>
      <c r="M1642" s="16">
        <v>70.046250000000001</v>
      </c>
    </row>
    <row r="1643" spans="1:13" s="5" customFormat="1" x14ac:dyDescent="0.25">
      <c r="A1643" s="12" t="s">
        <v>3162</v>
      </c>
      <c r="B1643" s="13" t="s">
        <v>3163</v>
      </c>
      <c r="C1643" s="14">
        <v>45070</v>
      </c>
      <c r="D1643" s="13">
        <v>2023</v>
      </c>
      <c r="E1643" s="13" t="s">
        <v>14</v>
      </c>
      <c r="F1643" s="13" t="s">
        <v>22</v>
      </c>
      <c r="G1643" s="15">
        <v>1447.56</v>
      </c>
      <c r="H1643" s="15">
        <v>1447.56</v>
      </c>
      <c r="I1643" s="13">
        <v>5</v>
      </c>
      <c r="J1643" s="13">
        <v>5</v>
      </c>
      <c r="K1643" s="13" t="s">
        <v>18</v>
      </c>
      <c r="L1643" s="15">
        <v>289.512</v>
      </c>
      <c r="M1643" s="16">
        <v>289.512</v>
      </c>
    </row>
    <row r="1644" spans="1:13" s="5" customFormat="1" x14ac:dyDescent="0.25">
      <c r="A1644" s="12" t="s">
        <v>3164</v>
      </c>
      <c r="B1644" s="13" t="s">
        <v>1972</v>
      </c>
      <c r="C1644" s="14">
        <v>45591</v>
      </c>
      <c r="D1644" s="13">
        <v>2024</v>
      </c>
      <c r="E1644" s="13" t="s">
        <v>3347</v>
      </c>
      <c r="F1644" s="13" t="s">
        <v>25</v>
      </c>
      <c r="G1644" s="15">
        <v>874.53</v>
      </c>
      <c r="H1644" s="15">
        <v>874.53</v>
      </c>
      <c r="I1644" s="13">
        <v>1</v>
      </c>
      <c r="J1644" s="13">
        <v>1</v>
      </c>
      <c r="K1644" s="13" t="s">
        <v>35</v>
      </c>
      <c r="L1644" s="15">
        <v>874.53</v>
      </c>
      <c r="M1644" s="16">
        <v>874.53</v>
      </c>
    </row>
    <row r="1645" spans="1:13" s="5" customFormat="1" x14ac:dyDescent="0.25">
      <c r="A1645" s="12" t="s">
        <v>3165</v>
      </c>
      <c r="B1645" s="13" t="s">
        <v>3166</v>
      </c>
      <c r="C1645" s="14">
        <v>45938</v>
      </c>
      <c r="D1645" s="13">
        <v>2025</v>
      </c>
      <c r="E1645" s="13" t="s">
        <v>21</v>
      </c>
      <c r="F1645" s="13" t="s">
        <v>34</v>
      </c>
      <c r="G1645" s="15">
        <v>694.51</v>
      </c>
      <c r="H1645" s="15">
        <v>694.51</v>
      </c>
      <c r="I1645" s="13">
        <v>4</v>
      </c>
      <c r="J1645" s="13">
        <v>4</v>
      </c>
      <c r="K1645" s="13" t="s">
        <v>35</v>
      </c>
      <c r="L1645" s="15">
        <v>173.6275</v>
      </c>
      <c r="M1645" s="16">
        <v>173.6275</v>
      </c>
    </row>
    <row r="1646" spans="1:13" s="5" customFormat="1" x14ac:dyDescent="0.25">
      <c r="A1646" s="12" t="s">
        <v>3167</v>
      </c>
      <c r="B1646" s="13" t="s">
        <v>3168</v>
      </c>
      <c r="C1646" s="14">
        <v>45282</v>
      </c>
      <c r="D1646" s="13">
        <v>2023</v>
      </c>
      <c r="E1646" s="13" t="s">
        <v>14</v>
      </c>
      <c r="F1646" s="13" t="s">
        <v>34</v>
      </c>
      <c r="G1646" s="15">
        <v>117.9</v>
      </c>
      <c r="H1646" s="15">
        <v>117.9</v>
      </c>
      <c r="I1646" s="13">
        <v>3</v>
      </c>
      <c r="J1646" s="13">
        <v>3</v>
      </c>
      <c r="K1646" s="13" t="s">
        <v>3346</v>
      </c>
      <c r="L1646" s="15">
        <v>39.300000000000004</v>
      </c>
      <c r="M1646" s="16">
        <v>39.300000000000004</v>
      </c>
    </row>
    <row r="1647" spans="1:13" s="5" customFormat="1" x14ac:dyDescent="0.25">
      <c r="A1647" s="12" t="s">
        <v>3169</v>
      </c>
      <c r="B1647" s="13" t="s">
        <v>3170</v>
      </c>
      <c r="C1647" s="14">
        <v>45307</v>
      </c>
      <c r="D1647" s="13">
        <v>2024</v>
      </c>
      <c r="E1647" s="13" t="s">
        <v>14</v>
      </c>
      <c r="F1647" s="13" t="s">
        <v>11</v>
      </c>
      <c r="G1647" s="15">
        <v>962.47</v>
      </c>
      <c r="H1647" s="15">
        <v>962.47</v>
      </c>
      <c r="I1647" s="13">
        <v>5</v>
      </c>
      <c r="J1647" s="13">
        <v>5</v>
      </c>
      <c r="K1647" s="13" t="s">
        <v>3346</v>
      </c>
      <c r="L1647" s="15">
        <v>192.494</v>
      </c>
      <c r="M1647" s="16">
        <v>192.494</v>
      </c>
    </row>
    <row r="1648" spans="1:13" s="5" customFormat="1" x14ac:dyDescent="0.25">
      <c r="A1648" s="12" t="s">
        <v>3171</v>
      </c>
      <c r="B1648" s="13" t="s">
        <v>3172</v>
      </c>
      <c r="C1648" s="14">
        <v>45712</v>
      </c>
      <c r="D1648" s="13">
        <v>2025</v>
      </c>
      <c r="E1648" s="13" t="s">
        <v>3347</v>
      </c>
      <c r="F1648" s="13" t="s">
        <v>34</v>
      </c>
      <c r="G1648" s="15">
        <v>463.51</v>
      </c>
      <c r="H1648" s="15">
        <v>463.51</v>
      </c>
      <c r="I1648" s="13">
        <v>2</v>
      </c>
      <c r="J1648" s="13">
        <v>2</v>
      </c>
      <c r="K1648" s="13" t="s">
        <v>35</v>
      </c>
      <c r="L1648" s="15">
        <v>231.755</v>
      </c>
      <c r="M1648" s="16">
        <v>231.755</v>
      </c>
    </row>
    <row r="1649" spans="1:13" s="5" customFormat="1" x14ac:dyDescent="0.25">
      <c r="A1649" s="12" t="s">
        <v>3173</v>
      </c>
      <c r="B1649" s="13" t="s">
        <v>2691</v>
      </c>
      <c r="C1649" s="14">
        <v>45372</v>
      </c>
      <c r="D1649" s="13">
        <v>2024</v>
      </c>
      <c r="E1649" s="13" t="s">
        <v>21</v>
      </c>
      <c r="F1649" s="13" t="s">
        <v>22</v>
      </c>
      <c r="G1649" s="15">
        <v>1185.6400000000001</v>
      </c>
      <c r="H1649" s="15">
        <v>1185.6400000000001</v>
      </c>
      <c r="I1649" s="13">
        <v>4</v>
      </c>
      <c r="J1649" s="13">
        <v>4</v>
      </c>
      <c r="K1649" s="13" t="s">
        <v>18</v>
      </c>
      <c r="L1649" s="15">
        <v>296.41000000000003</v>
      </c>
      <c r="M1649" s="16">
        <v>296.41000000000003</v>
      </c>
    </row>
    <row r="1650" spans="1:13" s="5" customFormat="1" x14ac:dyDescent="0.25">
      <c r="A1650" s="12" t="s">
        <v>3174</v>
      </c>
      <c r="B1650" s="13" t="s">
        <v>3175</v>
      </c>
      <c r="C1650" s="14">
        <v>45832</v>
      </c>
      <c r="D1650" s="13">
        <v>2025</v>
      </c>
      <c r="E1650" s="13" t="s">
        <v>14</v>
      </c>
      <c r="F1650" s="13" t="s">
        <v>22</v>
      </c>
      <c r="G1650" s="15">
        <v>1157.32</v>
      </c>
      <c r="H1650" s="15">
        <v>1157.32</v>
      </c>
      <c r="I1650" s="13">
        <v>2</v>
      </c>
      <c r="J1650" s="13">
        <v>2</v>
      </c>
      <c r="K1650" s="13" t="s">
        <v>3348</v>
      </c>
      <c r="L1650" s="15">
        <v>578.66</v>
      </c>
      <c r="M1650" s="16">
        <v>578.66</v>
      </c>
    </row>
    <row r="1651" spans="1:13" s="5" customFormat="1" x14ac:dyDescent="0.25">
      <c r="A1651" s="12" t="s">
        <v>3176</v>
      </c>
      <c r="B1651" s="13" t="s">
        <v>3177</v>
      </c>
      <c r="C1651" s="14">
        <v>45044</v>
      </c>
      <c r="D1651" s="13">
        <v>2023</v>
      </c>
      <c r="E1651" s="13" t="s">
        <v>3347</v>
      </c>
      <c r="F1651" s="13" t="s">
        <v>25</v>
      </c>
      <c r="G1651" s="15"/>
      <c r="H1651" s="15">
        <v>3365.612222222222</v>
      </c>
      <c r="I1651" s="13">
        <v>10</v>
      </c>
      <c r="J1651" s="13">
        <v>10</v>
      </c>
      <c r="K1651" s="13" t="s">
        <v>3346</v>
      </c>
      <c r="L1651" s="15">
        <v>336.56122222222223</v>
      </c>
      <c r="M1651" s="16">
        <v>336.56122222222223</v>
      </c>
    </row>
    <row r="1652" spans="1:13" s="5" customFormat="1" x14ac:dyDescent="0.25">
      <c r="A1652" s="12" t="s">
        <v>3178</v>
      </c>
      <c r="B1652" s="13" t="s">
        <v>3179</v>
      </c>
      <c r="C1652" s="14">
        <v>45800</v>
      </c>
      <c r="D1652" s="13">
        <v>2025</v>
      </c>
      <c r="E1652" s="13" t="s">
        <v>3347</v>
      </c>
      <c r="F1652" s="13" t="s">
        <v>11</v>
      </c>
      <c r="G1652" s="15">
        <v>769.89</v>
      </c>
      <c r="H1652" s="15">
        <v>769.89</v>
      </c>
      <c r="I1652" s="13">
        <v>4</v>
      </c>
      <c r="J1652" s="13">
        <v>4</v>
      </c>
      <c r="K1652" s="13" t="s">
        <v>3346</v>
      </c>
      <c r="L1652" s="15">
        <v>192.4725</v>
      </c>
      <c r="M1652" s="16">
        <v>192.4725</v>
      </c>
    </row>
    <row r="1653" spans="1:13" s="5" customFormat="1" x14ac:dyDescent="0.25">
      <c r="A1653" s="12" t="s">
        <v>3180</v>
      </c>
      <c r="B1653" s="13" t="s">
        <v>1972</v>
      </c>
      <c r="C1653" s="14">
        <v>45336</v>
      </c>
      <c r="D1653" s="13">
        <v>2024</v>
      </c>
      <c r="E1653" s="13" t="s">
        <v>21</v>
      </c>
      <c r="F1653" s="13" t="s">
        <v>25</v>
      </c>
      <c r="G1653" s="15">
        <v>96.93</v>
      </c>
      <c r="H1653" s="15">
        <v>96.93</v>
      </c>
      <c r="I1653" s="13">
        <v>6</v>
      </c>
      <c r="J1653" s="13">
        <v>6</v>
      </c>
      <c r="K1653" s="13" t="s">
        <v>15</v>
      </c>
      <c r="L1653" s="15">
        <v>16.155000000000001</v>
      </c>
      <c r="M1653" s="16">
        <v>16.155000000000001</v>
      </c>
    </row>
    <row r="1654" spans="1:13" s="5" customFormat="1" x14ac:dyDescent="0.25">
      <c r="A1654" s="12" t="s">
        <v>3181</v>
      </c>
      <c r="B1654" s="13" t="s">
        <v>3182</v>
      </c>
      <c r="C1654" s="14">
        <v>45074</v>
      </c>
      <c r="D1654" s="13">
        <v>2023</v>
      </c>
      <c r="E1654" s="13" t="s">
        <v>14</v>
      </c>
      <c r="F1654" s="13" t="s">
        <v>34</v>
      </c>
      <c r="G1654" s="15">
        <v>373.73</v>
      </c>
      <c r="H1654" s="15">
        <v>373.73</v>
      </c>
      <c r="I1654" s="13">
        <v>4</v>
      </c>
      <c r="J1654" s="13">
        <v>4</v>
      </c>
      <c r="K1654" s="13" t="s">
        <v>3346</v>
      </c>
      <c r="L1654" s="15">
        <v>93.432500000000005</v>
      </c>
      <c r="M1654" s="16">
        <v>93.432500000000005</v>
      </c>
    </row>
    <row r="1655" spans="1:13" s="5" customFormat="1" x14ac:dyDescent="0.25">
      <c r="A1655" s="12" t="s">
        <v>3183</v>
      </c>
      <c r="B1655" s="13" t="s">
        <v>1627</v>
      </c>
      <c r="C1655" s="14">
        <v>45030</v>
      </c>
      <c r="D1655" s="13">
        <v>2023</v>
      </c>
      <c r="E1655" s="13" t="s">
        <v>3347</v>
      </c>
      <c r="F1655" s="13" t="s">
        <v>22</v>
      </c>
      <c r="G1655" s="15">
        <v>218.8</v>
      </c>
      <c r="H1655" s="15">
        <v>218.8</v>
      </c>
      <c r="I1655" s="13">
        <v>2</v>
      </c>
      <c r="J1655" s="13">
        <v>2</v>
      </c>
      <c r="K1655" s="13" t="s">
        <v>15</v>
      </c>
      <c r="L1655" s="15">
        <v>109.4</v>
      </c>
      <c r="M1655" s="16">
        <v>109.4</v>
      </c>
    </row>
    <row r="1656" spans="1:13" s="5" customFormat="1" x14ac:dyDescent="0.25">
      <c r="A1656" s="12" t="s">
        <v>3184</v>
      </c>
      <c r="B1656" s="13" t="s">
        <v>3185</v>
      </c>
      <c r="C1656" s="14">
        <v>44940</v>
      </c>
      <c r="D1656" s="13">
        <v>2023</v>
      </c>
      <c r="E1656" s="13" t="s">
        <v>3347</v>
      </c>
      <c r="F1656" s="13" t="s">
        <v>25</v>
      </c>
      <c r="G1656" s="15">
        <v>36.71</v>
      </c>
      <c r="H1656" s="15">
        <v>36.71</v>
      </c>
      <c r="I1656" s="13">
        <v>7</v>
      </c>
      <c r="J1656" s="13">
        <v>7</v>
      </c>
      <c r="K1656" s="13" t="s">
        <v>18</v>
      </c>
      <c r="L1656" s="15">
        <v>5.2442857142857147</v>
      </c>
      <c r="M1656" s="16">
        <v>5.2442857142857147</v>
      </c>
    </row>
    <row r="1657" spans="1:13" s="5" customFormat="1" x14ac:dyDescent="0.25">
      <c r="A1657" s="12" t="s">
        <v>3186</v>
      </c>
      <c r="B1657" s="13" t="s">
        <v>3187</v>
      </c>
      <c r="C1657" s="14">
        <v>45216</v>
      </c>
      <c r="D1657" s="13">
        <v>2023</v>
      </c>
      <c r="E1657" s="13" t="s">
        <v>14</v>
      </c>
      <c r="F1657" s="13" t="s">
        <v>25</v>
      </c>
      <c r="G1657" s="15">
        <v>1109.3800000000001</v>
      </c>
      <c r="H1657" s="15">
        <v>1109.3800000000001</v>
      </c>
      <c r="I1657" s="13"/>
      <c r="J1657" s="13">
        <v>5</v>
      </c>
      <c r="K1657" s="13" t="s">
        <v>35</v>
      </c>
      <c r="L1657" s="15">
        <v>221.87600000000003</v>
      </c>
      <c r="M1657" s="16">
        <v>236.49944444444444</v>
      </c>
    </row>
    <row r="1658" spans="1:13" s="5" customFormat="1" x14ac:dyDescent="0.25">
      <c r="A1658" s="12" t="s">
        <v>3188</v>
      </c>
      <c r="B1658" s="13" t="s">
        <v>229</v>
      </c>
      <c r="C1658" s="14">
        <v>45296</v>
      </c>
      <c r="D1658" s="13">
        <v>2024</v>
      </c>
      <c r="E1658" s="13" t="s">
        <v>3347</v>
      </c>
      <c r="F1658" s="13" t="s">
        <v>22</v>
      </c>
      <c r="G1658" s="15">
        <v>752.85</v>
      </c>
      <c r="H1658" s="15">
        <v>752.85</v>
      </c>
      <c r="I1658" s="13">
        <v>7</v>
      </c>
      <c r="J1658" s="13">
        <v>7</v>
      </c>
      <c r="K1658" s="13" t="s">
        <v>3348</v>
      </c>
      <c r="L1658" s="15">
        <v>107.55</v>
      </c>
      <c r="M1658" s="16">
        <v>107.55</v>
      </c>
    </row>
    <row r="1659" spans="1:13" s="5" customFormat="1" x14ac:dyDescent="0.25">
      <c r="A1659" s="12" t="s">
        <v>3189</v>
      </c>
      <c r="B1659" s="13" t="s">
        <v>2282</v>
      </c>
      <c r="C1659" s="14">
        <v>45257</v>
      </c>
      <c r="D1659" s="13">
        <v>2023</v>
      </c>
      <c r="E1659" s="13" t="s">
        <v>10</v>
      </c>
      <c r="F1659" s="13" t="s">
        <v>25</v>
      </c>
      <c r="G1659" s="15">
        <v>1745.83</v>
      </c>
      <c r="H1659" s="15">
        <v>1745.83</v>
      </c>
      <c r="I1659" s="13">
        <v>7</v>
      </c>
      <c r="J1659" s="13">
        <v>7</v>
      </c>
      <c r="K1659" s="13" t="s">
        <v>18</v>
      </c>
      <c r="L1659" s="15">
        <v>249.40428571428569</v>
      </c>
      <c r="M1659" s="16">
        <v>249.40428571428569</v>
      </c>
    </row>
    <row r="1660" spans="1:13" s="5" customFormat="1" x14ac:dyDescent="0.25">
      <c r="A1660" s="12" t="s">
        <v>3190</v>
      </c>
      <c r="B1660" s="13" t="s">
        <v>3191</v>
      </c>
      <c r="C1660" s="14">
        <v>45040</v>
      </c>
      <c r="D1660" s="13">
        <v>2023</v>
      </c>
      <c r="E1660" s="13" t="s">
        <v>10</v>
      </c>
      <c r="F1660" s="13" t="s">
        <v>22</v>
      </c>
      <c r="G1660" s="15"/>
      <c r="H1660" s="15">
        <v>552.88826666666671</v>
      </c>
      <c r="I1660" s="13">
        <v>2</v>
      </c>
      <c r="J1660" s="13">
        <v>2</v>
      </c>
      <c r="K1660" s="13" t="s">
        <v>15</v>
      </c>
      <c r="L1660" s="15">
        <v>276.44413333333335</v>
      </c>
      <c r="M1660" s="16">
        <v>276.44413333333335</v>
      </c>
    </row>
    <row r="1661" spans="1:13" s="5" customFormat="1" x14ac:dyDescent="0.25">
      <c r="A1661" s="12" t="s">
        <v>3192</v>
      </c>
      <c r="B1661" s="13" t="s">
        <v>119</v>
      </c>
      <c r="C1661" s="14">
        <v>45528</v>
      </c>
      <c r="D1661" s="13">
        <v>2024</v>
      </c>
      <c r="E1661" s="13" t="s">
        <v>21</v>
      </c>
      <c r="F1661" s="13" t="s">
        <v>34</v>
      </c>
      <c r="G1661" s="15">
        <v>1543.93</v>
      </c>
      <c r="H1661" s="15">
        <v>1543.93</v>
      </c>
      <c r="I1661" s="13">
        <v>6</v>
      </c>
      <c r="J1661" s="13">
        <v>6</v>
      </c>
      <c r="K1661" s="13" t="s">
        <v>3348</v>
      </c>
      <c r="L1661" s="15">
        <v>257.32166666666666</v>
      </c>
      <c r="M1661" s="16">
        <v>257.32166666666666</v>
      </c>
    </row>
    <row r="1662" spans="1:13" s="5" customFormat="1" x14ac:dyDescent="0.25">
      <c r="A1662" s="12" t="s">
        <v>3193</v>
      </c>
      <c r="B1662" s="13" t="s">
        <v>2624</v>
      </c>
      <c r="C1662" s="14">
        <v>44896</v>
      </c>
      <c r="D1662" s="13">
        <v>2022</v>
      </c>
      <c r="E1662" s="13" t="s">
        <v>21</v>
      </c>
      <c r="F1662" s="13" t="s">
        <v>11</v>
      </c>
      <c r="G1662" s="15">
        <v>1625.08</v>
      </c>
      <c r="H1662" s="15">
        <v>1625.08</v>
      </c>
      <c r="I1662" s="13">
        <v>7</v>
      </c>
      <c r="J1662" s="13">
        <v>7</v>
      </c>
      <c r="K1662" s="13" t="s">
        <v>18</v>
      </c>
      <c r="L1662" s="15">
        <v>232.15428571428569</v>
      </c>
      <c r="M1662" s="16">
        <v>232.15428571428569</v>
      </c>
    </row>
    <row r="1663" spans="1:13" s="5" customFormat="1" x14ac:dyDescent="0.25">
      <c r="A1663" s="12" t="s">
        <v>3194</v>
      </c>
      <c r="B1663" s="13" t="s">
        <v>3195</v>
      </c>
      <c r="C1663" s="14">
        <v>45361</v>
      </c>
      <c r="D1663" s="13">
        <v>2024</v>
      </c>
      <c r="E1663" s="13" t="s">
        <v>10</v>
      </c>
      <c r="F1663" s="13" t="s">
        <v>22</v>
      </c>
      <c r="G1663" s="15">
        <v>842.26</v>
      </c>
      <c r="H1663" s="15">
        <v>842.26</v>
      </c>
      <c r="I1663" s="13">
        <v>9</v>
      </c>
      <c r="J1663" s="13">
        <v>9</v>
      </c>
      <c r="K1663" s="13" t="s">
        <v>35</v>
      </c>
      <c r="L1663" s="15">
        <v>93.584444444444443</v>
      </c>
      <c r="M1663" s="16">
        <v>93.584444444444443</v>
      </c>
    </row>
    <row r="1664" spans="1:13" s="5" customFormat="1" x14ac:dyDescent="0.25">
      <c r="A1664" s="12" t="s">
        <v>3196</v>
      </c>
      <c r="B1664" s="13" t="s">
        <v>3197</v>
      </c>
      <c r="C1664" s="14">
        <v>44913</v>
      </c>
      <c r="D1664" s="13">
        <v>2022</v>
      </c>
      <c r="E1664" s="13" t="s">
        <v>14</v>
      </c>
      <c r="F1664" s="13" t="s">
        <v>22</v>
      </c>
      <c r="G1664" s="15">
        <v>86.6</v>
      </c>
      <c r="H1664" s="15">
        <v>86.6</v>
      </c>
      <c r="I1664" s="13">
        <v>3</v>
      </c>
      <c r="J1664" s="13">
        <v>3</v>
      </c>
      <c r="K1664" s="13" t="s">
        <v>35</v>
      </c>
      <c r="L1664" s="15">
        <v>28.866666666666664</v>
      </c>
      <c r="M1664" s="16">
        <v>28.866666666666664</v>
      </c>
    </row>
    <row r="1665" spans="1:13" s="5" customFormat="1" x14ac:dyDescent="0.25">
      <c r="A1665" s="12" t="s">
        <v>3198</v>
      </c>
      <c r="B1665" s="13" t="s">
        <v>3199</v>
      </c>
      <c r="C1665" s="14">
        <v>45314</v>
      </c>
      <c r="D1665" s="13">
        <v>2024</v>
      </c>
      <c r="E1665" s="13" t="s">
        <v>21</v>
      </c>
      <c r="F1665" s="13" t="s">
        <v>22</v>
      </c>
      <c r="G1665" s="15">
        <v>1395.64</v>
      </c>
      <c r="H1665" s="15">
        <v>1395.64</v>
      </c>
      <c r="I1665" s="13">
        <v>6</v>
      </c>
      <c r="J1665" s="13">
        <v>6</v>
      </c>
      <c r="K1665" s="13" t="s">
        <v>18</v>
      </c>
      <c r="L1665" s="15">
        <v>232.60666666666668</v>
      </c>
      <c r="M1665" s="16">
        <v>232.60666666666668</v>
      </c>
    </row>
    <row r="1666" spans="1:13" s="5" customFormat="1" x14ac:dyDescent="0.25">
      <c r="A1666" s="12" t="s">
        <v>3200</v>
      </c>
      <c r="B1666" s="13" t="s">
        <v>3201</v>
      </c>
      <c r="C1666" s="14">
        <v>45903</v>
      </c>
      <c r="D1666" s="13">
        <v>2025</v>
      </c>
      <c r="E1666" s="13" t="s">
        <v>10</v>
      </c>
      <c r="F1666" s="13" t="s">
        <v>22</v>
      </c>
      <c r="G1666" s="15">
        <v>1255.53</v>
      </c>
      <c r="H1666" s="15">
        <v>1255.53</v>
      </c>
      <c r="I1666" s="13">
        <v>7</v>
      </c>
      <c r="J1666" s="13">
        <v>7</v>
      </c>
      <c r="K1666" s="13" t="s">
        <v>18</v>
      </c>
      <c r="L1666" s="15">
        <v>179.36142857142858</v>
      </c>
      <c r="M1666" s="16">
        <v>179.36142857142858</v>
      </c>
    </row>
    <row r="1667" spans="1:13" s="5" customFormat="1" x14ac:dyDescent="0.25">
      <c r="A1667" s="12" t="s">
        <v>3202</v>
      </c>
      <c r="B1667" s="13" t="s">
        <v>1623</v>
      </c>
      <c r="C1667" s="14">
        <v>45369</v>
      </c>
      <c r="D1667" s="13">
        <v>2024</v>
      </c>
      <c r="E1667" s="13" t="s">
        <v>3347</v>
      </c>
      <c r="F1667" s="13" t="s">
        <v>34</v>
      </c>
      <c r="G1667" s="15">
        <v>1974.37</v>
      </c>
      <c r="H1667" s="15">
        <v>1974.37</v>
      </c>
      <c r="I1667" s="13">
        <v>4</v>
      </c>
      <c r="J1667" s="13">
        <v>4</v>
      </c>
      <c r="K1667" s="13" t="s">
        <v>3346</v>
      </c>
      <c r="L1667" s="15">
        <v>493.59249999999997</v>
      </c>
      <c r="M1667" s="16">
        <v>493.59249999999997</v>
      </c>
    </row>
    <row r="1668" spans="1:13" s="5" customFormat="1" x14ac:dyDescent="0.25">
      <c r="A1668" s="12" t="s">
        <v>3203</v>
      </c>
      <c r="B1668" s="13" t="s">
        <v>3204</v>
      </c>
      <c r="C1668" s="14">
        <v>44943</v>
      </c>
      <c r="D1668" s="13">
        <v>2023</v>
      </c>
      <c r="E1668" s="13" t="s">
        <v>14</v>
      </c>
      <c r="F1668" s="13" t="s">
        <v>11</v>
      </c>
      <c r="G1668" s="15">
        <v>1818.76</v>
      </c>
      <c r="H1668" s="15">
        <v>1818.76</v>
      </c>
      <c r="I1668" s="13">
        <v>2</v>
      </c>
      <c r="J1668" s="13">
        <v>2</v>
      </c>
      <c r="K1668" s="13" t="s">
        <v>3348</v>
      </c>
      <c r="L1668" s="15">
        <v>909.38</v>
      </c>
      <c r="M1668" s="16">
        <v>909.38</v>
      </c>
    </row>
    <row r="1669" spans="1:13" s="5" customFormat="1" x14ac:dyDescent="0.25">
      <c r="A1669" s="12" t="s">
        <v>3205</v>
      </c>
      <c r="B1669" s="13" t="s">
        <v>3206</v>
      </c>
      <c r="C1669" s="14">
        <v>45742</v>
      </c>
      <c r="D1669" s="13">
        <v>2025</v>
      </c>
      <c r="E1669" s="13" t="s">
        <v>10</v>
      </c>
      <c r="F1669" s="13" t="s">
        <v>11</v>
      </c>
      <c r="G1669" s="15">
        <v>468.67</v>
      </c>
      <c r="H1669" s="15">
        <v>468.67</v>
      </c>
      <c r="I1669" s="13">
        <v>6</v>
      </c>
      <c r="J1669" s="13">
        <v>6</v>
      </c>
      <c r="K1669" s="13" t="s">
        <v>35</v>
      </c>
      <c r="L1669" s="15">
        <v>78.111666666666665</v>
      </c>
      <c r="M1669" s="16">
        <v>78.111666666666665</v>
      </c>
    </row>
    <row r="1670" spans="1:13" s="5" customFormat="1" x14ac:dyDescent="0.25">
      <c r="A1670" s="12" t="s">
        <v>3207</v>
      </c>
      <c r="B1670" s="13" t="s">
        <v>3208</v>
      </c>
      <c r="C1670" s="14">
        <v>45007</v>
      </c>
      <c r="D1670" s="13">
        <v>2023</v>
      </c>
      <c r="E1670" s="13" t="s">
        <v>10</v>
      </c>
      <c r="F1670" s="13" t="s">
        <v>22</v>
      </c>
      <c r="G1670" s="15">
        <v>1318.27</v>
      </c>
      <c r="H1670" s="15">
        <v>1318.27</v>
      </c>
      <c r="I1670" s="13">
        <v>6</v>
      </c>
      <c r="J1670" s="13">
        <v>6</v>
      </c>
      <c r="K1670" s="13" t="s">
        <v>35</v>
      </c>
      <c r="L1670" s="15">
        <v>219.71166666666667</v>
      </c>
      <c r="M1670" s="16">
        <v>219.71166666666667</v>
      </c>
    </row>
    <row r="1671" spans="1:13" s="5" customFormat="1" x14ac:dyDescent="0.25">
      <c r="A1671" s="12" t="s">
        <v>3209</v>
      </c>
      <c r="B1671" s="13" t="s">
        <v>3210</v>
      </c>
      <c r="C1671" s="14">
        <v>45453</v>
      </c>
      <c r="D1671" s="13">
        <v>2024</v>
      </c>
      <c r="E1671" s="13" t="s">
        <v>21</v>
      </c>
      <c r="F1671" s="13" t="s">
        <v>25</v>
      </c>
      <c r="G1671" s="15">
        <v>1653.92</v>
      </c>
      <c r="H1671" s="15">
        <v>1653.92</v>
      </c>
      <c r="I1671" s="13">
        <v>4</v>
      </c>
      <c r="J1671" s="13">
        <v>4</v>
      </c>
      <c r="K1671" s="13" t="s">
        <v>3346</v>
      </c>
      <c r="L1671" s="15">
        <v>413.48</v>
      </c>
      <c r="M1671" s="16">
        <v>413.48</v>
      </c>
    </row>
    <row r="1672" spans="1:13" s="5" customFormat="1" x14ac:dyDescent="0.25">
      <c r="A1672" s="12" t="s">
        <v>3211</v>
      </c>
      <c r="B1672" s="13" t="s">
        <v>3212</v>
      </c>
      <c r="C1672" s="14">
        <v>44970</v>
      </c>
      <c r="D1672" s="13">
        <v>2023</v>
      </c>
      <c r="E1672" s="13" t="s">
        <v>10</v>
      </c>
      <c r="F1672" s="13" t="s">
        <v>22</v>
      </c>
      <c r="G1672" s="15">
        <v>149.38</v>
      </c>
      <c r="H1672" s="15">
        <v>149.38</v>
      </c>
      <c r="I1672" s="13">
        <v>5</v>
      </c>
      <c r="J1672" s="13">
        <v>5</v>
      </c>
      <c r="K1672" s="13" t="s">
        <v>15</v>
      </c>
      <c r="L1672" s="15">
        <v>29.875999999999998</v>
      </c>
      <c r="M1672" s="16">
        <v>29.875999999999998</v>
      </c>
    </row>
    <row r="1673" spans="1:13" s="5" customFormat="1" x14ac:dyDescent="0.25">
      <c r="A1673" s="12" t="s">
        <v>3213</v>
      </c>
      <c r="B1673" s="13" t="s">
        <v>2338</v>
      </c>
      <c r="C1673" s="14">
        <v>45259</v>
      </c>
      <c r="D1673" s="13">
        <v>2023</v>
      </c>
      <c r="E1673" s="13" t="s">
        <v>21</v>
      </c>
      <c r="F1673" s="13" t="s">
        <v>22</v>
      </c>
      <c r="G1673" s="15">
        <v>1908.78</v>
      </c>
      <c r="H1673" s="15">
        <v>1908.78</v>
      </c>
      <c r="I1673" s="13">
        <v>9</v>
      </c>
      <c r="J1673" s="13">
        <v>9</v>
      </c>
      <c r="K1673" s="13" t="s">
        <v>3348</v>
      </c>
      <c r="L1673" s="15">
        <v>212.08666666666667</v>
      </c>
      <c r="M1673" s="16">
        <v>212.08666666666667</v>
      </c>
    </row>
    <row r="1674" spans="1:13" s="5" customFormat="1" x14ac:dyDescent="0.25">
      <c r="A1674" s="12" t="s">
        <v>3214</v>
      </c>
      <c r="B1674" s="13" t="s">
        <v>3215</v>
      </c>
      <c r="C1674" s="14">
        <v>45587</v>
      </c>
      <c r="D1674" s="13">
        <v>2024</v>
      </c>
      <c r="E1674" s="13" t="s">
        <v>10</v>
      </c>
      <c r="F1674" s="13" t="s">
        <v>11</v>
      </c>
      <c r="G1674" s="15"/>
      <c r="H1674" s="15">
        <v>1196.838611111111</v>
      </c>
      <c r="I1674" s="13">
        <v>5</v>
      </c>
      <c r="J1674" s="13">
        <v>5</v>
      </c>
      <c r="K1674" s="13" t="s">
        <v>3346</v>
      </c>
      <c r="L1674" s="15">
        <v>239.3677222222222</v>
      </c>
      <c r="M1674" s="16">
        <v>239.36772222222223</v>
      </c>
    </row>
    <row r="1675" spans="1:13" s="5" customFormat="1" x14ac:dyDescent="0.25">
      <c r="A1675" s="12" t="s">
        <v>3216</v>
      </c>
      <c r="B1675" s="13" t="s">
        <v>3217</v>
      </c>
      <c r="C1675" s="14">
        <v>45195</v>
      </c>
      <c r="D1675" s="13">
        <v>2023</v>
      </c>
      <c r="E1675" s="13" t="s">
        <v>10</v>
      </c>
      <c r="F1675" s="13" t="s">
        <v>11</v>
      </c>
      <c r="G1675" s="15">
        <v>1428.96</v>
      </c>
      <c r="H1675" s="15">
        <v>1428.96</v>
      </c>
      <c r="I1675" s="13">
        <v>5</v>
      </c>
      <c r="J1675" s="13">
        <v>5</v>
      </c>
      <c r="K1675" s="13" t="s">
        <v>3346</v>
      </c>
      <c r="L1675" s="15">
        <v>285.79200000000003</v>
      </c>
      <c r="M1675" s="16">
        <v>285.79200000000003</v>
      </c>
    </row>
    <row r="1676" spans="1:13" s="5" customFormat="1" x14ac:dyDescent="0.25">
      <c r="A1676" s="12" t="s">
        <v>3218</v>
      </c>
      <c r="B1676" s="13" t="s">
        <v>3219</v>
      </c>
      <c r="C1676" s="14">
        <v>45785</v>
      </c>
      <c r="D1676" s="13">
        <v>2025</v>
      </c>
      <c r="E1676" s="13" t="s">
        <v>3347</v>
      </c>
      <c r="F1676" s="13" t="s">
        <v>22</v>
      </c>
      <c r="G1676" s="15"/>
      <c r="H1676" s="15">
        <v>431.69513945578234</v>
      </c>
      <c r="I1676" s="13">
        <v>1</v>
      </c>
      <c r="J1676" s="13">
        <v>1</v>
      </c>
      <c r="K1676" s="13" t="s">
        <v>3346</v>
      </c>
      <c r="L1676" s="15">
        <v>431.69513945578234</v>
      </c>
      <c r="M1676" s="16">
        <v>431.69513945578234</v>
      </c>
    </row>
    <row r="1677" spans="1:13" s="5" customFormat="1" x14ac:dyDescent="0.25">
      <c r="A1677" s="12" t="s">
        <v>3220</v>
      </c>
      <c r="B1677" s="13" t="s">
        <v>3221</v>
      </c>
      <c r="C1677" s="14">
        <v>45306</v>
      </c>
      <c r="D1677" s="13">
        <v>2024</v>
      </c>
      <c r="E1677" s="13" t="s">
        <v>3347</v>
      </c>
      <c r="F1677" s="13" t="s">
        <v>34</v>
      </c>
      <c r="G1677" s="15">
        <v>338.36</v>
      </c>
      <c r="H1677" s="15">
        <v>338.36</v>
      </c>
      <c r="I1677" s="13">
        <v>6</v>
      </c>
      <c r="J1677" s="13">
        <v>6</v>
      </c>
      <c r="K1677" s="13" t="s">
        <v>18</v>
      </c>
      <c r="L1677" s="15">
        <v>56.393333333333338</v>
      </c>
      <c r="M1677" s="16">
        <v>56.393333333333338</v>
      </c>
    </row>
    <row r="1678" spans="1:13" s="5" customFormat="1" x14ac:dyDescent="0.25">
      <c r="A1678" s="12" t="s">
        <v>3222</v>
      </c>
      <c r="B1678" s="13" t="s">
        <v>3223</v>
      </c>
      <c r="C1678" s="14">
        <v>45665</v>
      </c>
      <c r="D1678" s="13">
        <v>2025</v>
      </c>
      <c r="E1678" s="13" t="s">
        <v>14</v>
      </c>
      <c r="F1678" s="13" t="s">
        <v>22</v>
      </c>
      <c r="G1678" s="15">
        <v>1535.68</v>
      </c>
      <c r="H1678" s="15">
        <v>1535.68</v>
      </c>
      <c r="I1678" s="13">
        <v>9</v>
      </c>
      <c r="J1678" s="13">
        <v>9</v>
      </c>
      <c r="K1678" s="13" t="s">
        <v>18</v>
      </c>
      <c r="L1678" s="15">
        <v>170.63111111111112</v>
      </c>
      <c r="M1678" s="16">
        <v>170.63111111111112</v>
      </c>
    </row>
    <row r="1679" spans="1:13" s="5" customFormat="1" x14ac:dyDescent="0.25">
      <c r="A1679" s="12" t="s">
        <v>3224</v>
      </c>
      <c r="B1679" s="13" t="s">
        <v>3225</v>
      </c>
      <c r="C1679" s="14">
        <v>44986</v>
      </c>
      <c r="D1679" s="13">
        <v>2023</v>
      </c>
      <c r="E1679" s="13" t="s">
        <v>14</v>
      </c>
      <c r="F1679" s="13" t="s">
        <v>22</v>
      </c>
      <c r="G1679" s="15">
        <v>935.5</v>
      </c>
      <c r="H1679" s="15">
        <v>935.5</v>
      </c>
      <c r="I1679" s="13">
        <v>3</v>
      </c>
      <c r="J1679" s="13">
        <v>3</v>
      </c>
      <c r="K1679" s="13" t="s">
        <v>3346</v>
      </c>
      <c r="L1679" s="15">
        <v>311.83333333333331</v>
      </c>
      <c r="M1679" s="16">
        <v>311.83333333333331</v>
      </c>
    </row>
    <row r="1680" spans="1:13" s="5" customFormat="1" x14ac:dyDescent="0.25">
      <c r="A1680" s="12" t="s">
        <v>3226</v>
      </c>
      <c r="B1680" s="13" t="s">
        <v>3227</v>
      </c>
      <c r="C1680" s="14">
        <v>45712</v>
      </c>
      <c r="D1680" s="13">
        <v>2025</v>
      </c>
      <c r="E1680" s="13" t="s">
        <v>10</v>
      </c>
      <c r="F1680" s="13" t="s">
        <v>11</v>
      </c>
      <c r="G1680" s="15">
        <v>1301.1400000000001</v>
      </c>
      <c r="H1680" s="15">
        <v>1301.1400000000001</v>
      </c>
      <c r="I1680" s="13">
        <v>8</v>
      </c>
      <c r="J1680" s="13">
        <v>8</v>
      </c>
      <c r="K1680" s="13" t="s">
        <v>18</v>
      </c>
      <c r="L1680" s="15">
        <v>162.64250000000001</v>
      </c>
      <c r="M1680" s="16">
        <v>162.64250000000001</v>
      </c>
    </row>
    <row r="1681" spans="1:13" s="5" customFormat="1" x14ac:dyDescent="0.25">
      <c r="A1681" s="12" t="s">
        <v>3228</v>
      </c>
      <c r="B1681" s="13" t="s">
        <v>3229</v>
      </c>
      <c r="C1681" s="14">
        <v>45819</v>
      </c>
      <c r="D1681" s="13">
        <v>2025</v>
      </c>
      <c r="E1681" s="13" t="s">
        <v>3347</v>
      </c>
      <c r="F1681" s="13" t="s">
        <v>22</v>
      </c>
      <c r="G1681" s="15">
        <v>1718.36</v>
      </c>
      <c r="H1681" s="15">
        <v>1718.36</v>
      </c>
      <c r="I1681" s="13"/>
      <c r="J1681" s="13">
        <v>1</v>
      </c>
      <c r="K1681" s="13" t="s">
        <v>35</v>
      </c>
      <c r="L1681" s="15">
        <v>1718.36</v>
      </c>
      <c r="M1681" s="16">
        <v>1470.11</v>
      </c>
    </row>
    <row r="1682" spans="1:13" s="5" customFormat="1" x14ac:dyDescent="0.25">
      <c r="A1682" s="12" t="s">
        <v>3230</v>
      </c>
      <c r="B1682" s="13" t="s">
        <v>3231</v>
      </c>
      <c r="C1682" s="14">
        <v>44872</v>
      </c>
      <c r="D1682" s="13">
        <v>2022</v>
      </c>
      <c r="E1682" s="13" t="s">
        <v>14</v>
      </c>
      <c r="F1682" s="13" t="s">
        <v>34</v>
      </c>
      <c r="G1682" s="15">
        <v>1235.58</v>
      </c>
      <c r="H1682" s="15">
        <v>1235.58</v>
      </c>
      <c r="I1682" s="13">
        <v>9</v>
      </c>
      <c r="J1682" s="13">
        <v>9</v>
      </c>
      <c r="K1682" s="13" t="s">
        <v>35</v>
      </c>
      <c r="L1682" s="15">
        <v>137.28666666666666</v>
      </c>
      <c r="M1682" s="16">
        <v>137.28666666666666</v>
      </c>
    </row>
    <row r="1683" spans="1:13" s="5" customFormat="1" x14ac:dyDescent="0.25">
      <c r="A1683" s="12" t="s">
        <v>3232</v>
      </c>
      <c r="B1683" s="13" t="s">
        <v>3233</v>
      </c>
      <c r="C1683" s="14">
        <v>45465</v>
      </c>
      <c r="D1683" s="13">
        <v>2024</v>
      </c>
      <c r="E1683" s="13" t="s">
        <v>3347</v>
      </c>
      <c r="F1683" s="13" t="s">
        <v>22</v>
      </c>
      <c r="G1683" s="15">
        <v>988.52</v>
      </c>
      <c r="H1683" s="15">
        <v>988.52</v>
      </c>
      <c r="I1683" s="13">
        <v>10</v>
      </c>
      <c r="J1683" s="13">
        <v>10</v>
      </c>
      <c r="K1683" s="13" t="s">
        <v>18</v>
      </c>
      <c r="L1683" s="15">
        <v>98.852000000000004</v>
      </c>
      <c r="M1683" s="16">
        <v>98.852000000000004</v>
      </c>
    </row>
    <row r="1684" spans="1:13" s="5" customFormat="1" x14ac:dyDescent="0.25">
      <c r="A1684" s="12" t="s">
        <v>3234</v>
      </c>
      <c r="B1684" s="13" t="s">
        <v>3235</v>
      </c>
      <c r="C1684" s="14">
        <v>45540</v>
      </c>
      <c r="D1684" s="13">
        <v>2024</v>
      </c>
      <c r="E1684" s="13" t="s">
        <v>10</v>
      </c>
      <c r="F1684" s="13" t="s">
        <v>22</v>
      </c>
      <c r="G1684" s="15">
        <v>216.2</v>
      </c>
      <c r="H1684" s="15">
        <v>216.2</v>
      </c>
      <c r="I1684" s="13">
        <v>10</v>
      </c>
      <c r="J1684" s="13">
        <v>10</v>
      </c>
      <c r="K1684" s="13" t="s">
        <v>3346</v>
      </c>
      <c r="L1684" s="15">
        <v>21.619999999999997</v>
      </c>
      <c r="M1684" s="16">
        <v>21.619999999999997</v>
      </c>
    </row>
    <row r="1685" spans="1:13" s="5" customFormat="1" x14ac:dyDescent="0.25">
      <c r="A1685" s="12" t="s">
        <v>3236</v>
      </c>
      <c r="B1685" s="13" t="s">
        <v>3237</v>
      </c>
      <c r="C1685" s="14">
        <v>44938</v>
      </c>
      <c r="D1685" s="13">
        <v>2023</v>
      </c>
      <c r="E1685" s="13" t="s">
        <v>14</v>
      </c>
      <c r="F1685" s="13" t="s">
        <v>25</v>
      </c>
      <c r="G1685" s="15">
        <v>1726.82</v>
      </c>
      <c r="H1685" s="15">
        <v>1726.82</v>
      </c>
      <c r="I1685" s="13">
        <v>9</v>
      </c>
      <c r="J1685" s="13">
        <v>9</v>
      </c>
      <c r="K1685" s="13" t="s">
        <v>3346</v>
      </c>
      <c r="L1685" s="15">
        <v>191.86888888888888</v>
      </c>
      <c r="M1685" s="16">
        <v>191.86888888888888</v>
      </c>
    </row>
    <row r="1686" spans="1:13" s="5" customFormat="1" x14ac:dyDescent="0.25">
      <c r="A1686" s="12" t="s">
        <v>3238</v>
      </c>
      <c r="B1686" s="13" t="s">
        <v>3239</v>
      </c>
      <c r="C1686" s="14">
        <v>45732</v>
      </c>
      <c r="D1686" s="13">
        <v>2025</v>
      </c>
      <c r="E1686" s="13" t="s">
        <v>10</v>
      </c>
      <c r="F1686" s="13" t="s">
        <v>22</v>
      </c>
      <c r="G1686" s="15">
        <v>1069.43</v>
      </c>
      <c r="H1686" s="15">
        <v>1069.43</v>
      </c>
      <c r="I1686" s="13">
        <v>6</v>
      </c>
      <c r="J1686" s="13">
        <v>6</v>
      </c>
      <c r="K1686" s="13" t="s">
        <v>3346</v>
      </c>
      <c r="L1686" s="15">
        <v>178.23833333333334</v>
      </c>
      <c r="M1686" s="16">
        <v>178.23833333333334</v>
      </c>
    </row>
    <row r="1687" spans="1:13" s="5" customFormat="1" x14ac:dyDescent="0.25">
      <c r="A1687" s="12" t="s">
        <v>3240</v>
      </c>
      <c r="B1687" s="13" t="s">
        <v>3241</v>
      </c>
      <c r="C1687" s="14">
        <v>45144</v>
      </c>
      <c r="D1687" s="13">
        <v>2023</v>
      </c>
      <c r="E1687" s="13" t="s">
        <v>14</v>
      </c>
      <c r="F1687" s="13" t="s">
        <v>11</v>
      </c>
      <c r="G1687" s="15">
        <v>1512.3</v>
      </c>
      <c r="H1687" s="15">
        <v>1512.3</v>
      </c>
      <c r="I1687" s="13">
        <v>2</v>
      </c>
      <c r="J1687" s="13">
        <v>2</v>
      </c>
      <c r="K1687" s="13" t="s">
        <v>3348</v>
      </c>
      <c r="L1687" s="15">
        <v>756.15</v>
      </c>
      <c r="M1687" s="16">
        <v>756.15</v>
      </c>
    </row>
    <row r="1688" spans="1:13" s="5" customFormat="1" x14ac:dyDescent="0.25">
      <c r="A1688" s="12" t="s">
        <v>3242</v>
      </c>
      <c r="B1688" s="13" t="s">
        <v>3243</v>
      </c>
      <c r="C1688" s="14">
        <v>45470</v>
      </c>
      <c r="D1688" s="13">
        <v>2024</v>
      </c>
      <c r="E1688" s="13" t="s">
        <v>3347</v>
      </c>
      <c r="F1688" s="13" t="s">
        <v>25</v>
      </c>
      <c r="G1688" s="15">
        <v>1496.68</v>
      </c>
      <c r="H1688" s="15">
        <v>1496.68</v>
      </c>
      <c r="I1688" s="13">
        <v>2</v>
      </c>
      <c r="J1688" s="13">
        <v>2</v>
      </c>
      <c r="K1688" s="13" t="s">
        <v>35</v>
      </c>
      <c r="L1688" s="15">
        <v>748.34</v>
      </c>
      <c r="M1688" s="16">
        <v>748.34</v>
      </c>
    </row>
    <row r="1689" spans="1:13" s="5" customFormat="1" x14ac:dyDescent="0.25">
      <c r="A1689" s="12" t="s">
        <v>3244</v>
      </c>
      <c r="B1689" s="13" t="s">
        <v>3245</v>
      </c>
      <c r="C1689" s="14">
        <v>45790</v>
      </c>
      <c r="D1689" s="13">
        <v>2025</v>
      </c>
      <c r="E1689" s="13" t="s">
        <v>10</v>
      </c>
      <c r="F1689" s="13" t="s">
        <v>34</v>
      </c>
      <c r="G1689" s="15">
        <v>351.52</v>
      </c>
      <c r="H1689" s="15">
        <v>351.52</v>
      </c>
      <c r="I1689" s="13"/>
      <c r="J1689" s="13">
        <v>10</v>
      </c>
      <c r="K1689" s="13" t="s">
        <v>15</v>
      </c>
      <c r="L1689" s="15">
        <v>29.293333333333333</v>
      </c>
      <c r="M1689" s="16">
        <v>30.049999999999997</v>
      </c>
    </row>
    <row r="1690" spans="1:13" s="5" customFormat="1" x14ac:dyDescent="0.25">
      <c r="A1690" s="12" t="s">
        <v>3246</v>
      </c>
      <c r="B1690" s="13" t="s">
        <v>534</v>
      </c>
      <c r="C1690" s="14">
        <v>45774</v>
      </c>
      <c r="D1690" s="13">
        <v>2025</v>
      </c>
      <c r="E1690" s="13" t="s">
        <v>10</v>
      </c>
      <c r="F1690" s="13" t="s">
        <v>11</v>
      </c>
      <c r="G1690" s="15">
        <v>417.51</v>
      </c>
      <c r="H1690" s="15">
        <v>417.51</v>
      </c>
      <c r="I1690" s="13">
        <v>10</v>
      </c>
      <c r="J1690" s="13">
        <v>10</v>
      </c>
      <c r="K1690" s="13" t="s">
        <v>18</v>
      </c>
      <c r="L1690" s="15">
        <v>41.750999999999998</v>
      </c>
      <c r="M1690" s="16">
        <v>41.750999999999998</v>
      </c>
    </row>
    <row r="1691" spans="1:13" s="5" customFormat="1" x14ac:dyDescent="0.25">
      <c r="A1691" s="12" t="s">
        <v>3247</v>
      </c>
      <c r="B1691" s="13" t="s">
        <v>3248</v>
      </c>
      <c r="C1691" s="14">
        <v>45215</v>
      </c>
      <c r="D1691" s="13">
        <v>2023</v>
      </c>
      <c r="E1691" s="13" t="s">
        <v>10</v>
      </c>
      <c r="F1691" s="13" t="s">
        <v>11</v>
      </c>
      <c r="G1691" s="15">
        <v>1896.95</v>
      </c>
      <c r="H1691" s="15">
        <v>1896.95</v>
      </c>
      <c r="I1691" s="13">
        <v>1</v>
      </c>
      <c r="J1691" s="13">
        <v>1</v>
      </c>
      <c r="K1691" s="13" t="s">
        <v>15</v>
      </c>
      <c r="L1691" s="15">
        <v>1896.95</v>
      </c>
      <c r="M1691" s="16">
        <v>1896.95</v>
      </c>
    </row>
    <row r="1692" spans="1:13" s="5" customFormat="1" x14ac:dyDescent="0.25">
      <c r="A1692" s="12" t="s">
        <v>3249</v>
      </c>
      <c r="B1692" s="13" t="s">
        <v>3250</v>
      </c>
      <c r="C1692" s="14">
        <v>44971</v>
      </c>
      <c r="D1692" s="13">
        <v>2023</v>
      </c>
      <c r="E1692" s="13" t="s">
        <v>21</v>
      </c>
      <c r="F1692" s="13" t="s">
        <v>22</v>
      </c>
      <c r="G1692" s="15">
        <v>444.84</v>
      </c>
      <c r="H1692" s="15">
        <v>444.84</v>
      </c>
      <c r="I1692" s="13"/>
      <c r="J1692" s="13">
        <v>3</v>
      </c>
      <c r="K1692" s="13" t="s">
        <v>18</v>
      </c>
      <c r="L1692" s="15">
        <v>148.28</v>
      </c>
      <c r="M1692" s="16">
        <v>167.28291666666667</v>
      </c>
    </row>
    <row r="1693" spans="1:13" s="5" customFormat="1" x14ac:dyDescent="0.25">
      <c r="A1693" s="12" t="s">
        <v>3251</v>
      </c>
      <c r="B1693" s="13" t="s">
        <v>3252</v>
      </c>
      <c r="C1693" s="14">
        <v>45167</v>
      </c>
      <c r="D1693" s="13">
        <v>2023</v>
      </c>
      <c r="E1693" s="13" t="s">
        <v>14</v>
      </c>
      <c r="F1693" s="13" t="s">
        <v>25</v>
      </c>
      <c r="G1693" s="15">
        <v>1920.86</v>
      </c>
      <c r="H1693" s="15">
        <v>1920.86</v>
      </c>
      <c r="I1693" s="13"/>
      <c r="J1693" s="13">
        <v>4</v>
      </c>
      <c r="K1693" s="13" t="s">
        <v>18</v>
      </c>
      <c r="L1693" s="15">
        <v>480.21499999999997</v>
      </c>
      <c r="M1693" s="16">
        <v>500.10511666666662</v>
      </c>
    </row>
    <row r="1694" spans="1:13" s="5" customFormat="1" x14ac:dyDescent="0.25">
      <c r="A1694" s="12" t="s">
        <v>3253</v>
      </c>
      <c r="B1694" s="13" t="s">
        <v>3254</v>
      </c>
      <c r="C1694" s="14">
        <v>45131</v>
      </c>
      <c r="D1694" s="13">
        <v>2023</v>
      </c>
      <c r="E1694" s="13" t="s">
        <v>3347</v>
      </c>
      <c r="F1694" s="13" t="s">
        <v>34</v>
      </c>
      <c r="G1694" s="15">
        <v>413.18</v>
      </c>
      <c r="H1694" s="15">
        <v>413.18</v>
      </c>
      <c r="I1694" s="13"/>
      <c r="J1694" s="13">
        <v>1</v>
      </c>
      <c r="K1694" s="13" t="s">
        <v>3346</v>
      </c>
      <c r="L1694" s="15">
        <v>413.18</v>
      </c>
      <c r="M1694" s="16">
        <v>351.6691851851852</v>
      </c>
    </row>
    <row r="1695" spans="1:13" s="5" customFormat="1" x14ac:dyDescent="0.25">
      <c r="A1695" s="12" t="s">
        <v>3255</v>
      </c>
      <c r="B1695" s="13" t="s">
        <v>2880</v>
      </c>
      <c r="C1695" s="14">
        <v>45683</v>
      </c>
      <c r="D1695" s="13">
        <v>2025</v>
      </c>
      <c r="E1695" s="13" t="s">
        <v>10</v>
      </c>
      <c r="F1695" s="13" t="s">
        <v>34</v>
      </c>
      <c r="G1695" s="15">
        <v>493.86</v>
      </c>
      <c r="H1695" s="15">
        <v>493.86</v>
      </c>
      <c r="I1695" s="13">
        <v>6</v>
      </c>
      <c r="J1695" s="13">
        <v>6</v>
      </c>
      <c r="K1695" s="13" t="s">
        <v>3348</v>
      </c>
      <c r="L1695" s="15">
        <v>82.31</v>
      </c>
      <c r="M1695" s="16">
        <v>82.31</v>
      </c>
    </row>
    <row r="1696" spans="1:13" s="5" customFormat="1" x14ac:dyDescent="0.25">
      <c r="A1696" s="12" t="s">
        <v>3256</v>
      </c>
      <c r="B1696" s="13" t="s">
        <v>3257</v>
      </c>
      <c r="C1696" s="14">
        <v>45916</v>
      </c>
      <c r="D1696" s="13">
        <v>2025</v>
      </c>
      <c r="E1696" s="13" t="s">
        <v>21</v>
      </c>
      <c r="F1696" s="13" t="s">
        <v>34</v>
      </c>
      <c r="G1696" s="15">
        <v>1798.18</v>
      </c>
      <c r="H1696" s="15">
        <v>1798.18</v>
      </c>
      <c r="I1696" s="13">
        <v>4</v>
      </c>
      <c r="J1696" s="13">
        <v>4</v>
      </c>
      <c r="K1696" s="13" t="s">
        <v>3348</v>
      </c>
      <c r="L1696" s="15">
        <v>449.54500000000002</v>
      </c>
      <c r="M1696" s="16">
        <v>449.54500000000002</v>
      </c>
    </row>
    <row r="1697" spans="1:13" s="5" customFormat="1" x14ac:dyDescent="0.25">
      <c r="A1697" s="12" t="s">
        <v>3258</v>
      </c>
      <c r="B1697" s="13" t="s">
        <v>3259</v>
      </c>
      <c r="C1697" s="14">
        <v>44994</v>
      </c>
      <c r="D1697" s="13">
        <v>2023</v>
      </c>
      <c r="E1697" s="13" t="s">
        <v>10</v>
      </c>
      <c r="F1697" s="13" t="s">
        <v>11</v>
      </c>
      <c r="G1697" s="15">
        <v>113.08</v>
      </c>
      <c r="H1697" s="15">
        <v>113.08</v>
      </c>
      <c r="I1697" s="13">
        <v>10</v>
      </c>
      <c r="J1697" s="13">
        <v>10</v>
      </c>
      <c r="K1697" s="13" t="s">
        <v>3348</v>
      </c>
      <c r="L1697" s="15">
        <v>11.308</v>
      </c>
      <c r="M1697" s="16">
        <v>11.308</v>
      </c>
    </row>
    <row r="1698" spans="1:13" s="5" customFormat="1" x14ac:dyDescent="0.25">
      <c r="A1698" s="12" t="s">
        <v>3260</v>
      </c>
      <c r="B1698" s="13" t="s">
        <v>3261</v>
      </c>
      <c r="C1698" s="14">
        <v>44933</v>
      </c>
      <c r="D1698" s="13">
        <v>2023</v>
      </c>
      <c r="E1698" s="13" t="s">
        <v>21</v>
      </c>
      <c r="F1698" s="13" t="s">
        <v>22</v>
      </c>
      <c r="G1698" s="15">
        <v>1520.77</v>
      </c>
      <c r="H1698" s="15">
        <v>1520.77</v>
      </c>
      <c r="I1698" s="13"/>
      <c r="J1698" s="13">
        <v>6</v>
      </c>
      <c r="K1698" s="13" t="s">
        <v>3348</v>
      </c>
      <c r="L1698" s="15">
        <v>253.46166666666667</v>
      </c>
      <c r="M1698" s="16">
        <v>253.30313492063493</v>
      </c>
    </row>
    <row r="1699" spans="1:13" s="5" customFormat="1" x14ac:dyDescent="0.25">
      <c r="A1699" s="12" t="s">
        <v>3262</v>
      </c>
      <c r="B1699" s="13" t="s">
        <v>3263</v>
      </c>
      <c r="C1699" s="14">
        <v>45841</v>
      </c>
      <c r="D1699" s="13">
        <v>2025</v>
      </c>
      <c r="E1699" s="13" t="s">
        <v>10</v>
      </c>
      <c r="F1699" s="13" t="s">
        <v>34</v>
      </c>
      <c r="G1699" s="15">
        <v>1054.76</v>
      </c>
      <c r="H1699" s="15">
        <v>1054.76</v>
      </c>
      <c r="I1699" s="13">
        <v>2</v>
      </c>
      <c r="J1699" s="13">
        <v>2</v>
      </c>
      <c r="K1699" s="13" t="s">
        <v>3348</v>
      </c>
      <c r="L1699" s="15">
        <v>527.38</v>
      </c>
      <c r="M1699" s="16">
        <v>527.38</v>
      </c>
    </row>
    <row r="1700" spans="1:13" s="5" customFormat="1" x14ac:dyDescent="0.25">
      <c r="A1700" s="12" t="s">
        <v>3264</v>
      </c>
      <c r="B1700" s="13" t="s">
        <v>3265</v>
      </c>
      <c r="C1700" s="14">
        <v>44897</v>
      </c>
      <c r="D1700" s="13">
        <v>2022</v>
      </c>
      <c r="E1700" s="13" t="s">
        <v>21</v>
      </c>
      <c r="F1700" s="13" t="s">
        <v>11</v>
      </c>
      <c r="G1700" s="15">
        <v>1281.45</v>
      </c>
      <c r="H1700" s="15">
        <v>1281.45</v>
      </c>
      <c r="I1700" s="13">
        <v>4</v>
      </c>
      <c r="J1700" s="13">
        <v>4</v>
      </c>
      <c r="K1700" s="13" t="s">
        <v>18</v>
      </c>
      <c r="L1700" s="15">
        <v>320.36250000000001</v>
      </c>
      <c r="M1700" s="16">
        <v>320.36250000000001</v>
      </c>
    </row>
    <row r="1701" spans="1:13" s="5" customFormat="1" x14ac:dyDescent="0.25">
      <c r="A1701" s="12" t="s">
        <v>3266</v>
      </c>
      <c r="B1701" s="13" t="s">
        <v>3267</v>
      </c>
      <c r="C1701" s="14">
        <v>45870</v>
      </c>
      <c r="D1701" s="13">
        <v>2025</v>
      </c>
      <c r="E1701" s="13" t="s">
        <v>10</v>
      </c>
      <c r="F1701" s="13" t="s">
        <v>22</v>
      </c>
      <c r="G1701" s="15">
        <v>83.34</v>
      </c>
      <c r="H1701" s="15">
        <v>83.34</v>
      </c>
      <c r="I1701" s="13">
        <v>7</v>
      </c>
      <c r="J1701" s="13">
        <v>7</v>
      </c>
      <c r="K1701" s="13" t="s">
        <v>35</v>
      </c>
      <c r="L1701" s="15">
        <v>11.905714285714286</v>
      </c>
      <c r="M1701" s="16">
        <v>11.905714285714286</v>
      </c>
    </row>
    <row r="1702" spans="1:13" s="5" customFormat="1" x14ac:dyDescent="0.25">
      <c r="A1702" s="12" t="s">
        <v>3268</v>
      </c>
      <c r="B1702" s="13" t="s">
        <v>3269</v>
      </c>
      <c r="C1702" s="14">
        <v>45861</v>
      </c>
      <c r="D1702" s="13">
        <v>2025</v>
      </c>
      <c r="E1702" s="13" t="s">
        <v>21</v>
      </c>
      <c r="F1702" s="13" t="s">
        <v>11</v>
      </c>
      <c r="G1702" s="15"/>
      <c r="H1702" s="15">
        <v>878.47199999999987</v>
      </c>
      <c r="I1702" s="13">
        <v>6</v>
      </c>
      <c r="J1702" s="13">
        <v>6</v>
      </c>
      <c r="K1702" s="13" t="s">
        <v>18</v>
      </c>
      <c r="L1702" s="15">
        <v>146.41199999999998</v>
      </c>
      <c r="M1702" s="16">
        <v>146.41199999999998</v>
      </c>
    </row>
    <row r="1703" spans="1:13" s="5" customFormat="1" x14ac:dyDescent="0.25">
      <c r="A1703" s="12" t="s">
        <v>3270</v>
      </c>
      <c r="B1703" s="13" t="s">
        <v>3271</v>
      </c>
      <c r="C1703" s="14">
        <v>45407</v>
      </c>
      <c r="D1703" s="13">
        <v>2024</v>
      </c>
      <c r="E1703" s="13" t="s">
        <v>10</v>
      </c>
      <c r="F1703" s="13" t="s">
        <v>25</v>
      </c>
      <c r="G1703" s="15">
        <v>118.39</v>
      </c>
      <c r="H1703" s="15">
        <v>118.39</v>
      </c>
      <c r="I1703" s="13">
        <v>4</v>
      </c>
      <c r="J1703" s="13">
        <v>4</v>
      </c>
      <c r="K1703" s="13" t="s">
        <v>35</v>
      </c>
      <c r="L1703" s="15">
        <v>29.5975</v>
      </c>
      <c r="M1703" s="16">
        <v>29.5975</v>
      </c>
    </row>
    <row r="1704" spans="1:13" s="5" customFormat="1" x14ac:dyDescent="0.25">
      <c r="A1704" s="12" t="s">
        <v>3272</v>
      </c>
      <c r="B1704" s="13" t="s">
        <v>3273</v>
      </c>
      <c r="C1704" s="14">
        <v>45054</v>
      </c>
      <c r="D1704" s="13">
        <v>2023</v>
      </c>
      <c r="E1704" s="13" t="s">
        <v>21</v>
      </c>
      <c r="F1704" s="13" t="s">
        <v>25</v>
      </c>
      <c r="G1704" s="15">
        <v>1070.96</v>
      </c>
      <c r="H1704" s="15">
        <v>1070.96</v>
      </c>
      <c r="I1704" s="13">
        <v>6</v>
      </c>
      <c r="J1704" s="13">
        <v>6</v>
      </c>
      <c r="K1704" s="13" t="s">
        <v>3346</v>
      </c>
      <c r="L1704" s="15">
        <v>178.49333333333334</v>
      </c>
      <c r="M1704" s="16">
        <v>178.49333333333334</v>
      </c>
    </row>
    <row r="1705" spans="1:13" s="5" customFormat="1" x14ac:dyDescent="0.25">
      <c r="A1705" s="12" t="s">
        <v>3274</v>
      </c>
      <c r="B1705" s="13" t="s">
        <v>3275</v>
      </c>
      <c r="C1705" s="14">
        <v>45571</v>
      </c>
      <c r="D1705" s="13">
        <v>2024</v>
      </c>
      <c r="E1705" s="13" t="s">
        <v>21</v>
      </c>
      <c r="F1705" s="13" t="s">
        <v>11</v>
      </c>
      <c r="G1705" s="15">
        <v>1173.57</v>
      </c>
      <c r="H1705" s="15">
        <v>1173.57</v>
      </c>
      <c r="I1705" s="13"/>
      <c r="J1705" s="13">
        <v>3</v>
      </c>
      <c r="K1705" s="13" t="s">
        <v>15</v>
      </c>
      <c r="L1705" s="15">
        <v>391.19</v>
      </c>
      <c r="M1705" s="16">
        <v>345.56814814814817</v>
      </c>
    </row>
    <row r="1706" spans="1:13" s="5" customFormat="1" x14ac:dyDescent="0.25">
      <c r="A1706" s="12" t="s">
        <v>3276</v>
      </c>
      <c r="B1706" s="13" t="s">
        <v>3277</v>
      </c>
      <c r="C1706" s="14">
        <v>45795</v>
      </c>
      <c r="D1706" s="13">
        <v>2025</v>
      </c>
      <c r="E1706" s="13" t="s">
        <v>3347</v>
      </c>
      <c r="F1706" s="13" t="s">
        <v>22</v>
      </c>
      <c r="G1706" s="15">
        <v>1483.52</v>
      </c>
      <c r="H1706" s="15">
        <v>1483.52</v>
      </c>
      <c r="I1706" s="13">
        <v>4</v>
      </c>
      <c r="J1706" s="13">
        <v>4</v>
      </c>
      <c r="K1706" s="13" t="s">
        <v>3346</v>
      </c>
      <c r="L1706" s="15">
        <v>370.88</v>
      </c>
      <c r="M1706" s="16">
        <v>370.88</v>
      </c>
    </row>
    <row r="1707" spans="1:13" s="5" customFormat="1" x14ac:dyDescent="0.25">
      <c r="A1707" s="12" t="s">
        <v>3278</v>
      </c>
      <c r="B1707" s="13" t="s">
        <v>3279</v>
      </c>
      <c r="C1707" s="14">
        <v>45084</v>
      </c>
      <c r="D1707" s="13">
        <v>2023</v>
      </c>
      <c r="E1707" s="13" t="s">
        <v>10</v>
      </c>
      <c r="F1707" s="13" t="s">
        <v>22</v>
      </c>
      <c r="G1707" s="15">
        <v>1563.65</v>
      </c>
      <c r="H1707" s="15">
        <v>1563.65</v>
      </c>
      <c r="I1707" s="13">
        <v>5</v>
      </c>
      <c r="J1707" s="13">
        <v>5</v>
      </c>
      <c r="K1707" s="13" t="s">
        <v>3346</v>
      </c>
      <c r="L1707" s="15">
        <v>312.73</v>
      </c>
      <c r="M1707" s="16">
        <v>312.73</v>
      </c>
    </row>
    <row r="1708" spans="1:13" s="5" customFormat="1" x14ac:dyDescent="0.25">
      <c r="A1708" s="12" t="s">
        <v>3280</v>
      </c>
      <c r="B1708" s="13" t="s">
        <v>3281</v>
      </c>
      <c r="C1708" s="14">
        <v>45517</v>
      </c>
      <c r="D1708" s="13">
        <v>2024</v>
      </c>
      <c r="E1708" s="13" t="s">
        <v>3347</v>
      </c>
      <c r="F1708" s="13" t="s">
        <v>11</v>
      </c>
      <c r="G1708" s="15">
        <v>827.81</v>
      </c>
      <c r="H1708" s="15">
        <v>827.81</v>
      </c>
      <c r="I1708" s="13">
        <v>5</v>
      </c>
      <c r="J1708" s="13">
        <v>5</v>
      </c>
      <c r="K1708" s="13" t="s">
        <v>15</v>
      </c>
      <c r="L1708" s="15">
        <v>165.56199999999998</v>
      </c>
      <c r="M1708" s="16">
        <v>165.56199999999998</v>
      </c>
    </row>
    <row r="1709" spans="1:13" s="5" customFormat="1" x14ac:dyDescent="0.25">
      <c r="A1709" s="12" t="s">
        <v>3282</v>
      </c>
      <c r="B1709" s="13" t="s">
        <v>3283</v>
      </c>
      <c r="C1709" s="14">
        <v>45285</v>
      </c>
      <c r="D1709" s="13">
        <v>2023</v>
      </c>
      <c r="E1709" s="13" t="s">
        <v>10</v>
      </c>
      <c r="F1709" s="13" t="s">
        <v>34</v>
      </c>
      <c r="G1709" s="15">
        <v>800.68</v>
      </c>
      <c r="H1709" s="15">
        <v>800.68</v>
      </c>
      <c r="I1709" s="13">
        <v>10</v>
      </c>
      <c r="J1709" s="13">
        <v>10</v>
      </c>
      <c r="K1709" s="13" t="s">
        <v>15</v>
      </c>
      <c r="L1709" s="15">
        <v>80.067999999999998</v>
      </c>
      <c r="M1709" s="16">
        <v>80.067999999999998</v>
      </c>
    </row>
    <row r="1710" spans="1:13" s="5" customFormat="1" x14ac:dyDescent="0.25">
      <c r="A1710" s="12" t="s">
        <v>3284</v>
      </c>
      <c r="B1710" s="13" t="s">
        <v>3285</v>
      </c>
      <c r="C1710" s="14">
        <v>45245</v>
      </c>
      <c r="D1710" s="13">
        <v>2023</v>
      </c>
      <c r="E1710" s="13" t="s">
        <v>3347</v>
      </c>
      <c r="F1710" s="13" t="s">
        <v>34</v>
      </c>
      <c r="G1710" s="15">
        <v>1399.64</v>
      </c>
      <c r="H1710" s="15">
        <v>1399.64</v>
      </c>
      <c r="I1710" s="13">
        <v>3</v>
      </c>
      <c r="J1710" s="13">
        <v>3</v>
      </c>
      <c r="K1710" s="13" t="s">
        <v>15</v>
      </c>
      <c r="L1710" s="15">
        <v>466.54666666666668</v>
      </c>
      <c r="M1710" s="16">
        <v>466.54666666666668</v>
      </c>
    </row>
    <row r="1711" spans="1:13" s="5" customFormat="1" x14ac:dyDescent="0.25">
      <c r="A1711" s="12" t="s">
        <v>3286</v>
      </c>
      <c r="B1711" s="13" t="s">
        <v>37</v>
      </c>
      <c r="C1711" s="14">
        <v>44936</v>
      </c>
      <c r="D1711" s="13">
        <v>2023</v>
      </c>
      <c r="E1711" s="13" t="s">
        <v>3347</v>
      </c>
      <c r="F1711" s="13" t="s">
        <v>34</v>
      </c>
      <c r="G1711" s="15">
        <v>1586.04</v>
      </c>
      <c r="H1711" s="15">
        <v>1586.04</v>
      </c>
      <c r="I1711" s="13">
        <v>3</v>
      </c>
      <c r="J1711" s="13">
        <v>3</v>
      </c>
      <c r="K1711" s="13" t="s">
        <v>18</v>
      </c>
      <c r="L1711" s="15">
        <v>528.67999999999995</v>
      </c>
      <c r="M1711" s="16">
        <v>528.67999999999995</v>
      </c>
    </row>
    <row r="1712" spans="1:13" s="5" customFormat="1" x14ac:dyDescent="0.25">
      <c r="A1712" s="12" t="s">
        <v>3287</v>
      </c>
      <c r="B1712" s="13" t="s">
        <v>3288</v>
      </c>
      <c r="C1712" s="14">
        <v>45391</v>
      </c>
      <c r="D1712" s="13">
        <v>2024</v>
      </c>
      <c r="E1712" s="13" t="s">
        <v>3347</v>
      </c>
      <c r="F1712" s="13" t="s">
        <v>11</v>
      </c>
      <c r="G1712" s="15">
        <v>1007.12</v>
      </c>
      <c r="H1712" s="15">
        <v>1007.12</v>
      </c>
      <c r="I1712" s="13">
        <v>4</v>
      </c>
      <c r="J1712" s="13">
        <v>4</v>
      </c>
      <c r="K1712" s="13" t="s">
        <v>18</v>
      </c>
      <c r="L1712" s="15">
        <v>251.78</v>
      </c>
      <c r="M1712" s="16">
        <v>251.78</v>
      </c>
    </row>
    <row r="1713" spans="1:13" s="5" customFormat="1" x14ac:dyDescent="0.25">
      <c r="A1713" s="12" t="s">
        <v>3289</v>
      </c>
      <c r="B1713" s="13" t="s">
        <v>3290</v>
      </c>
      <c r="C1713" s="14">
        <v>45762</v>
      </c>
      <c r="D1713" s="13">
        <v>2025</v>
      </c>
      <c r="E1713" s="13" t="s">
        <v>14</v>
      </c>
      <c r="F1713" s="13" t="s">
        <v>11</v>
      </c>
      <c r="G1713" s="15">
        <v>1359.46</v>
      </c>
      <c r="H1713" s="15">
        <v>1359.46</v>
      </c>
      <c r="I1713" s="13">
        <v>10</v>
      </c>
      <c r="J1713" s="13">
        <v>10</v>
      </c>
      <c r="K1713" s="13" t="s">
        <v>3346</v>
      </c>
      <c r="L1713" s="15">
        <v>135.946</v>
      </c>
      <c r="M1713" s="16">
        <v>135.946</v>
      </c>
    </row>
    <row r="1714" spans="1:13" s="5" customFormat="1" x14ac:dyDescent="0.25">
      <c r="A1714" s="12" t="s">
        <v>3291</v>
      </c>
      <c r="B1714" s="13" t="s">
        <v>3292</v>
      </c>
      <c r="C1714" s="14">
        <v>45906</v>
      </c>
      <c r="D1714" s="13">
        <v>2025</v>
      </c>
      <c r="E1714" s="13" t="s">
        <v>3347</v>
      </c>
      <c r="F1714" s="13" t="s">
        <v>34</v>
      </c>
      <c r="G1714" s="15"/>
      <c r="H1714" s="15">
        <v>1707.6214563492065</v>
      </c>
      <c r="I1714" s="13">
        <v>8</v>
      </c>
      <c r="J1714" s="13">
        <v>8</v>
      </c>
      <c r="K1714" s="13" t="s">
        <v>15</v>
      </c>
      <c r="L1714" s="15">
        <v>213.45268204365081</v>
      </c>
      <c r="M1714" s="16">
        <v>213.45268204365081</v>
      </c>
    </row>
    <row r="1715" spans="1:13" s="5" customFormat="1" x14ac:dyDescent="0.25">
      <c r="A1715" s="12" t="s">
        <v>3293</v>
      </c>
      <c r="B1715" s="13" t="s">
        <v>3294</v>
      </c>
      <c r="C1715" s="14">
        <v>44904</v>
      </c>
      <c r="D1715" s="13">
        <v>2022</v>
      </c>
      <c r="E1715" s="13" t="s">
        <v>21</v>
      </c>
      <c r="F1715" s="13" t="s">
        <v>11</v>
      </c>
      <c r="G1715" s="15">
        <v>1816.51</v>
      </c>
      <c r="H1715" s="15">
        <v>1816.51</v>
      </c>
      <c r="I1715" s="13">
        <v>7</v>
      </c>
      <c r="J1715" s="13">
        <v>7</v>
      </c>
      <c r="K1715" s="13" t="s">
        <v>3348</v>
      </c>
      <c r="L1715" s="15">
        <v>259.50142857142856</v>
      </c>
      <c r="M1715" s="16">
        <v>259.50142857142856</v>
      </c>
    </row>
    <row r="1716" spans="1:13" s="5" customFormat="1" x14ac:dyDescent="0.25">
      <c r="A1716" s="12" t="s">
        <v>3295</v>
      </c>
      <c r="B1716" s="13" t="s">
        <v>2027</v>
      </c>
      <c r="C1716" s="14">
        <v>45424</v>
      </c>
      <c r="D1716" s="13">
        <v>2024</v>
      </c>
      <c r="E1716" s="13" t="s">
        <v>14</v>
      </c>
      <c r="F1716" s="13" t="s">
        <v>34</v>
      </c>
      <c r="G1716" s="15">
        <v>691.83</v>
      </c>
      <c r="H1716" s="15">
        <v>691.83</v>
      </c>
      <c r="I1716" s="13">
        <v>1</v>
      </c>
      <c r="J1716" s="13">
        <v>1</v>
      </c>
      <c r="K1716" s="13" t="s">
        <v>3348</v>
      </c>
      <c r="L1716" s="15">
        <v>691.83</v>
      </c>
      <c r="M1716" s="16">
        <v>691.83</v>
      </c>
    </row>
    <row r="1717" spans="1:13" s="5" customFormat="1" x14ac:dyDescent="0.25">
      <c r="A1717" s="12" t="s">
        <v>3296</v>
      </c>
      <c r="B1717" s="13" t="s">
        <v>3297</v>
      </c>
      <c r="C1717" s="14">
        <v>45563</v>
      </c>
      <c r="D1717" s="13">
        <v>2024</v>
      </c>
      <c r="E1717" s="13" t="s">
        <v>3347</v>
      </c>
      <c r="F1717" s="13" t="s">
        <v>34</v>
      </c>
      <c r="G1717" s="15"/>
      <c r="H1717" s="15">
        <v>1840.7525714285712</v>
      </c>
      <c r="I1717" s="13">
        <v>6</v>
      </c>
      <c r="J1717" s="13">
        <v>6</v>
      </c>
      <c r="K1717" s="13" t="s">
        <v>3348</v>
      </c>
      <c r="L1717" s="15">
        <v>306.79209523809521</v>
      </c>
      <c r="M1717" s="16">
        <v>306.79209523809521</v>
      </c>
    </row>
    <row r="1718" spans="1:13" s="5" customFormat="1" x14ac:dyDescent="0.25">
      <c r="A1718" s="12" t="s">
        <v>3298</v>
      </c>
      <c r="B1718" s="13" t="s">
        <v>3299</v>
      </c>
      <c r="C1718" s="14">
        <v>45024</v>
      </c>
      <c r="D1718" s="13">
        <v>2023</v>
      </c>
      <c r="E1718" s="13" t="s">
        <v>3347</v>
      </c>
      <c r="F1718" s="13" t="s">
        <v>11</v>
      </c>
      <c r="G1718" s="15">
        <v>1493.22</v>
      </c>
      <c r="H1718" s="15">
        <v>1493.22</v>
      </c>
      <c r="I1718" s="13"/>
      <c r="J1718" s="13">
        <v>10</v>
      </c>
      <c r="K1718" s="13" t="s">
        <v>35</v>
      </c>
      <c r="L1718" s="15">
        <v>99.548000000000002</v>
      </c>
      <c r="M1718" s="16">
        <v>99.624590476190477</v>
      </c>
    </row>
    <row r="1719" spans="1:13" s="5" customFormat="1" x14ac:dyDescent="0.25">
      <c r="A1719" s="12" t="s">
        <v>3300</v>
      </c>
      <c r="B1719" s="13" t="s">
        <v>3301</v>
      </c>
      <c r="C1719" s="14">
        <v>45004</v>
      </c>
      <c r="D1719" s="13">
        <v>2023</v>
      </c>
      <c r="E1719" s="13" t="s">
        <v>21</v>
      </c>
      <c r="F1719" s="13" t="s">
        <v>11</v>
      </c>
      <c r="G1719" s="15">
        <v>1184.77</v>
      </c>
      <c r="H1719" s="15">
        <v>1184.77</v>
      </c>
      <c r="I1719" s="13">
        <v>5</v>
      </c>
      <c r="J1719" s="13">
        <v>5</v>
      </c>
      <c r="K1719" s="13" t="s">
        <v>3346</v>
      </c>
      <c r="L1719" s="15">
        <v>236.95400000000001</v>
      </c>
      <c r="M1719" s="16">
        <v>236.95400000000001</v>
      </c>
    </row>
    <row r="1720" spans="1:13" s="5" customFormat="1" x14ac:dyDescent="0.25">
      <c r="A1720" s="12" t="s">
        <v>3302</v>
      </c>
      <c r="B1720" s="13" t="s">
        <v>3303</v>
      </c>
      <c r="C1720" s="14">
        <v>45852</v>
      </c>
      <c r="D1720" s="13">
        <v>2025</v>
      </c>
      <c r="E1720" s="13" t="s">
        <v>3347</v>
      </c>
      <c r="F1720" s="13" t="s">
        <v>34</v>
      </c>
      <c r="G1720" s="15">
        <v>967.57</v>
      </c>
      <c r="H1720" s="15">
        <v>967.57</v>
      </c>
      <c r="I1720" s="13">
        <v>2</v>
      </c>
      <c r="J1720" s="13">
        <v>2</v>
      </c>
      <c r="K1720" s="13" t="s">
        <v>15</v>
      </c>
      <c r="L1720" s="15">
        <v>483.78500000000003</v>
      </c>
      <c r="M1720" s="16">
        <v>483.78500000000003</v>
      </c>
    </row>
    <row r="1721" spans="1:13" s="5" customFormat="1" x14ac:dyDescent="0.25">
      <c r="A1721" s="12" t="s">
        <v>3304</v>
      </c>
      <c r="B1721" s="13" t="s">
        <v>3305</v>
      </c>
      <c r="C1721" s="14">
        <v>45916</v>
      </c>
      <c r="D1721" s="13">
        <v>2025</v>
      </c>
      <c r="E1721" s="13" t="s">
        <v>10</v>
      </c>
      <c r="F1721" s="13" t="s">
        <v>34</v>
      </c>
      <c r="G1721" s="15">
        <v>579.44000000000005</v>
      </c>
      <c r="H1721" s="15">
        <v>579.44000000000005</v>
      </c>
      <c r="I1721" s="13">
        <v>1</v>
      </c>
      <c r="J1721" s="13">
        <v>1</v>
      </c>
      <c r="K1721" s="13" t="s">
        <v>18</v>
      </c>
      <c r="L1721" s="15">
        <v>579.44000000000005</v>
      </c>
      <c r="M1721" s="16">
        <v>579.44000000000005</v>
      </c>
    </row>
    <row r="1722" spans="1:13" s="5" customFormat="1" x14ac:dyDescent="0.25">
      <c r="A1722" s="12" t="s">
        <v>3306</v>
      </c>
      <c r="B1722" s="13" t="s">
        <v>3307</v>
      </c>
      <c r="C1722" s="14">
        <v>45902</v>
      </c>
      <c r="D1722" s="13">
        <v>2025</v>
      </c>
      <c r="E1722" s="13" t="s">
        <v>14</v>
      </c>
      <c r="F1722" s="13" t="s">
        <v>11</v>
      </c>
      <c r="G1722" s="15">
        <v>336.92</v>
      </c>
      <c r="H1722" s="15">
        <v>336.92</v>
      </c>
      <c r="I1722" s="13">
        <v>10</v>
      </c>
      <c r="J1722" s="13">
        <v>10</v>
      </c>
      <c r="K1722" s="13" t="s">
        <v>15</v>
      </c>
      <c r="L1722" s="15">
        <v>33.692</v>
      </c>
      <c r="M1722" s="16">
        <v>33.692</v>
      </c>
    </row>
    <row r="1723" spans="1:13" s="5" customFormat="1" x14ac:dyDescent="0.25">
      <c r="A1723" s="12" t="s">
        <v>3308</v>
      </c>
      <c r="B1723" s="13" t="s">
        <v>3309</v>
      </c>
      <c r="C1723" s="14">
        <v>45016</v>
      </c>
      <c r="D1723" s="13">
        <v>2023</v>
      </c>
      <c r="E1723" s="13" t="s">
        <v>14</v>
      </c>
      <c r="F1723" s="13" t="s">
        <v>34</v>
      </c>
      <c r="G1723" s="15">
        <v>1501.03</v>
      </c>
      <c r="H1723" s="15">
        <v>1501.03</v>
      </c>
      <c r="I1723" s="13">
        <v>10</v>
      </c>
      <c r="J1723" s="13">
        <v>10</v>
      </c>
      <c r="K1723" s="13" t="s">
        <v>15</v>
      </c>
      <c r="L1723" s="15">
        <v>150.10300000000001</v>
      </c>
      <c r="M1723" s="16">
        <v>150.10300000000001</v>
      </c>
    </row>
    <row r="1724" spans="1:13" s="5" customFormat="1" x14ac:dyDescent="0.25">
      <c r="A1724" s="12" t="s">
        <v>3310</v>
      </c>
      <c r="B1724" s="13" t="s">
        <v>3311</v>
      </c>
      <c r="C1724" s="14">
        <v>45890</v>
      </c>
      <c r="D1724" s="13">
        <v>2025</v>
      </c>
      <c r="E1724" s="13" t="s">
        <v>3347</v>
      </c>
      <c r="F1724" s="13" t="s">
        <v>25</v>
      </c>
      <c r="G1724" s="15">
        <v>864.23</v>
      </c>
      <c r="H1724" s="15">
        <v>864.23</v>
      </c>
      <c r="I1724" s="13">
        <v>9</v>
      </c>
      <c r="J1724" s="13">
        <v>9</v>
      </c>
      <c r="K1724" s="13" t="s">
        <v>35</v>
      </c>
      <c r="L1724" s="15">
        <v>96.025555555555556</v>
      </c>
      <c r="M1724" s="16">
        <v>96.025555555555556</v>
      </c>
    </row>
    <row r="1725" spans="1:13" s="5" customFormat="1" x14ac:dyDescent="0.25">
      <c r="A1725" s="12" t="s">
        <v>3312</v>
      </c>
      <c r="B1725" s="13" t="s">
        <v>3313</v>
      </c>
      <c r="C1725" s="14">
        <v>45287</v>
      </c>
      <c r="D1725" s="13">
        <v>2023</v>
      </c>
      <c r="E1725" s="13" t="s">
        <v>10</v>
      </c>
      <c r="F1725" s="13" t="s">
        <v>34</v>
      </c>
      <c r="G1725" s="15">
        <v>1635.16</v>
      </c>
      <c r="H1725" s="15">
        <v>1635.16</v>
      </c>
      <c r="I1725" s="13">
        <v>6</v>
      </c>
      <c r="J1725" s="13">
        <v>6</v>
      </c>
      <c r="K1725" s="13" t="s">
        <v>15</v>
      </c>
      <c r="L1725" s="15">
        <v>272.5266666666667</v>
      </c>
      <c r="M1725" s="16">
        <v>272.5266666666667</v>
      </c>
    </row>
    <row r="1726" spans="1:13" s="5" customFormat="1" x14ac:dyDescent="0.25">
      <c r="A1726" s="12" t="s">
        <v>3314</v>
      </c>
      <c r="B1726" s="13" t="s">
        <v>3315</v>
      </c>
      <c r="C1726" s="14">
        <v>45417</v>
      </c>
      <c r="D1726" s="13">
        <v>2024</v>
      </c>
      <c r="E1726" s="13" t="s">
        <v>14</v>
      </c>
      <c r="F1726" s="13" t="s">
        <v>11</v>
      </c>
      <c r="G1726" s="15">
        <v>1470.52</v>
      </c>
      <c r="H1726" s="15">
        <v>1470.52</v>
      </c>
      <c r="I1726" s="13">
        <v>10</v>
      </c>
      <c r="J1726" s="13">
        <v>10</v>
      </c>
      <c r="K1726" s="13" t="s">
        <v>18</v>
      </c>
      <c r="L1726" s="15">
        <v>147.05199999999999</v>
      </c>
      <c r="M1726" s="16">
        <v>147.05199999999999</v>
      </c>
    </row>
    <row r="1727" spans="1:13" s="5" customFormat="1" x14ac:dyDescent="0.25">
      <c r="A1727" s="12" t="s">
        <v>3316</v>
      </c>
      <c r="B1727" s="13" t="s">
        <v>3317</v>
      </c>
      <c r="C1727" s="14">
        <v>44861</v>
      </c>
      <c r="D1727" s="13">
        <v>2022</v>
      </c>
      <c r="E1727" s="13" t="s">
        <v>14</v>
      </c>
      <c r="F1727" s="13" t="s">
        <v>22</v>
      </c>
      <c r="G1727" s="15">
        <v>521.16999999999996</v>
      </c>
      <c r="H1727" s="15">
        <v>521.16999999999996</v>
      </c>
      <c r="I1727" s="13">
        <v>3</v>
      </c>
      <c r="J1727" s="13">
        <v>3</v>
      </c>
      <c r="K1727" s="13" t="s">
        <v>15</v>
      </c>
      <c r="L1727" s="15">
        <v>173.72333333333333</v>
      </c>
      <c r="M1727" s="16">
        <v>173.72333333333333</v>
      </c>
    </row>
    <row r="1728" spans="1:13" s="5" customFormat="1" x14ac:dyDescent="0.25">
      <c r="A1728" s="12" t="s">
        <v>3318</v>
      </c>
      <c r="B1728" s="13" t="s">
        <v>3319</v>
      </c>
      <c r="C1728" s="14">
        <v>45652</v>
      </c>
      <c r="D1728" s="13">
        <v>2024</v>
      </c>
      <c r="E1728" s="13" t="s">
        <v>21</v>
      </c>
      <c r="F1728" s="13" t="s">
        <v>25</v>
      </c>
      <c r="G1728" s="15">
        <v>1584.23</v>
      </c>
      <c r="H1728" s="15">
        <v>1584.23</v>
      </c>
      <c r="I1728" s="13">
        <v>9</v>
      </c>
      <c r="J1728" s="13">
        <v>9</v>
      </c>
      <c r="K1728" s="13" t="s">
        <v>3348</v>
      </c>
      <c r="L1728" s="15">
        <v>176.02555555555557</v>
      </c>
      <c r="M1728" s="16">
        <v>176.02555555555557</v>
      </c>
    </row>
    <row r="1729" spans="1:13" s="5" customFormat="1" x14ac:dyDescent="0.25">
      <c r="A1729" s="12" t="s">
        <v>3320</v>
      </c>
      <c r="B1729" s="13" t="s">
        <v>3254</v>
      </c>
      <c r="C1729" s="14">
        <v>45331</v>
      </c>
      <c r="D1729" s="13">
        <v>2024</v>
      </c>
      <c r="E1729" s="13" t="s">
        <v>3347</v>
      </c>
      <c r="F1729" s="13" t="s">
        <v>34</v>
      </c>
      <c r="G1729" s="15">
        <v>350.85</v>
      </c>
      <c r="H1729" s="15">
        <v>350.85</v>
      </c>
      <c r="I1729" s="13"/>
      <c r="J1729" s="13">
        <v>2</v>
      </c>
      <c r="K1729" s="13" t="s">
        <v>15</v>
      </c>
      <c r="L1729" s="15">
        <v>175.42500000000001</v>
      </c>
      <c r="M1729" s="16">
        <v>210.79387037037037</v>
      </c>
    </row>
    <row r="1730" spans="1:13" s="5" customFormat="1" x14ac:dyDescent="0.25">
      <c r="A1730" s="12" t="s">
        <v>3321</v>
      </c>
      <c r="B1730" s="13" t="s">
        <v>512</v>
      </c>
      <c r="C1730" s="14">
        <v>45187</v>
      </c>
      <c r="D1730" s="13">
        <v>2023</v>
      </c>
      <c r="E1730" s="13" t="s">
        <v>10</v>
      </c>
      <c r="F1730" s="13" t="s">
        <v>34</v>
      </c>
      <c r="G1730" s="15">
        <v>1931.84</v>
      </c>
      <c r="H1730" s="15">
        <v>1931.84</v>
      </c>
      <c r="I1730" s="13">
        <v>3</v>
      </c>
      <c r="J1730" s="13">
        <v>3</v>
      </c>
      <c r="K1730" s="13" t="s">
        <v>3348</v>
      </c>
      <c r="L1730" s="15">
        <v>643.9466666666666</v>
      </c>
      <c r="M1730" s="16">
        <v>643.9466666666666</v>
      </c>
    </row>
    <row r="1731" spans="1:13" s="5" customFormat="1" x14ac:dyDescent="0.25">
      <c r="A1731" s="12" t="s">
        <v>3322</v>
      </c>
      <c r="B1731" s="13" t="s">
        <v>1935</v>
      </c>
      <c r="C1731" s="14">
        <v>45717</v>
      </c>
      <c r="D1731" s="13">
        <v>2025</v>
      </c>
      <c r="E1731" s="13" t="s">
        <v>3347</v>
      </c>
      <c r="F1731" s="13" t="s">
        <v>11</v>
      </c>
      <c r="G1731" s="15">
        <v>1401.08</v>
      </c>
      <c r="H1731" s="15">
        <v>1401.08</v>
      </c>
      <c r="I1731" s="13"/>
      <c r="J1731" s="13">
        <v>2</v>
      </c>
      <c r="K1731" s="13" t="s">
        <v>15</v>
      </c>
      <c r="L1731" s="15">
        <v>700.54</v>
      </c>
      <c r="M1731" s="16">
        <v>642.44020833333332</v>
      </c>
    </row>
    <row r="1732" spans="1:13" s="5" customFormat="1" x14ac:dyDescent="0.25">
      <c r="A1732" s="12" t="s">
        <v>3323</v>
      </c>
      <c r="B1732" s="13" t="s">
        <v>3324</v>
      </c>
      <c r="C1732" s="14">
        <v>45866</v>
      </c>
      <c r="D1732" s="13">
        <v>2025</v>
      </c>
      <c r="E1732" s="13" t="s">
        <v>21</v>
      </c>
      <c r="F1732" s="13" t="s">
        <v>34</v>
      </c>
      <c r="G1732" s="15">
        <v>1677.38</v>
      </c>
      <c r="H1732" s="15">
        <v>1677.38</v>
      </c>
      <c r="I1732" s="13">
        <v>10</v>
      </c>
      <c r="J1732" s="13">
        <v>10</v>
      </c>
      <c r="K1732" s="13" t="s">
        <v>3348</v>
      </c>
      <c r="L1732" s="15">
        <v>167.738</v>
      </c>
      <c r="M1732" s="16">
        <v>167.738</v>
      </c>
    </row>
    <row r="1733" spans="1:13" s="5" customFormat="1" x14ac:dyDescent="0.25">
      <c r="A1733" s="12" t="s">
        <v>3325</v>
      </c>
      <c r="B1733" s="13" t="s">
        <v>3326</v>
      </c>
      <c r="C1733" s="14">
        <v>45279</v>
      </c>
      <c r="D1733" s="13">
        <v>2023</v>
      </c>
      <c r="E1733" s="13" t="s">
        <v>10</v>
      </c>
      <c r="F1733" s="13" t="s">
        <v>22</v>
      </c>
      <c r="G1733" s="15">
        <v>1825.5</v>
      </c>
      <c r="H1733" s="15">
        <v>1825.5</v>
      </c>
      <c r="I1733" s="13">
        <v>3</v>
      </c>
      <c r="J1733" s="13">
        <v>3</v>
      </c>
      <c r="K1733" s="13" t="s">
        <v>3346</v>
      </c>
      <c r="L1733" s="15">
        <v>608.5</v>
      </c>
      <c r="M1733" s="16">
        <v>608.5</v>
      </c>
    </row>
    <row r="1734" spans="1:13" s="5" customFormat="1" x14ac:dyDescent="0.25">
      <c r="A1734" s="12" t="s">
        <v>3327</v>
      </c>
      <c r="B1734" s="13" t="s">
        <v>3328</v>
      </c>
      <c r="C1734" s="14">
        <v>44918</v>
      </c>
      <c r="D1734" s="13">
        <v>2022</v>
      </c>
      <c r="E1734" s="13" t="s">
        <v>21</v>
      </c>
      <c r="F1734" s="13" t="s">
        <v>22</v>
      </c>
      <c r="G1734" s="15">
        <v>1556.13</v>
      </c>
      <c r="H1734" s="15">
        <v>1556.13</v>
      </c>
      <c r="I1734" s="13"/>
      <c r="J1734" s="13">
        <v>10</v>
      </c>
      <c r="K1734" s="13" t="s">
        <v>35</v>
      </c>
      <c r="L1734" s="15">
        <v>129.67750000000001</v>
      </c>
      <c r="M1734" s="16">
        <v>127.53194444444445</v>
      </c>
    </row>
    <row r="1735" spans="1:13" s="5" customFormat="1" x14ac:dyDescent="0.25">
      <c r="A1735" s="12" t="s">
        <v>3329</v>
      </c>
      <c r="B1735" s="13" t="s">
        <v>3330</v>
      </c>
      <c r="C1735" s="14">
        <v>45401</v>
      </c>
      <c r="D1735" s="13">
        <v>2024</v>
      </c>
      <c r="E1735" s="13" t="s">
        <v>21</v>
      </c>
      <c r="F1735" s="13" t="s">
        <v>22</v>
      </c>
      <c r="G1735" s="15">
        <v>433.25</v>
      </c>
      <c r="H1735" s="15">
        <v>433.25</v>
      </c>
      <c r="I1735" s="13">
        <v>7</v>
      </c>
      <c r="J1735" s="13">
        <v>7</v>
      </c>
      <c r="K1735" s="13" t="s">
        <v>3348</v>
      </c>
      <c r="L1735" s="15">
        <v>61.892857142857146</v>
      </c>
      <c r="M1735" s="16">
        <v>61.892857142857146</v>
      </c>
    </row>
    <row r="1736" spans="1:13" s="5" customFormat="1" x14ac:dyDescent="0.25">
      <c r="A1736" s="12" t="s">
        <v>3331</v>
      </c>
      <c r="B1736" s="13" t="s">
        <v>3332</v>
      </c>
      <c r="C1736" s="14">
        <v>45409</v>
      </c>
      <c r="D1736" s="13">
        <v>2024</v>
      </c>
      <c r="E1736" s="13" t="s">
        <v>3347</v>
      </c>
      <c r="F1736" s="13" t="s">
        <v>34</v>
      </c>
      <c r="G1736" s="15">
        <v>1101.55</v>
      </c>
      <c r="H1736" s="15">
        <v>1101.55</v>
      </c>
      <c r="I1736" s="13">
        <v>2</v>
      </c>
      <c r="J1736" s="13">
        <v>2</v>
      </c>
      <c r="K1736" s="13" t="s">
        <v>15</v>
      </c>
      <c r="L1736" s="15">
        <v>550.77499999999998</v>
      </c>
      <c r="M1736" s="16">
        <v>550.77499999999998</v>
      </c>
    </row>
    <row r="1737" spans="1:13" s="5" customFormat="1" x14ac:dyDescent="0.25">
      <c r="A1737" s="12" t="s">
        <v>3333</v>
      </c>
      <c r="B1737" s="13" t="s">
        <v>3334</v>
      </c>
      <c r="C1737" s="14">
        <v>45414</v>
      </c>
      <c r="D1737" s="13">
        <v>2024</v>
      </c>
      <c r="E1737" s="13" t="s">
        <v>3347</v>
      </c>
      <c r="F1737" s="13" t="s">
        <v>22</v>
      </c>
      <c r="G1737" s="15">
        <v>1989.2</v>
      </c>
      <c r="H1737" s="15">
        <v>1989.2</v>
      </c>
      <c r="I1737" s="13">
        <v>5</v>
      </c>
      <c r="J1737" s="13">
        <v>5</v>
      </c>
      <c r="K1737" s="13" t="s">
        <v>3348</v>
      </c>
      <c r="L1737" s="15">
        <v>397.84000000000003</v>
      </c>
      <c r="M1737" s="16">
        <v>397.84000000000003</v>
      </c>
    </row>
    <row r="1738" spans="1:13" s="5" customFormat="1" x14ac:dyDescent="0.25">
      <c r="A1738" s="12" t="s">
        <v>3335</v>
      </c>
      <c r="B1738" s="13" t="s">
        <v>3336</v>
      </c>
      <c r="C1738" s="14">
        <v>45244</v>
      </c>
      <c r="D1738" s="13">
        <v>2023</v>
      </c>
      <c r="E1738" s="13" t="s">
        <v>14</v>
      </c>
      <c r="F1738" s="13" t="s">
        <v>22</v>
      </c>
      <c r="G1738" s="15">
        <v>1217.6300000000001</v>
      </c>
      <c r="H1738" s="15">
        <v>1217.6300000000001</v>
      </c>
      <c r="I1738" s="13"/>
      <c r="J1738" s="13">
        <v>5</v>
      </c>
      <c r="K1738" s="13" t="s">
        <v>35</v>
      </c>
      <c r="L1738" s="15">
        <v>243.52600000000001</v>
      </c>
      <c r="M1738" s="16">
        <v>221.71176530612249</v>
      </c>
    </row>
    <row r="1739" spans="1:13" s="5" customFormat="1" x14ac:dyDescent="0.25">
      <c r="A1739" s="12" t="s">
        <v>3337</v>
      </c>
      <c r="B1739" s="13" t="s">
        <v>3338</v>
      </c>
      <c r="C1739" s="14">
        <v>45513</v>
      </c>
      <c r="D1739" s="13">
        <v>2024</v>
      </c>
      <c r="E1739" s="13" t="s">
        <v>21</v>
      </c>
      <c r="F1739" s="13" t="s">
        <v>34</v>
      </c>
      <c r="G1739" s="15">
        <v>1719.45</v>
      </c>
      <c r="H1739" s="15">
        <v>1719.45</v>
      </c>
      <c r="I1739" s="13">
        <v>2</v>
      </c>
      <c r="J1739" s="13">
        <v>2</v>
      </c>
      <c r="K1739" s="13" t="s">
        <v>18</v>
      </c>
      <c r="L1739" s="15">
        <v>859.72500000000002</v>
      </c>
      <c r="M1739" s="16">
        <v>859.72500000000002</v>
      </c>
    </row>
    <row r="1740" spans="1:13" s="5" customFormat="1" x14ac:dyDescent="0.25">
      <c r="A1740" s="12" t="s">
        <v>3339</v>
      </c>
      <c r="B1740" s="13" t="s">
        <v>3340</v>
      </c>
      <c r="C1740" s="14">
        <v>45103</v>
      </c>
      <c r="D1740" s="13">
        <v>2023</v>
      </c>
      <c r="E1740" s="13" t="s">
        <v>14</v>
      </c>
      <c r="F1740" s="13" t="s">
        <v>25</v>
      </c>
      <c r="G1740" s="15"/>
      <c r="H1740" s="15">
        <v>1418.9966666666667</v>
      </c>
      <c r="I1740" s="13">
        <v>6</v>
      </c>
      <c r="J1740" s="13">
        <v>6</v>
      </c>
      <c r="K1740" s="13" t="s">
        <v>35</v>
      </c>
      <c r="L1740" s="15">
        <v>236.49944444444444</v>
      </c>
      <c r="M1740" s="16">
        <v>236.49944444444444</v>
      </c>
    </row>
    <row r="1741" spans="1:13" s="5" customFormat="1" x14ac:dyDescent="0.25">
      <c r="A1741" s="12" t="s">
        <v>3341</v>
      </c>
      <c r="B1741" s="13" t="s">
        <v>2824</v>
      </c>
      <c r="C1741" s="14">
        <v>45866</v>
      </c>
      <c r="D1741" s="13">
        <v>2025</v>
      </c>
      <c r="E1741" s="13" t="s">
        <v>3347</v>
      </c>
      <c r="F1741" s="13" t="s">
        <v>11</v>
      </c>
      <c r="G1741" s="15"/>
      <c r="H1741" s="15">
        <v>319.54537037037039</v>
      </c>
      <c r="I1741" s="13">
        <v>2</v>
      </c>
      <c r="J1741" s="13">
        <v>2</v>
      </c>
      <c r="K1741" s="13" t="s">
        <v>3346</v>
      </c>
      <c r="L1741" s="15">
        <v>159.7726851851852</v>
      </c>
      <c r="M1741" s="16">
        <v>159.7726851851852</v>
      </c>
    </row>
    <row r="1742" spans="1:13" s="5" customFormat="1" x14ac:dyDescent="0.25">
      <c r="A1742" s="12" t="s">
        <v>3342</v>
      </c>
      <c r="B1742" s="13" t="s">
        <v>899</v>
      </c>
      <c r="C1742" s="14">
        <v>45666</v>
      </c>
      <c r="D1742" s="13">
        <v>2025</v>
      </c>
      <c r="E1742" s="13" t="s">
        <v>3347</v>
      </c>
      <c r="F1742" s="13" t="s">
        <v>11</v>
      </c>
      <c r="G1742" s="15">
        <v>1048.73</v>
      </c>
      <c r="H1742" s="15">
        <v>1048.73</v>
      </c>
      <c r="I1742" s="13">
        <v>6</v>
      </c>
      <c r="J1742" s="13">
        <v>6</v>
      </c>
      <c r="K1742" s="13" t="s">
        <v>3348</v>
      </c>
      <c r="L1742" s="15">
        <v>174.78833333333333</v>
      </c>
      <c r="M1742" s="16">
        <v>174.78833333333333</v>
      </c>
    </row>
    <row r="1743" spans="1:13" s="5" customFormat="1" x14ac:dyDescent="0.25">
      <c r="A1743" s="12" t="s">
        <v>3343</v>
      </c>
      <c r="B1743" s="13" t="s">
        <v>3344</v>
      </c>
      <c r="C1743" s="14">
        <v>45408</v>
      </c>
      <c r="D1743" s="13">
        <v>2024</v>
      </c>
      <c r="E1743" s="13" t="s">
        <v>3347</v>
      </c>
      <c r="F1743" s="13" t="s">
        <v>34</v>
      </c>
      <c r="G1743" s="15">
        <v>1411.29</v>
      </c>
      <c r="H1743" s="15">
        <v>1411.29</v>
      </c>
      <c r="I1743" s="13">
        <v>1</v>
      </c>
      <c r="J1743" s="13">
        <v>1</v>
      </c>
      <c r="K1743" s="13" t="s">
        <v>18</v>
      </c>
      <c r="L1743" s="15">
        <v>1411.29</v>
      </c>
      <c r="M1743" s="16">
        <v>1411.29</v>
      </c>
    </row>
    <row r="1744" spans="1:13" s="5" customFormat="1" x14ac:dyDescent="0.25">
      <c r="A1744" s="17" t="s">
        <v>3345</v>
      </c>
      <c r="B1744" s="18" t="s">
        <v>516</v>
      </c>
      <c r="C1744" s="19">
        <v>45742</v>
      </c>
      <c r="D1744" s="18">
        <v>2025</v>
      </c>
      <c r="E1744" s="18" t="s">
        <v>10</v>
      </c>
      <c r="F1744" s="18" t="s">
        <v>34</v>
      </c>
      <c r="G1744" s="15"/>
      <c r="H1744" s="20">
        <v>1593.1622222222222</v>
      </c>
      <c r="I1744" s="13">
        <v>7</v>
      </c>
      <c r="J1744" s="18">
        <v>7</v>
      </c>
      <c r="K1744" s="18" t="s">
        <v>18</v>
      </c>
      <c r="L1744" s="15">
        <v>227.59460317460318</v>
      </c>
      <c r="M1744" s="21">
        <v>227.59460317460318</v>
      </c>
    </row>
    <row r="1745" s="5" customFormat="1" x14ac:dyDescent="0.25"/>
    <row r="1746" s="5" customFormat="1" x14ac:dyDescent="0.25"/>
    <row r="1747" s="5" customFormat="1" x14ac:dyDescent="0.25"/>
    <row r="1748" s="5" customFormat="1" x14ac:dyDescent="0.25"/>
    <row r="1749" s="5" customFormat="1" x14ac:dyDescent="0.25"/>
    <row r="1750" s="5" customFormat="1" x14ac:dyDescent="0.25"/>
    <row r="1751" s="5" customFormat="1" x14ac:dyDescent="0.25"/>
    <row r="1752" s="5" customFormat="1" x14ac:dyDescent="0.25"/>
    <row r="1753" s="5" customFormat="1" x14ac:dyDescent="0.25"/>
    <row r="1754" s="5" customFormat="1" x14ac:dyDescent="0.25"/>
    <row r="1755" s="5" customFormat="1" x14ac:dyDescent="0.25"/>
    <row r="1756" s="5" customFormat="1" x14ac:dyDescent="0.25"/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E58AF-0632-4042-91D6-FE16BF16F2FA}">
  <dimension ref="A1:H1811"/>
  <sheetViews>
    <sheetView topLeftCell="A1790" workbookViewId="0">
      <selection activeCell="A1790" sqref="A1:A1048576"/>
    </sheetView>
  </sheetViews>
  <sheetFormatPr defaultRowHeight="13.8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s="27">
        <v>45713</v>
      </c>
      <c r="D2" t="s">
        <v>10</v>
      </c>
      <c r="E2" t="s">
        <v>11</v>
      </c>
      <c r="F2">
        <v>1428.6</v>
      </c>
      <c r="G2">
        <v>4</v>
      </c>
      <c r="H2" t="s">
        <v>3369</v>
      </c>
    </row>
    <row r="3" spans="1:8" x14ac:dyDescent="0.25">
      <c r="A3" t="s">
        <v>12</v>
      </c>
      <c r="B3" t="s">
        <v>13</v>
      </c>
      <c r="C3" s="27">
        <v>44929</v>
      </c>
      <c r="D3" t="s">
        <v>14</v>
      </c>
      <c r="E3" t="s">
        <v>3370</v>
      </c>
      <c r="F3">
        <v>264.27999999999997</v>
      </c>
      <c r="G3">
        <v>7</v>
      </c>
      <c r="H3" t="s">
        <v>15</v>
      </c>
    </row>
    <row r="4" spans="1:8" x14ac:dyDescent="0.25">
      <c r="A4" t="s">
        <v>16</v>
      </c>
      <c r="B4" t="s">
        <v>17</v>
      </c>
      <c r="C4" s="27">
        <v>45869</v>
      </c>
      <c r="D4" t="s">
        <v>14</v>
      </c>
      <c r="E4" t="s">
        <v>3371</v>
      </c>
      <c r="F4">
        <v>1229.1199999999999</v>
      </c>
      <c r="G4">
        <v>1</v>
      </c>
      <c r="H4" t="s">
        <v>18</v>
      </c>
    </row>
    <row r="5" spans="1:8" x14ac:dyDescent="0.25">
      <c r="A5" t="s">
        <v>19</v>
      </c>
      <c r="B5" t="s">
        <v>20</v>
      </c>
      <c r="C5" s="27">
        <v>45175</v>
      </c>
      <c r="D5" t="s">
        <v>21</v>
      </c>
      <c r="E5" t="s">
        <v>22</v>
      </c>
      <c r="F5">
        <v>684.78</v>
      </c>
      <c r="G5">
        <v>1</v>
      </c>
      <c r="H5" t="s">
        <v>15</v>
      </c>
    </row>
    <row r="6" spans="1:8" x14ac:dyDescent="0.25">
      <c r="A6" t="s">
        <v>23</v>
      </c>
      <c r="B6" t="s">
        <v>24</v>
      </c>
      <c r="C6" s="27">
        <v>45882</v>
      </c>
      <c r="D6" t="s">
        <v>3372</v>
      </c>
      <c r="E6" t="s">
        <v>25</v>
      </c>
      <c r="F6">
        <v>1970.46</v>
      </c>
      <c r="G6">
        <v>3</v>
      </c>
      <c r="H6" t="s">
        <v>15</v>
      </c>
    </row>
    <row r="7" spans="1:8" x14ac:dyDescent="0.25">
      <c r="A7" t="s">
        <v>26</v>
      </c>
      <c r="B7" t="s">
        <v>27</v>
      </c>
      <c r="C7" s="27">
        <v>45726</v>
      </c>
      <c r="D7" t="s">
        <v>14</v>
      </c>
      <c r="E7" t="s">
        <v>22</v>
      </c>
      <c r="F7">
        <v>1214.24</v>
      </c>
      <c r="G7">
        <v>8</v>
      </c>
      <c r="H7" t="s">
        <v>18</v>
      </c>
    </row>
    <row r="8" spans="1:8" x14ac:dyDescent="0.25">
      <c r="A8" t="s">
        <v>28</v>
      </c>
      <c r="B8" t="s">
        <v>29</v>
      </c>
      <c r="C8" s="27">
        <v>45056</v>
      </c>
      <c r="D8" t="s">
        <v>3372</v>
      </c>
      <c r="E8" t="s">
        <v>11</v>
      </c>
      <c r="F8">
        <v>1716.91</v>
      </c>
      <c r="G8">
        <v>7</v>
      </c>
      <c r="H8" t="s">
        <v>18</v>
      </c>
    </row>
    <row r="9" spans="1:8" x14ac:dyDescent="0.25">
      <c r="A9" t="s">
        <v>30</v>
      </c>
      <c r="B9" t="s">
        <v>31</v>
      </c>
      <c r="C9" s="27">
        <v>45385</v>
      </c>
      <c r="D9" t="s">
        <v>10</v>
      </c>
      <c r="E9" t="s">
        <v>3370</v>
      </c>
      <c r="F9">
        <v>157.07</v>
      </c>
      <c r="G9">
        <v>8</v>
      </c>
      <c r="H9" t="s">
        <v>3369</v>
      </c>
    </row>
    <row r="10" spans="1:8" x14ac:dyDescent="0.25">
      <c r="A10" t="s">
        <v>3373</v>
      </c>
      <c r="B10" t="s">
        <v>3374</v>
      </c>
      <c r="C10" s="27">
        <v>45865</v>
      </c>
      <c r="D10" t="s">
        <v>14</v>
      </c>
      <c r="E10" t="s">
        <v>22</v>
      </c>
      <c r="F10">
        <v>70.11</v>
      </c>
      <c r="G10">
        <v>3</v>
      </c>
      <c r="H10" t="s">
        <v>15</v>
      </c>
    </row>
    <row r="11" spans="1:8" x14ac:dyDescent="0.25">
      <c r="A11" t="s">
        <v>32</v>
      </c>
      <c r="B11" t="s">
        <v>33</v>
      </c>
      <c r="C11" s="27">
        <v>45071</v>
      </c>
      <c r="D11" t="s">
        <v>3372</v>
      </c>
      <c r="E11" t="s">
        <v>34</v>
      </c>
      <c r="F11">
        <v>604.16999999999996</v>
      </c>
      <c r="H11" t="s">
        <v>35</v>
      </c>
    </row>
    <row r="12" spans="1:8" x14ac:dyDescent="0.25">
      <c r="A12" t="s">
        <v>36</v>
      </c>
      <c r="B12" t="s">
        <v>37</v>
      </c>
      <c r="C12" s="27">
        <v>45168</v>
      </c>
      <c r="D12" t="s">
        <v>10</v>
      </c>
      <c r="E12" t="s">
        <v>22</v>
      </c>
      <c r="F12">
        <v>1498.65</v>
      </c>
      <c r="G12">
        <v>10</v>
      </c>
      <c r="H12" t="s">
        <v>3369</v>
      </c>
    </row>
    <row r="13" spans="1:8" x14ac:dyDescent="0.25">
      <c r="A13" t="s">
        <v>38</v>
      </c>
      <c r="B13" t="s">
        <v>39</v>
      </c>
      <c r="C13" s="27">
        <v>44964</v>
      </c>
      <c r="D13" t="s">
        <v>10</v>
      </c>
      <c r="E13" t="s">
        <v>11</v>
      </c>
      <c r="G13">
        <v>3</v>
      </c>
      <c r="H13" t="s">
        <v>35</v>
      </c>
    </row>
    <row r="14" spans="1:8" x14ac:dyDescent="0.25">
      <c r="A14" t="s">
        <v>3375</v>
      </c>
      <c r="B14" t="s">
        <v>3376</v>
      </c>
      <c r="C14" s="27">
        <v>44934</v>
      </c>
      <c r="D14" t="s">
        <v>14</v>
      </c>
      <c r="E14" t="s">
        <v>3371</v>
      </c>
      <c r="F14">
        <v>172.41</v>
      </c>
      <c r="G14">
        <v>3</v>
      </c>
      <c r="H14" t="s">
        <v>3377</v>
      </c>
    </row>
    <row r="15" spans="1:8" x14ac:dyDescent="0.25">
      <c r="A15" t="s">
        <v>40</v>
      </c>
      <c r="B15" t="s">
        <v>41</v>
      </c>
      <c r="C15" s="27">
        <v>45116</v>
      </c>
      <c r="D15" t="s">
        <v>10</v>
      </c>
      <c r="E15" t="s">
        <v>3371</v>
      </c>
      <c r="F15">
        <v>924.82</v>
      </c>
      <c r="G15">
        <v>10</v>
      </c>
      <c r="H15" t="s">
        <v>15</v>
      </c>
    </row>
    <row r="16" spans="1:8" x14ac:dyDescent="0.25">
      <c r="A16" t="s">
        <v>42</v>
      </c>
      <c r="B16" t="s">
        <v>43</v>
      </c>
      <c r="C16" s="27">
        <v>45497</v>
      </c>
      <c r="D16" t="s">
        <v>14</v>
      </c>
      <c r="E16" t="s">
        <v>3370</v>
      </c>
      <c r="F16">
        <v>1774.52</v>
      </c>
      <c r="G16">
        <v>10</v>
      </c>
      <c r="H16" t="s">
        <v>3377</v>
      </c>
    </row>
    <row r="17" spans="1:8" x14ac:dyDescent="0.25">
      <c r="A17" t="s">
        <v>44</v>
      </c>
      <c r="B17" t="s">
        <v>45</v>
      </c>
      <c r="C17" s="27">
        <v>45729</v>
      </c>
      <c r="D17" t="s">
        <v>10</v>
      </c>
      <c r="E17" t="s">
        <v>34</v>
      </c>
      <c r="F17">
        <v>179.62</v>
      </c>
      <c r="G17">
        <v>5</v>
      </c>
      <c r="H17" t="s">
        <v>3377</v>
      </c>
    </row>
    <row r="18" spans="1:8" x14ac:dyDescent="0.25">
      <c r="A18" t="s">
        <v>46</v>
      </c>
      <c r="B18" t="s">
        <v>47</v>
      </c>
      <c r="C18" s="27">
        <v>45149</v>
      </c>
      <c r="D18" t="s">
        <v>3372</v>
      </c>
      <c r="E18" t="s">
        <v>34</v>
      </c>
      <c r="F18">
        <v>1075.44</v>
      </c>
      <c r="G18">
        <v>10</v>
      </c>
      <c r="H18" t="s">
        <v>35</v>
      </c>
    </row>
    <row r="19" spans="1:8" x14ac:dyDescent="0.25">
      <c r="A19" t="s">
        <v>48</v>
      </c>
      <c r="B19" t="s">
        <v>49</v>
      </c>
      <c r="C19" s="27">
        <v>45579</v>
      </c>
      <c r="D19" t="s">
        <v>21</v>
      </c>
      <c r="E19" t="s">
        <v>3370</v>
      </c>
      <c r="F19">
        <v>202.51</v>
      </c>
      <c r="G19">
        <v>6</v>
      </c>
      <c r="H19" t="s">
        <v>3369</v>
      </c>
    </row>
    <row r="20" spans="1:8" x14ac:dyDescent="0.25">
      <c r="A20" t="s">
        <v>50</v>
      </c>
      <c r="B20" t="s">
        <v>51</v>
      </c>
      <c r="C20" s="27">
        <v>45226</v>
      </c>
      <c r="D20" t="s">
        <v>10</v>
      </c>
      <c r="E20" t="s">
        <v>34</v>
      </c>
      <c r="F20">
        <v>803.76</v>
      </c>
      <c r="G20">
        <v>10</v>
      </c>
      <c r="H20" t="s">
        <v>3377</v>
      </c>
    </row>
    <row r="21" spans="1:8" x14ac:dyDescent="0.25">
      <c r="A21" t="s">
        <v>52</v>
      </c>
      <c r="B21" t="s">
        <v>53</v>
      </c>
      <c r="C21" s="27">
        <v>45916</v>
      </c>
      <c r="D21" t="s">
        <v>3372</v>
      </c>
      <c r="E21" t="s">
        <v>34</v>
      </c>
      <c r="F21">
        <v>1002.66</v>
      </c>
      <c r="G21">
        <v>4</v>
      </c>
      <c r="H21" t="s">
        <v>3377</v>
      </c>
    </row>
    <row r="22" spans="1:8" x14ac:dyDescent="0.25">
      <c r="A22" t="s">
        <v>54</v>
      </c>
      <c r="B22" t="s">
        <v>55</v>
      </c>
      <c r="C22" s="27">
        <v>45906</v>
      </c>
      <c r="D22" t="s">
        <v>14</v>
      </c>
      <c r="E22" t="s">
        <v>22</v>
      </c>
      <c r="F22">
        <v>1153.22</v>
      </c>
      <c r="G22">
        <v>1</v>
      </c>
      <c r="H22" t="s">
        <v>3369</v>
      </c>
    </row>
    <row r="23" spans="1:8" x14ac:dyDescent="0.25">
      <c r="A23" t="s">
        <v>56</v>
      </c>
      <c r="B23" t="s">
        <v>57</v>
      </c>
      <c r="C23" s="27">
        <v>45706</v>
      </c>
      <c r="D23" t="s">
        <v>3372</v>
      </c>
      <c r="E23" t="s">
        <v>3370</v>
      </c>
      <c r="F23">
        <v>896.2</v>
      </c>
      <c r="G23">
        <v>5</v>
      </c>
      <c r="H23" t="s">
        <v>35</v>
      </c>
    </row>
    <row r="24" spans="1:8" x14ac:dyDescent="0.25">
      <c r="A24" t="s">
        <v>58</v>
      </c>
      <c r="B24" t="s">
        <v>59</v>
      </c>
      <c r="C24" s="27">
        <v>45186</v>
      </c>
      <c r="D24" t="s">
        <v>3372</v>
      </c>
      <c r="E24" t="s">
        <v>22</v>
      </c>
      <c r="G24">
        <v>9</v>
      </c>
      <c r="H24" t="s">
        <v>3369</v>
      </c>
    </row>
    <row r="25" spans="1:8" x14ac:dyDescent="0.25">
      <c r="A25" t="s">
        <v>60</v>
      </c>
      <c r="B25" t="s">
        <v>61</v>
      </c>
      <c r="C25" s="27">
        <v>45204</v>
      </c>
      <c r="D25" t="s">
        <v>21</v>
      </c>
      <c r="E25" t="s">
        <v>25</v>
      </c>
      <c r="F25">
        <v>253.65</v>
      </c>
      <c r="G25">
        <v>10</v>
      </c>
      <c r="H25" t="s">
        <v>18</v>
      </c>
    </row>
    <row r="26" spans="1:8" x14ac:dyDescent="0.25">
      <c r="A26" t="s">
        <v>62</v>
      </c>
      <c r="B26" t="s">
        <v>63</v>
      </c>
      <c r="C26" s="27">
        <v>45851</v>
      </c>
      <c r="D26" t="s">
        <v>14</v>
      </c>
      <c r="E26" t="s">
        <v>25</v>
      </c>
      <c r="F26">
        <v>1110.18</v>
      </c>
      <c r="G26">
        <v>4</v>
      </c>
      <c r="H26" t="s">
        <v>18</v>
      </c>
    </row>
    <row r="27" spans="1:8" x14ac:dyDescent="0.25">
      <c r="A27" t="s">
        <v>64</v>
      </c>
      <c r="B27" t="s">
        <v>65</v>
      </c>
      <c r="C27" s="27">
        <v>45795</v>
      </c>
      <c r="D27" t="s">
        <v>10</v>
      </c>
      <c r="E27" t="s">
        <v>3370</v>
      </c>
      <c r="F27">
        <v>801.95</v>
      </c>
      <c r="G27">
        <v>8</v>
      </c>
      <c r="H27" t="s">
        <v>3369</v>
      </c>
    </row>
    <row r="28" spans="1:8" x14ac:dyDescent="0.25">
      <c r="A28" t="s">
        <v>66</v>
      </c>
      <c r="B28" t="s">
        <v>67</v>
      </c>
      <c r="C28" s="27">
        <v>45570</v>
      </c>
      <c r="D28" t="s">
        <v>10</v>
      </c>
      <c r="E28" t="s">
        <v>3371</v>
      </c>
      <c r="F28">
        <v>1444.05</v>
      </c>
      <c r="G28">
        <v>2</v>
      </c>
      <c r="H28" t="s">
        <v>3377</v>
      </c>
    </row>
    <row r="29" spans="1:8" x14ac:dyDescent="0.25">
      <c r="A29" t="s">
        <v>68</v>
      </c>
      <c r="B29" t="s">
        <v>69</v>
      </c>
      <c r="C29" s="27">
        <v>45855</v>
      </c>
      <c r="D29" t="s">
        <v>10</v>
      </c>
      <c r="E29" t="s">
        <v>3370</v>
      </c>
      <c r="F29">
        <v>344.25</v>
      </c>
      <c r="G29">
        <v>9</v>
      </c>
      <c r="H29" t="s">
        <v>15</v>
      </c>
    </row>
    <row r="30" spans="1:8" x14ac:dyDescent="0.25">
      <c r="A30" t="s">
        <v>70</v>
      </c>
      <c r="B30" t="s">
        <v>71</v>
      </c>
      <c r="C30" s="27">
        <v>45892</v>
      </c>
      <c r="D30" t="s">
        <v>10</v>
      </c>
      <c r="E30" t="s">
        <v>3370</v>
      </c>
      <c r="F30">
        <v>787.32</v>
      </c>
      <c r="G30">
        <v>7</v>
      </c>
      <c r="H30" t="s">
        <v>3369</v>
      </c>
    </row>
    <row r="31" spans="1:8" x14ac:dyDescent="0.25">
      <c r="A31" t="s">
        <v>72</v>
      </c>
      <c r="B31" t="s">
        <v>73</v>
      </c>
      <c r="C31" s="27">
        <v>45136</v>
      </c>
      <c r="D31" t="s">
        <v>3372</v>
      </c>
      <c r="E31" t="s">
        <v>3371</v>
      </c>
      <c r="G31">
        <v>8</v>
      </c>
      <c r="H31" t="s">
        <v>35</v>
      </c>
    </row>
    <row r="32" spans="1:8" x14ac:dyDescent="0.25">
      <c r="A32" t="s">
        <v>74</v>
      </c>
      <c r="B32" t="s">
        <v>75</v>
      </c>
      <c r="C32" s="27">
        <v>45729</v>
      </c>
      <c r="D32" t="s">
        <v>10</v>
      </c>
      <c r="E32" t="s">
        <v>34</v>
      </c>
      <c r="G32">
        <v>8</v>
      </c>
      <c r="H32" t="s">
        <v>35</v>
      </c>
    </row>
    <row r="33" spans="1:8" x14ac:dyDescent="0.25">
      <c r="A33" t="s">
        <v>76</v>
      </c>
      <c r="B33" t="s">
        <v>77</v>
      </c>
      <c r="C33" s="27">
        <v>45214</v>
      </c>
      <c r="D33" t="s">
        <v>10</v>
      </c>
      <c r="E33" t="s">
        <v>11</v>
      </c>
      <c r="F33">
        <v>608.26</v>
      </c>
      <c r="G33">
        <v>4</v>
      </c>
      <c r="H33" t="s">
        <v>3369</v>
      </c>
    </row>
    <row r="34" spans="1:8" x14ac:dyDescent="0.25">
      <c r="A34" t="s">
        <v>78</v>
      </c>
      <c r="B34" t="s">
        <v>79</v>
      </c>
      <c r="C34" s="27">
        <v>45823</v>
      </c>
      <c r="D34" t="s">
        <v>21</v>
      </c>
      <c r="E34" t="s">
        <v>3370</v>
      </c>
      <c r="F34">
        <v>1069.98</v>
      </c>
      <c r="G34">
        <v>8</v>
      </c>
      <c r="H34" t="s">
        <v>18</v>
      </c>
    </row>
    <row r="35" spans="1:8" x14ac:dyDescent="0.25">
      <c r="A35" t="s">
        <v>80</v>
      </c>
      <c r="B35" t="s">
        <v>81</v>
      </c>
      <c r="C35" s="27">
        <v>45650</v>
      </c>
      <c r="D35" t="s">
        <v>21</v>
      </c>
      <c r="E35" t="s">
        <v>22</v>
      </c>
      <c r="G35">
        <v>6</v>
      </c>
      <c r="H35" t="s">
        <v>3369</v>
      </c>
    </row>
    <row r="36" spans="1:8" x14ac:dyDescent="0.25">
      <c r="A36" t="s">
        <v>82</v>
      </c>
      <c r="B36" t="s">
        <v>83</v>
      </c>
      <c r="C36" s="27">
        <v>45151</v>
      </c>
      <c r="D36" t="s">
        <v>14</v>
      </c>
      <c r="E36" t="s">
        <v>11</v>
      </c>
      <c r="G36">
        <v>4</v>
      </c>
      <c r="H36" t="s">
        <v>15</v>
      </c>
    </row>
    <row r="37" spans="1:8" x14ac:dyDescent="0.25">
      <c r="A37" t="s">
        <v>84</v>
      </c>
      <c r="B37" t="s">
        <v>85</v>
      </c>
      <c r="C37" s="27">
        <v>45731</v>
      </c>
      <c r="D37" t="s">
        <v>14</v>
      </c>
      <c r="E37" t="s">
        <v>3371</v>
      </c>
      <c r="F37">
        <v>1787.89</v>
      </c>
      <c r="G37">
        <v>2</v>
      </c>
      <c r="H37" t="s">
        <v>3369</v>
      </c>
    </row>
    <row r="38" spans="1:8" x14ac:dyDescent="0.25">
      <c r="A38" t="s">
        <v>86</v>
      </c>
      <c r="B38" t="s">
        <v>87</v>
      </c>
      <c r="C38" s="27">
        <v>45684</v>
      </c>
      <c r="D38" t="s">
        <v>3372</v>
      </c>
      <c r="E38" t="s">
        <v>11</v>
      </c>
      <c r="F38">
        <v>1299.95</v>
      </c>
      <c r="G38">
        <v>9</v>
      </c>
      <c r="H38" t="s">
        <v>3369</v>
      </c>
    </row>
    <row r="39" spans="1:8" x14ac:dyDescent="0.25">
      <c r="A39" t="s">
        <v>88</v>
      </c>
      <c r="B39" t="s">
        <v>89</v>
      </c>
      <c r="C39" s="27">
        <v>44949</v>
      </c>
      <c r="D39" t="s">
        <v>21</v>
      </c>
      <c r="E39" t="s">
        <v>22</v>
      </c>
      <c r="F39">
        <v>591.9</v>
      </c>
      <c r="G39">
        <v>2</v>
      </c>
      <c r="H39" t="s">
        <v>18</v>
      </c>
    </row>
    <row r="40" spans="1:8" x14ac:dyDescent="0.25">
      <c r="A40" t="s">
        <v>90</v>
      </c>
      <c r="B40" t="s">
        <v>91</v>
      </c>
      <c r="C40" s="27">
        <v>45529</v>
      </c>
      <c r="D40" t="s">
        <v>14</v>
      </c>
      <c r="E40" t="s">
        <v>11</v>
      </c>
      <c r="F40">
        <v>805.52</v>
      </c>
      <c r="G40">
        <v>1</v>
      </c>
      <c r="H40" t="s">
        <v>3377</v>
      </c>
    </row>
    <row r="41" spans="1:8" x14ac:dyDescent="0.25">
      <c r="A41" t="s">
        <v>92</v>
      </c>
      <c r="B41" t="s">
        <v>93</v>
      </c>
      <c r="C41" s="27">
        <v>45651</v>
      </c>
      <c r="D41" t="s">
        <v>3372</v>
      </c>
      <c r="E41" t="s">
        <v>3370</v>
      </c>
      <c r="F41">
        <v>90.84</v>
      </c>
      <c r="G41">
        <v>1</v>
      </c>
      <c r="H41" t="s">
        <v>3377</v>
      </c>
    </row>
    <row r="42" spans="1:8" x14ac:dyDescent="0.25">
      <c r="A42" t="s">
        <v>94</v>
      </c>
      <c r="B42" t="s">
        <v>95</v>
      </c>
      <c r="C42" s="27">
        <v>45669</v>
      </c>
      <c r="D42" t="s">
        <v>21</v>
      </c>
      <c r="E42" t="s">
        <v>3370</v>
      </c>
      <c r="G42">
        <v>9</v>
      </c>
      <c r="H42" t="s">
        <v>18</v>
      </c>
    </row>
    <row r="43" spans="1:8" x14ac:dyDescent="0.25">
      <c r="A43" t="s">
        <v>96</v>
      </c>
      <c r="B43" t="s">
        <v>97</v>
      </c>
      <c r="C43" s="27">
        <v>45057</v>
      </c>
      <c r="D43" t="s">
        <v>3372</v>
      </c>
      <c r="E43" t="s">
        <v>25</v>
      </c>
      <c r="F43">
        <v>1563.46</v>
      </c>
      <c r="G43">
        <v>1</v>
      </c>
      <c r="H43" t="s">
        <v>15</v>
      </c>
    </row>
    <row r="44" spans="1:8" x14ac:dyDescent="0.25">
      <c r="A44" t="s">
        <v>98</v>
      </c>
      <c r="B44" t="s">
        <v>99</v>
      </c>
      <c r="C44" s="27">
        <v>45604</v>
      </c>
      <c r="D44" t="s">
        <v>10</v>
      </c>
      <c r="E44" t="s">
        <v>11</v>
      </c>
      <c r="F44">
        <v>853.63</v>
      </c>
      <c r="G44">
        <v>10</v>
      </c>
      <c r="H44" t="s">
        <v>15</v>
      </c>
    </row>
    <row r="45" spans="1:8" x14ac:dyDescent="0.25">
      <c r="A45" t="s">
        <v>100</v>
      </c>
      <c r="B45" t="s">
        <v>101</v>
      </c>
      <c r="C45" s="27">
        <v>45340</v>
      </c>
      <c r="D45" t="s">
        <v>3372</v>
      </c>
      <c r="E45" t="s">
        <v>3370</v>
      </c>
      <c r="F45">
        <v>1564.49</v>
      </c>
      <c r="G45">
        <v>6</v>
      </c>
      <c r="H45" t="s">
        <v>3369</v>
      </c>
    </row>
    <row r="46" spans="1:8" x14ac:dyDescent="0.25">
      <c r="A46" t="s">
        <v>102</v>
      </c>
      <c r="B46" t="s">
        <v>103</v>
      </c>
      <c r="C46" s="27">
        <v>45600</v>
      </c>
      <c r="D46" t="s">
        <v>10</v>
      </c>
      <c r="E46" t="s">
        <v>22</v>
      </c>
      <c r="F46">
        <v>388.29</v>
      </c>
      <c r="G46">
        <v>6</v>
      </c>
      <c r="H46" t="s">
        <v>35</v>
      </c>
    </row>
    <row r="47" spans="1:8" x14ac:dyDescent="0.25">
      <c r="A47" t="s">
        <v>104</v>
      </c>
      <c r="B47" t="s">
        <v>105</v>
      </c>
      <c r="C47" s="27">
        <v>44946</v>
      </c>
      <c r="D47" t="s">
        <v>3372</v>
      </c>
      <c r="E47" t="s">
        <v>3371</v>
      </c>
      <c r="G47">
        <v>8</v>
      </c>
      <c r="H47" t="s">
        <v>18</v>
      </c>
    </row>
    <row r="48" spans="1:8" x14ac:dyDescent="0.25">
      <c r="A48" t="s">
        <v>106</v>
      </c>
      <c r="B48" t="s">
        <v>107</v>
      </c>
      <c r="C48" s="27">
        <v>45923</v>
      </c>
      <c r="D48" t="s">
        <v>10</v>
      </c>
      <c r="E48" t="s">
        <v>11</v>
      </c>
      <c r="F48">
        <v>1984.26</v>
      </c>
      <c r="G48">
        <v>9</v>
      </c>
      <c r="H48" t="s">
        <v>15</v>
      </c>
    </row>
    <row r="49" spans="1:8" x14ac:dyDescent="0.25">
      <c r="A49" t="s">
        <v>108</v>
      </c>
      <c r="B49" t="s">
        <v>109</v>
      </c>
      <c r="C49" s="27">
        <v>44862</v>
      </c>
      <c r="D49" t="s">
        <v>10</v>
      </c>
      <c r="E49" t="s">
        <v>3371</v>
      </c>
      <c r="G49">
        <v>6</v>
      </c>
      <c r="H49" t="s">
        <v>3369</v>
      </c>
    </row>
    <row r="50" spans="1:8" x14ac:dyDescent="0.25">
      <c r="A50" t="s">
        <v>110</v>
      </c>
      <c r="B50" t="s">
        <v>111</v>
      </c>
      <c r="C50" s="27">
        <v>45664</v>
      </c>
      <c r="D50" t="s">
        <v>21</v>
      </c>
      <c r="E50" t="s">
        <v>3371</v>
      </c>
      <c r="F50">
        <v>1596.95</v>
      </c>
      <c r="G50">
        <v>4</v>
      </c>
      <c r="H50" t="s">
        <v>3369</v>
      </c>
    </row>
    <row r="51" spans="1:8" x14ac:dyDescent="0.25">
      <c r="A51" t="s">
        <v>112</v>
      </c>
      <c r="B51" t="s">
        <v>113</v>
      </c>
      <c r="C51" s="27">
        <v>45487</v>
      </c>
      <c r="D51" t="s">
        <v>14</v>
      </c>
      <c r="E51" t="s">
        <v>3371</v>
      </c>
      <c r="F51">
        <v>700.29</v>
      </c>
      <c r="H51" t="s">
        <v>3369</v>
      </c>
    </row>
    <row r="52" spans="1:8" x14ac:dyDescent="0.25">
      <c r="A52" t="s">
        <v>114</v>
      </c>
      <c r="B52" t="s">
        <v>115</v>
      </c>
      <c r="C52" s="27">
        <v>45686</v>
      </c>
      <c r="D52" t="s">
        <v>3372</v>
      </c>
      <c r="E52" t="s">
        <v>3371</v>
      </c>
      <c r="F52">
        <v>1876.56</v>
      </c>
      <c r="G52">
        <v>2</v>
      </c>
      <c r="H52" t="s">
        <v>18</v>
      </c>
    </row>
    <row r="53" spans="1:8" x14ac:dyDescent="0.25">
      <c r="A53" t="s">
        <v>116</v>
      </c>
      <c r="B53" t="s">
        <v>117</v>
      </c>
      <c r="C53" s="27">
        <v>44997</v>
      </c>
      <c r="D53" t="s">
        <v>21</v>
      </c>
      <c r="E53" t="s">
        <v>11</v>
      </c>
      <c r="F53">
        <v>917.36</v>
      </c>
      <c r="G53">
        <v>10</v>
      </c>
      <c r="H53" t="s">
        <v>3377</v>
      </c>
    </row>
    <row r="54" spans="1:8" x14ac:dyDescent="0.25">
      <c r="A54" t="s">
        <v>118</v>
      </c>
      <c r="B54" t="s">
        <v>119</v>
      </c>
      <c r="C54" s="27">
        <v>45591</v>
      </c>
      <c r="D54" t="s">
        <v>10</v>
      </c>
      <c r="E54" t="s">
        <v>11</v>
      </c>
      <c r="F54">
        <v>779.44</v>
      </c>
      <c r="G54">
        <v>10</v>
      </c>
      <c r="H54" t="s">
        <v>3369</v>
      </c>
    </row>
    <row r="55" spans="1:8" x14ac:dyDescent="0.25">
      <c r="A55" t="s">
        <v>120</v>
      </c>
      <c r="B55" t="s">
        <v>121</v>
      </c>
      <c r="C55" s="27">
        <v>45614</v>
      </c>
      <c r="D55" t="s">
        <v>21</v>
      </c>
      <c r="E55" t="s">
        <v>25</v>
      </c>
      <c r="F55">
        <v>170.59</v>
      </c>
      <c r="G55">
        <v>6</v>
      </c>
      <c r="H55" t="s">
        <v>3369</v>
      </c>
    </row>
    <row r="56" spans="1:8" x14ac:dyDescent="0.25">
      <c r="A56" t="s">
        <v>122</v>
      </c>
      <c r="B56" t="s">
        <v>123</v>
      </c>
      <c r="C56" s="27">
        <v>45443</v>
      </c>
      <c r="D56" t="s">
        <v>10</v>
      </c>
      <c r="E56" t="s">
        <v>11</v>
      </c>
      <c r="F56">
        <v>1930.94</v>
      </c>
      <c r="G56">
        <v>6</v>
      </c>
      <c r="H56" t="s">
        <v>15</v>
      </c>
    </row>
    <row r="57" spans="1:8" x14ac:dyDescent="0.25">
      <c r="A57" t="s">
        <v>124</v>
      </c>
      <c r="B57" t="s">
        <v>125</v>
      </c>
      <c r="C57" s="27">
        <v>45561</v>
      </c>
      <c r="D57" t="s">
        <v>14</v>
      </c>
      <c r="E57" t="s">
        <v>34</v>
      </c>
      <c r="F57">
        <v>100.19</v>
      </c>
      <c r="G57">
        <v>1</v>
      </c>
      <c r="H57" t="s">
        <v>3377</v>
      </c>
    </row>
    <row r="58" spans="1:8" x14ac:dyDescent="0.25">
      <c r="A58" t="s">
        <v>126</v>
      </c>
      <c r="B58" t="s">
        <v>127</v>
      </c>
      <c r="C58" s="27">
        <v>45346</v>
      </c>
      <c r="D58" t="s">
        <v>3372</v>
      </c>
      <c r="E58" t="s">
        <v>34</v>
      </c>
      <c r="F58">
        <v>789.66</v>
      </c>
      <c r="G58">
        <v>9</v>
      </c>
      <c r="H58" t="s">
        <v>3369</v>
      </c>
    </row>
    <row r="59" spans="1:8" x14ac:dyDescent="0.25">
      <c r="A59" t="s">
        <v>128</v>
      </c>
      <c r="B59" t="s">
        <v>129</v>
      </c>
      <c r="C59" s="27">
        <v>45778</v>
      </c>
      <c r="D59" t="s">
        <v>10</v>
      </c>
      <c r="E59" t="s">
        <v>3371</v>
      </c>
      <c r="F59">
        <v>48.17</v>
      </c>
      <c r="G59">
        <v>4</v>
      </c>
      <c r="H59" t="s">
        <v>18</v>
      </c>
    </row>
    <row r="60" spans="1:8" x14ac:dyDescent="0.25">
      <c r="A60" t="s">
        <v>130</v>
      </c>
      <c r="B60" t="s">
        <v>131</v>
      </c>
      <c r="C60" s="27">
        <v>45820</v>
      </c>
      <c r="D60" t="s">
        <v>21</v>
      </c>
      <c r="E60" t="s">
        <v>34</v>
      </c>
      <c r="F60">
        <v>996.52</v>
      </c>
      <c r="G60">
        <v>5</v>
      </c>
      <c r="H60" t="s">
        <v>35</v>
      </c>
    </row>
    <row r="61" spans="1:8" x14ac:dyDescent="0.25">
      <c r="A61" t="s">
        <v>132</v>
      </c>
      <c r="B61" t="s">
        <v>133</v>
      </c>
      <c r="C61" s="27">
        <v>45858</v>
      </c>
      <c r="D61" t="s">
        <v>10</v>
      </c>
      <c r="E61" t="s">
        <v>25</v>
      </c>
      <c r="G61">
        <v>9</v>
      </c>
      <c r="H61" t="s">
        <v>18</v>
      </c>
    </row>
    <row r="62" spans="1:8" x14ac:dyDescent="0.25">
      <c r="A62" t="s">
        <v>134</v>
      </c>
      <c r="B62" t="s">
        <v>135</v>
      </c>
      <c r="C62" s="27">
        <v>45522</v>
      </c>
      <c r="D62" t="s">
        <v>3372</v>
      </c>
      <c r="E62" t="s">
        <v>3370</v>
      </c>
      <c r="F62">
        <v>1035.44</v>
      </c>
      <c r="G62">
        <v>2</v>
      </c>
      <c r="H62" t="s">
        <v>18</v>
      </c>
    </row>
    <row r="63" spans="1:8" x14ac:dyDescent="0.25">
      <c r="A63" t="s">
        <v>136</v>
      </c>
      <c r="B63" t="s">
        <v>137</v>
      </c>
      <c r="C63" s="27">
        <v>45901</v>
      </c>
      <c r="D63" t="s">
        <v>21</v>
      </c>
      <c r="E63" t="s">
        <v>34</v>
      </c>
      <c r="F63">
        <v>1021.02</v>
      </c>
      <c r="G63">
        <v>4</v>
      </c>
      <c r="H63" t="s">
        <v>3369</v>
      </c>
    </row>
    <row r="64" spans="1:8" x14ac:dyDescent="0.25">
      <c r="A64" t="s">
        <v>138</v>
      </c>
      <c r="B64" t="s">
        <v>139</v>
      </c>
      <c r="C64" s="27">
        <v>45181</v>
      </c>
      <c r="D64" t="s">
        <v>3372</v>
      </c>
      <c r="E64" t="s">
        <v>11</v>
      </c>
      <c r="F64">
        <v>64.760000000000005</v>
      </c>
      <c r="G64">
        <v>3</v>
      </c>
      <c r="H64" t="s">
        <v>35</v>
      </c>
    </row>
    <row r="65" spans="1:8" x14ac:dyDescent="0.25">
      <c r="A65" t="s">
        <v>140</v>
      </c>
      <c r="B65" t="s">
        <v>141</v>
      </c>
      <c r="C65" s="27">
        <v>45423</v>
      </c>
      <c r="D65" t="s">
        <v>3372</v>
      </c>
      <c r="E65" t="s">
        <v>22</v>
      </c>
      <c r="G65">
        <v>1</v>
      </c>
      <c r="H65" t="s">
        <v>15</v>
      </c>
    </row>
    <row r="66" spans="1:8" x14ac:dyDescent="0.25">
      <c r="A66" t="s">
        <v>142</v>
      </c>
      <c r="B66" t="s">
        <v>143</v>
      </c>
      <c r="C66" s="27">
        <v>45012</v>
      </c>
      <c r="D66" t="s">
        <v>21</v>
      </c>
      <c r="E66" t="s">
        <v>3371</v>
      </c>
      <c r="F66">
        <v>1194.6600000000001</v>
      </c>
      <c r="G66">
        <v>6</v>
      </c>
      <c r="H66" t="s">
        <v>35</v>
      </c>
    </row>
    <row r="67" spans="1:8" x14ac:dyDescent="0.25">
      <c r="A67" t="s">
        <v>144</v>
      </c>
      <c r="B67" t="s">
        <v>145</v>
      </c>
      <c r="C67" s="27">
        <v>44873</v>
      </c>
      <c r="D67" t="s">
        <v>14</v>
      </c>
      <c r="E67" t="s">
        <v>3371</v>
      </c>
      <c r="F67">
        <v>432.25</v>
      </c>
      <c r="G67">
        <v>1</v>
      </c>
      <c r="H67" t="s">
        <v>35</v>
      </c>
    </row>
    <row r="68" spans="1:8" x14ac:dyDescent="0.25">
      <c r="A68" t="s">
        <v>146</v>
      </c>
      <c r="B68" t="s">
        <v>147</v>
      </c>
      <c r="C68" s="27">
        <v>45840</v>
      </c>
      <c r="D68" t="s">
        <v>3372</v>
      </c>
      <c r="E68" t="s">
        <v>22</v>
      </c>
      <c r="F68">
        <v>308.01</v>
      </c>
      <c r="G68">
        <v>6</v>
      </c>
      <c r="H68" t="s">
        <v>15</v>
      </c>
    </row>
    <row r="69" spans="1:8" x14ac:dyDescent="0.25">
      <c r="A69" t="s">
        <v>148</v>
      </c>
      <c r="B69" t="s">
        <v>149</v>
      </c>
      <c r="C69" s="27">
        <v>44964</v>
      </c>
      <c r="D69" t="s">
        <v>10</v>
      </c>
      <c r="E69" t="s">
        <v>22</v>
      </c>
      <c r="F69">
        <v>744.05</v>
      </c>
      <c r="G69">
        <v>9</v>
      </c>
      <c r="H69" t="s">
        <v>35</v>
      </c>
    </row>
    <row r="70" spans="1:8" x14ac:dyDescent="0.25">
      <c r="A70" t="s">
        <v>150</v>
      </c>
      <c r="B70" t="s">
        <v>151</v>
      </c>
      <c r="C70" s="27">
        <v>45822</v>
      </c>
      <c r="D70" t="s">
        <v>3372</v>
      </c>
      <c r="E70" t="s">
        <v>3371</v>
      </c>
      <c r="F70">
        <v>1118.08</v>
      </c>
      <c r="G70">
        <v>3</v>
      </c>
      <c r="H70" t="s">
        <v>3369</v>
      </c>
    </row>
    <row r="71" spans="1:8" x14ac:dyDescent="0.25">
      <c r="A71" t="s">
        <v>152</v>
      </c>
      <c r="B71" t="s">
        <v>153</v>
      </c>
      <c r="C71" s="27">
        <v>45136</v>
      </c>
      <c r="D71" t="s">
        <v>21</v>
      </c>
      <c r="E71" t="s">
        <v>3371</v>
      </c>
      <c r="G71">
        <v>9</v>
      </c>
      <c r="H71" t="s">
        <v>3377</v>
      </c>
    </row>
    <row r="72" spans="1:8" x14ac:dyDescent="0.25">
      <c r="A72" t="s">
        <v>154</v>
      </c>
      <c r="B72" t="s">
        <v>155</v>
      </c>
      <c r="C72" s="27">
        <v>45902</v>
      </c>
      <c r="D72" t="s">
        <v>14</v>
      </c>
      <c r="E72" t="s">
        <v>11</v>
      </c>
      <c r="F72">
        <v>1738.28</v>
      </c>
      <c r="G72">
        <v>1</v>
      </c>
      <c r="H72" t="s">
        <v>3369</v>
      </c>
    </row>
    <row r="73" spans="1:8" x14ac:dyDescent="0.25">
      <c r="A73" t="s">
        <v>156</v>
      </c>
      <c r="B73" t="s">
        <v>157</v>
      </c>
      <c r="C73" s="27">
        <v>45255</v>
      </c>
      <c r="D73" t="s">
        <v>3372</v>
      </c>
      <c r="E73" t="s">
        <v>34</v>
      </c>
      <c r="F73">
        <v>140.78</v>
      </c>
      <c r="G73">
        <v>9</v>
      </c>
      <c r="H73" t="s">
        <v>3377</v>
      </c>
    </row>
    <row r="74" spans="1:8" x14ac:dyDescent="0.25">
      <c r="A74" t="s">
        <v>158</v>
      </c>
      <c r="B74" t="s">
        <v>159</v>
      </c>
      <c r="C74" s="27">
        <v>45206</v>
      </c>
      <c r="D74" t="s">
        <v>21</v>
      </c>
      <c r="E74" t="s">
        <v>11</v>
      </c>
      <c r="F74">
        <v>1206.3399999999999</v>
      </c>
      <c r="G74">
        <v>3</v>
      </c>
      <c r="H74" t="s">
        <v>3369</v>
      </c>
    </row>
    <row r="75" spans="1:8" x14ac:dyDescent="0.25">
      <c r="A75" t="s">
        <v>160</v>
      </c>
      <c r="B75" t="s">
        <v>161</v>
      </c>
      <c r="C75" s="27">
        <v>45724</v>
      </c>
      <c r="D75" t="s">
        <v>10</v>
      </c>
      <c r="E75" t="s">
        <v>11</v>
      </c>
      <c r="F75">
        <v>837.63</v>
      </c>
      <c r="G75">
        <v>7</v>
      </c>
      <c r="H75" t="s">
        <v>18</v>
      </c>
    </row>
    <row r="76" spans="1:8" x14ac:dyDescent="0.25">
      <c r="A76" t="s">
        <v>162</v>
      </c>
      <c r="B76" t="s">
        <v>163</v>
      </c>
      <c r="C76" s="27">
        <v>45251</v>
      </c>
      <c r="D76" t="s">
        <v>10</v>
      </c>
      <c r="E76" t="s">
        <v>11</v>
      </c>
      <c r="F76">
        <v>1371.92</v>
      </c>
      <c r="G76">
        <v>10</v>
      </c>
      <c r="H76" t="s">
        <v>3377</v>
      </c>
    </row>
    <row r="77" spans="1:8" x14ac:dyDescent="0.25">
      <c r="A77" t="s">
        <v>164</v>
      </c>
      <c r="B77" t="s">
        <v>165</v>
      </c>
      <c r="C77" s="27">
        <v>44939</v>
      </c>
      <c r="D77" t="s">
        <v>10</v>
      </c>
      <c r="E77" t="s">
        <v>11</v>
      </c>
      <c r="F77">
        <v>1834.61</v>
      </c>
      <c r="G77">
        <v>7</v>
      </c>
      <c r="H77" t="s">
        <v>3369</v>
      </c>
    </row>
    <row r="78" spans="1:8" x14ac:dyDescent="0.25">
      <c r="A78" t="s">
        <v>166</v>
      </c>
      <c r="B78" t="s">
        <v>167</v>
      </c>
      <c r="C78" s="27">
        <v>45668</v>
      </c>
      <c r="D78" t="s">
        <v>10</v>
      </c>
      <c r="E78" t="s">
        <v>22</v>
      </c>
      <c r="G78">
        <v>5</v>
      </c>
      <c r="H78" t="s">
        <v>15</v>
      </c>
    </row>
    <row r="79" spans="1:8" x14ac:dyDescent="0.25">
      <c r="A79" t="s">
        <v>168</v>
      </c>
      <c r="B79" t="s">
        <v>169</v>
      </c>
      <c r="C79" s="27">
        <v>45128</v>
      </c>
      <c r="D79" t="s">
        <v>10</v>
      </c>
      <c r="E79" t="s">
        <v>11</v>
      </c>
      <c r="F79">
        <v>751.46</v>
      </c>
      <c r="G79">
        <v>1</v>
      </c>
      <c r="H79" t="s">
        <v>35</v>
      </c>
    </row>
    <row r="80" spans="1:8" x14ac:dyDescent="0.25">
      <c r="A80" t="s">
        <v>170</v>
      </c>
      <c r="B80" t="s">
        <v>171</v>
      </c>
      <c r="C80" s="27">
        <v>45568</v>
      </c>
      <c r="D80" t="s">
        <v>3372</v>
      </c>
      <c r="E80" t="s">
        <v>3370</v>
      </c>
      <c r="F80">
        <v>1806.45</v>
      </c>
      <c r="G80">
        <v>3</v>
      </c>
      <c r="H80" t="s">
        <v>3377</v>
      </c>
    </row>
    <row r="81" spans="1:8" x14ac:dyDescent="0.25">
      <c r="A81" t="s">
        <v>172</v>
      </c>
      <c r="B81" t="s">
        <v>173</v>
      </c>
      <c r="C81" s="27">
        <v>45930</v>
      </c>
      <c r="D81" t="s">
        <v>3372</v>
      </c>
      <c r="E81" t="s">
        <v>22</v>
      </c>
      <c r="F81">
        <v>1555.95</v>
      </c>
      <c r="G81">
        <v>8</v>
      </c>
      <c r="H81" t="s">
        <v>3377</v>
      </c>
    </row>
    <row r="82" spans="1:8" x14ac:dyDescent="0.25">
      <c r="A82" t="s">
        <v>174</v>
      </c>
      <c r="B82" t="s">
        <v>175</v>
      </c>
      <c r="C82" s="27">
        <v>44908</v>
      </c>
      <c r="D82" t="s">
        <v>14</v>
      </c>
      <c r="E82" t="s">
        <v>25</v>
      </c>
      <c r="F82">
        <v>91.97</v>
      </c>
      <c r="G82">
        <v>2</v>
      </c>
      <c r="H82" t="s">
        <v>3377</v>
      </c>
    </row>
    <row r="83" spans="1:8" x14ac:dyDescent="0.25">
      <c r="A83" t="s">
        <v>176</v>
      </c>
      <c r="B83" t="s">
        <v>177</v>
      </c>
      <c r="C83" s="27">
        <v>45102</v>
      </c>
      <c r="D83" t="s">
        <v>14</v>
      </c>
      <c r="E83" t="s">
        <v>22</v>
      </c>
      <c r="G83">
        <v>7</v>
      </c>
      <c r="H83" t="s">
        <v>3369</v>
      </c>
    </row>
    <row r="84" spans="1:8" x14ac:dyDescent="0.25">
      <c r="A84" t="s">
        <v>178</v>
      </c>
      <c r="B84" t="s">
        <v>179</v>
      </c>
      <c r="C84" s="27">
        <v>45275</v>
      </c>
      <c r="D84" t="s">
        <v>21</v>
      </c>
      <c r="E84" t="s">
        <v>34</v>
      </c>
      <c r="F84">
        <v>1797.95</v>
      </c>
      <c r="G84">
        <v>6</v>
      </c>
      <c r="H84" t="s">
        <v>3369</v>
      </c>
    </row>
    <row r="85" spans="1:8" x14ac:dyDescent="0.25">
      <c r="A85" t="s">
        <v>180</v>
      </c>
      <c r="B85" t="s">
        <v>181</v>
      </c>
      <c r="C85" s="27">
        <v>45140</v>
      </c>
      <c r="D85" t="s">
        <v>21</v>
      </c>
      <c r="E85" t="s">
        <v>11</v>
      </c>
      <c r="G85">
        <v>2</v>
      </c>
      <c r="H85" t="s">
        <v>35</v>
      </c>
    </row>
    <row r="86" spans="1:8" x14ac:dyDescent="0.25">
      <c r="A86" t="s">
        <v>182</v>
      </c>
      <c r="B86" t="s">
        <v>183</v>
      </c>
      <c r="C86" s="27">
        <v>45561</v>
      </c>
      <c r="D86" t="s">
        <v>21</v>
      </c>
      <c r="E86" t="s">
        <v>11</v>
      </c>
      <c r="G86">
        <v>1</v>
      </c>
      <c r="H86" t="s">
        <v>15</v>
      </c>
    </row>
    <row r="87" spans="1:8" x14ac:dyDescent="0.25">
      <c r="A87" t="s">
        <v>184</v>
      </c>
      <c r="B87" t="s">
        <v>185</v>
      </c>
      <c r="C87" s="27">
        <v>45429</v>
      </c>
      <c r="D87" t="s">
        <v>3372</v>
      </c>
      <c r="E87" t="s">
        <v>34</v>
      </c>
      <c r="F87">
        <v>1217.1099999999999</v>
      </c>
      <c r="G87">
        <v>8</v>
      </c>
      <c r="H87" t="s">
        <v>3369</v>
      </c>
    </row>
    <row r="88" spans="1:8" x14ac:dyDescent="0.25">
      <c r="A88" t="s">
        <v>186</v>
      </c>
      <c r="B88" t="s">
        <v>187</v>
      </c>
      <c r="C88" s="27">
        <v>45203</v>
      </c>
      <c r="D88" t="s">
        <v>10</v>
      </c>
      <c r="E88" t="s">
        <v>25</v>
      </c>
      <c r="F88">
        <v>603.9</v>
      </c>
      <c r="G88">
        <v>3</v>
      </c>
      <c r="H88" t="s">
        <v>3377</v>
      </c>
    </row>
    <row r="89" spans="1:8" x14ac:dyDescent="0.25">
      <c r="A89" t="s">
        <v>188</v>
      </c>
      <c r="B89" t="s">
        <v>189</v>
      </c>
      <c r="C89" s="27">
        <v>45212</v>
      </c>
      <c r="D89" t="s">
        <v>3372</v>
      </c>
      <c r="E89" t="s">
        <v>25</v>
      </c>
      <c r="F89">
        <v>438.72</v>
      </c>
      <c r="G89">
        <v>9</v>
      </c>
      <c r="H89" t="s">
        <v>3369</v>
      </c>
    </row>
    <row r="90" spans="1:8" x14ac:dyDescent="0.25">
      <c r="A90" t="s">
        <v>190</v>
      </c>
      <c r="B90" t="s">
        <v>191</v>
      </c>
      <c r="C90" s="27">
        <v>45666</v>
      </c>
      <c r="D90" t="s">
        <v>21</v>
      </c>
      <c r="E90" t="s">
        <v>34</v>
      </c>
      <c r="F90">
        <v>1800.25</v>
      </c>
      <c r="G90">
        <v>9</v>
      </c>
      <c r="H90" t="s">
        <v>15</v>
      </c>
    </row>
    <row r="91" spans="1:8" x14ac:dyDescent="0.25">
      <c r="A91" t="s">
        <v>192</v>
      </c>
      <c r="B91" t="s">
        <v>193</v>
      </c>
      <c r="C91" s="27">
        <v>45583</v>
      </c>
      <c r="D91" t="s">
        <v>3372</v>
      </c>
      <c r="E91" t="s">
        <v>11</v>
      </c>
      <c r="F91">
        <v>1989.08</v>
      </c>
      <c r="G91">
        <v>5</v>
      </c>
      <c r="H91" t="s">
        <v>35</v>
      </c>
    </row>
    <row r="92" spans="1:8" x14ac:dyDescent="0.25">
      <c r="A92" t="s">
        <v>194</v>
      </c>
      <c r="B92" t="s">
        <v>195</v>
      </c>
      <c r="C92" s="27">
        <v>45877</v>
      </c>
      <c r="D92" t="s">
        <v>14</v>
      </c>
      <c r="E92" t="s">
        <v>25</v>
      </c>
      <c r="F92">
        <v>1607.17</v>
      </c>
      <c r="G92">
        <v>5</v>
      </c>
      <c r="H92" t="s">
        <v>15</v>
      </c>
    </row>
    <row r="93" spans="1:8" x14ac:dyDescent="0.25">
      <c r="A93" t="s">
        <v>196</v>
      </c>
      <c r="B93" t="s">
        <v>197</v>
      </c>
      <c r="C93" s="27">
        <v>45106</v>
      </c>
      <c r="D93" t="s">
        <v>3372</v>
      </c>
      <c r="E93" t="s">
        <v>25</v>
      </c>
      <c r="F93">
        <v>1789.76</v>
      </c>
      <c r="G93">
        <v>4</v>
      </c>
      <c r="H93" t="s">
        <v>18</v>
      </c>
    </row>
    <row r="94" spans="1:8" x14ac:dyDescent="0.25">
      <c r="A94" t="s">
        <v>198</v>
      </c>
      <c r="B94" t="s">
        <v>199</v>
      </c>
      <c r="C94" s="27">
        <v>45515</v>
      </c>
      <c r="D94" t="s">
        <v>3372</v>
      </c>
      <c r="E94" t="s">
        <v>22</v>
      </c>
      <c r="F94">
        <v>295.13</v>
      </c>
      <c r="G94">
        <v>10</v>
      </c>
      <c r="H94" t="s">
        <v>15</v>
      </c>
    </row>
    <row r="95" spans="1:8" x14ac:dyDescent="0.25">
      <c r="A95" t="s">
        <v>200</v>
      </c>
      <c r="B95" t="s">
        <v>201</v>
      </c>
      <c r="C95" s="27">
        <v>45746</v>
      </c>
      <c r="D95" t="s">
        <v>10</v>
      </c>
      <c r="E95" t="s">
        <v>3371</v>
      </c>
      <c r="F95">
        <v>1991.2</v>
      </c>
      <c r="H95" t="s">
        <v>3377</v>
      </c>
    </row>
    <row r="96" spans="1:8" x14ac:dyDescent="0.25">
      <c r="A96" t="s">
        <v>202</v>
      </c>
      <c r="B96" t="s">
        <v>203</v>
      </c>
      <c r="C96" s="27">
        <v>45214</v>
      </c>
      <c r="D96" t="s">
        <v>10</v>
      </c>
      <c r="E96" t="s">
        <v>25</v>
      </c>
      <c r="F96">
        <v>845.97</v>
      </c>
      <c r="G96">
        <v>6</v>
      </c>
      <c r="H96" t="s">
        <v>15</v>
      </c>
    </row>
    <row r="97" spans="1:8" x14ac:dyDescent="0.25">
      <c r="A97" t="s">
        <v>204</v>
      </c>
      <c r="B97" t="s">
        <v>205</v>
      </c>
      <c r="C97" s="27">
        <v>45138</v>
      </c>
      <c r="D97" t="s">
        <v>10</v>
      </c>
      <c r="E97" t="s">
        <v>34</v>
      </c>
      <c r="F97">
        <v>1400.24</v>
      </c>
      <c r="G97">
        <v>4</v>
      </c>
      <c r="H97" t="s">
        <v>35</v>
      </c>
    </row>
    <row r="98" spans="1:8" x14ac:dyDescent="0.25">
      <c r="A98" t="s">
        <v>206</v>
      </c>
      <c r="B98" t="s">
        <v>207</v>
      </c>
      <c r="C98" s="27">
        <v>45217</v>
      </c>
      <c r="D98" t="s">
        <v>3372</v>
      </c>
      <c r="E98" t="s">
        <v>11</v>
      </c>
      <c r="F98">
        <v>764.37</v>
      </c>
      <c r="G98">
        <v>10</v>
      </c>
      <c r="H98" t="s">
        <v>35</v>
      </c>
    </row>
    <row r="99" spans="1:8" x14ac:dyDescent="0.25">
      <c r="A99" t="s">
        <v>208</v>
      </c>
      <c r="B99" t="s">
        <v>209</v>
      </c>
      <c r="C99" s="27">
        <v>44865</v>
      </c>
      <c r="D99" t="s">
        <v>10</v>
      </c>
      <c r="E99" t="s">
        <v>34</v>
      </c>
      <c r="F99">
        <v>755.12</v>
      </c>
      <c r="G99">
        <v>9</v>
      </c>
      <c r="H99" t="s">
        <v>15</v>
      </c>
    </row>
    <row r="100" spans="1:8" x14ac:dyDescent="0.25">
      <c r="A100" t="s">
        <v>210</v>
      </c>
      <c r="B100" t="s">
        <v>211</v>
      </c>
      <c r="C100" s="27">
        <v>45157</v>
      </c>
      <c r="D100" t="s">
        <v>21</v>
      </c>
      <c r="E100" t="s">
        <v>22</v>
      </c>
      <c r="G100">
        <v>9</v>
      </c>
      <c r="H100" t="s">
        <v>35</v>
      </c>
    </row>
    <row r="101" spans="1:8" x14ac:dyDescent="0.25">
      <c r="A101" t="s">
        <v>212</v>
      </c>
      <c r="B101" t="s">
        <v>213</v>
      </c>
      <c r="C101" s="27">
        <v>44867</v>
      </c>
      <c r="D101" t="s">
        <v>3372</v>
      </c>
      <c r="E101" t="s">
        <v>11</v>
      </c>
      <c r="F101">
        <v>1882.04</v>
      </c>
      <c r="G101">
        <v>5</v>
      </c>
      <c r="H101" t="s">
        <v>3369</v>
      </c>
    </row>
    <row r="102" spans="1:8" x14ac:dyDescent="0.25">
      <c r="A102" t="s">
        <v>214</v>
      </c>
      <c r="B102" t="s">
        <v>215</v>
      </c>
      <c r="C102" s="27">
        <v>45151</v>
      </c>
      <c r="D102" t="s">
        <v>21</v>
      </c>
      <c r="E102" t="s">
        <v>11</v>
      </c>
      <c r="F102">
        <v>286.14999999999998</v>
      </c>
      <c r="H102" t="s">
        <v>3377</v>
      </c>
    </row>
    <row r="103" spans="1:8" x14ac:dyDescent="0.25">
      <c r="A103" t="s">
        <v>216</v>
      </c>
      <c r="B103" t="s">
        <v>217</v>
      </c>
      <c r="C103" s="27">
        <v>45380</v>
      </c>
      <c r="D103" t="s">
        <v>21</v>
      </c>
      <c r="E103" t="s">
        <v>11</v>
      </c>
      <c r="G103">
        <v>3</v>
      </c>
      <c r="H103" t="s">
        <v>15</v>
      </c>
    </row>
    <row r="104" spans="1:8" x14ac:dyDescent="0.25">
      <c r="A104" t="s">
        <v>218</v>
      </c>
      <c r="B104" t="s">
        <v>219</v>
      </c>
      <c r="C104" s="27">
        <v>45507</v>
      </c>
      <c r="D104" t="s">
        <v>10</v>
      </c>
      <c r="E104" t="s">
        <v>25</v>
      </c>
      <c r="F104">
        <v>755.33</v>
      </c>
      <c r="G104">
        <v>9</v>
      </c>
      <c r="H104" t="s">
        <v>3369</v>
      </c>
    </row>
    <row r="105" spans="1:8" x14ac:dyDescent="0.25">
      <c r="A105" t="s">
        <v>220</v>
      </c>
      <c r="B105" t="s">
        <v>221</v>
      </c>
      <c r="C105" s="27">
        <v>45032</v>
      </c>
      <c r="D105" t="s">
        <v>10</v>
      </c>
      <c r="E105" t="s">
        <v>3370</v>
      </c>
      <c r="F105">
        <v>1002.67</v>
      </c>
      <c r="H105" t="s">
        <v>15</v>
      </c>
    </row>
    <row r="106" spans="1:8" x14ac:dyDescent="0.25">
      <c r="A106" t="s">
        <v>222</v>
      </c>
      <c r="B106" t="s">
        <v>223</v>
      </c>
      <c r="C106" s="27">
        <v>45306</v>
      </c>
      <c r="D106" t="s">
        <v>14</v>
      </c>
      <c r="E106" t="s">
        <v>25</v>
      </c>
      <c r="F106">
        <v>1903.03</v>
      </c>
      <c r="G106">
        <v>6</v>
      </c>
      <c r="H106" t="s">
        <v>15</v>
      </c>
    </row>
    <row r="107" spans="1:8" x14ac:dyDescent="0.25">
      <c r="A107" t="s">
        <v>224</v>
      </c>
      <c r="B107" t="s">
        <v>225</v>
      </c>
      <c r="C107" s="27">
        <v>45817</v>
      </c>
      <c r="D107" t="s">
        <v>10</v>
      </c>
      <c r="E107" t="s">
        <v>11</v>
      </c>
      <c r="F107">
        <v>674.62</v>
      </c>
      <c r="G107">
        <v>4</v>
      </c>
      <c r="H107" t="s">
        <v>3377</v>
      </c>
    </row>
    <row r="108" spans="1:8" x14ac:dyDescent="0.25">
      <c r="A108" t="s">
        <v>226</v>
      </c>
      <c r="B108" t="s">
        <v>227</v>
      </c>
      <c r="C108" s="27">
        <v>45727</v>
      </c>
      <c r="D108" t="s">
        <v>10</v>
      </c>
      <c r="E108" t="s">
        <v>3370</v>
      </c>
      <c r="F108">
        <v>1620.27</v>
      </c>
      <c r="G108">
        <v>9</v>
      </c>
      <c r="H108" t="s">
        <v>35</v>
      </c>
    </row>
    <row r="109" spans="1:8" x14ac:dyDescent="0.25">
      <c r="A109" t="s">
        <v>228</v>
      </c>
      <c r="B109" t="s">
        <v>229</v>
      </c>
      <c r="C109" s="27">
        <v>45865</v>
      </c>
      <c r="D109" t="s">
        <v>14</v>
      </c>
      <c r="E109" t="s">
        <v>25</v>
      </c>
      <c r="F109">
        <v>34.97</v>
      </c>
      <c r="H109" t="s">
        <v>18</v>
      </c>
    </row>
    <row r="110" spans="1:8" x14ac:dyDescent="0.25">
      <c r="A110" t="s">
        <v>230</v>
      </c>
      <c r="B110" t="s">
        <v>231</v>
      </c>
      <c r="C110" s="27">
        <v>45742</v>
      </c>
      <c r="D110" t="s">
        <v>21</v>
      </c>
      <c r="E110" t="s">
        <v>3371</v>
      </c>
      <c r="G110">
        <v>8</v>
      </c>
      <c r="H110" t="s">
        <v>18</v>
      </c>
    </row>
    <row r="111" spans="1:8" x14ac:dyDescent="0.25">
      <c r="A111" t="s">
        <v>232</v>
      </c>
      <c r="B111" t="s">
        <v>233</v>
      </c>
      <c r="C111" s="27">
        <v>45874</v>
      </c>
      <c r="D111" t="s">
        <v>3372</v>
      </c>
      <c r="E111" t="s">
        <v>11</v>
      </c>
      <c r="F111">
        <v>1281.6600000000001</v>
      </c>
      <c r="G111">
        <v>9</v>
      </c>
      <c r="H111" t="s">
        <v>3369</v>
      </c>
    </row>
    <row r="112" spans="1:8" x14ac:dyDescent="0.25">
      <c r="A112" t="s">
        <v>234</v>
      </c>
      <c r="B112" t="s">
        <v>235</v>
      </c>
      <c r="C112" s="27">
        <v>45431</v>
      </c>
      <c r="D112" t="s">
        <v>14</v>
      </c>
      <c r="E112" t="s">
        <v>3371</v>
      </c>
      <c r="F112">
        <v>1610.13</v>
      </c>
      <c r="G112">
        <v>8</v>
      </c>
      <c r="H112" t="s">
        <v>3369</v>
      </c>
    </row>
    <row r="113" spans="1:8" x14ac:dyDescent="0.25">
      <c r="A113" t="s">
        <v>236</v>
      </c>
      <c r="B113" t="s">
        <v>237</v>
      </c>
      <c r="C113" s="27">
        <v>45075</v>
      </c>
      <c r="D113" t="s">
        <v>3372</v>
      </c>
      <c r="E113" t="s">
        <v>11</v>
      </c>
      <c r="F113">
        <v>1243.5899999999999</v>
      </c>
      <c r="G113">
        <v>9</v>
      </c>
      <c r="H113" t="s">
        <v>3369</v>
      </c>
    </row>
    <row r="114" spans="1:8" x14ac:dyDescent="0.25">
      <c r="A114" t="s">
        <v>238</v>
      </c>
      <c r="B114" t="s">
        <v>239</v>
      </c>
      <c r="C114" s="27">
        <v>45021</v>
      </c>
      <c r="D114" t="s">
        <v>3372</v>
      </c>
      <c r="E114" t="s">
        <v>3371</v>
      </c>
      <c r="F114">
        <v>1516.63</v>
      </c>
      <c r="G114">
        <v>5</v>
      </c>
      <c r="H114" t="s">
        <v>18</v>
      </c>
    </row>
    <row r="115" spans="1:8" x14ac:dyDescent="0.25">
      <c r="A115" t="s">
        <v>240</v>
      </c>
      <c r="B115" t="s">
        <v>241</v>
      </c>
      <c r="C115" s="27">
        <v>45911</v>
      </c>
      <c r="D115" t="s">
        <v>10</v>
      </c>
      <c r="E115" t="s">
        <v>11</v>
      </c>
      <c r="F115">
        <v>1879.23</v>
      </c>
      <c r="G115">
        <v>5</v>
      </c>
      <c r="H115" t="s">
        <v>3369</v>
      </c>
    </row>
    <row r="116" spans="1:8" x14ac:dyDescent="0.25">
      <c r="A116" t="s">
        <v>242</v>
      </c>
      <c r="B116" t="s">
        <v>243</v>
      </c>
      <c r="C116" s="27">
        <v>45312</v>
      </c>
      <c r="D116" t="s">
        <v>14</v>
      </c>
      <c r="E116" t="s">
        <v>11</v>
      </c>
      <c r="G116">
        <v>3</v>
      </c>
      <c r="H116" t="s">
        <v>18</v>
      </c>
    </row>
    <row r="117" spans="1:8" x14ac:dyDescent="0.25">
      <c r="A117" t="s">
        <v>244</v>
      </c>
      <c r="B117" t="s">
        <v>245</v>
      </c>
      <c r="C117" s="27">
        <v>45252</v>
      </c>
      <c r="D117" t="s">
        <v>21</v>
      </c>
      <c r="E117" t="s">
        <v>22</v>
      </c>
      <c r="F117">
        <v>1468.16</v>
      </c>
      <c r="G117">
        <v>10</v>
      </c>
      <c r="H117" t="s">
        <v>15</v>
      </c>
    </row>
    <row r="118" spans="1:8" x14ac:dyDescent="0.25">
      <c r="A118" t="s">
        <v>246</v>
      </c>
      <c r="B118" t="s">
        <v>247</v>
      </c>
      <c r="C118" s="27">
        <v>44909</v>
      </c>
      <c r="D118" t="s">
        <v>10</v>
      </c>
      <c r="E118" t="s">
        <v>11</v>
      </c>
      <c r="F118">
        <v>1635.78</v>
      </c>
      <c r="G118">
        <v>3</v>
      </c>
      <c r="H118" t="s">
        <v>3377</v>
      </c>
    </row>
    <row r="119" spans="1:8" x14ac:dyDescent="0.25">
      <c r="A119" t="s">
        <v>248</v>
      </c>
      <c r="B119" t="s">
        <v>249</v>
      </c>
      <c r="C119" s="27">
        <v>45037</v>
      </c>
      <c r="D119" t="s">
        <v>3372</v>
      </c>
      <c r="E119" t="s">
        <v>25</v>
      </c>
      <c r="F119">
        <v>784.11</v>
      </c>
      <c r="G119">
        <v>1</v>
      </c>
      <c r="H119" t="s">
        <v>35</v>
      </c>
    </row>
    <row r="120" spans="1:8" x14ac:dyDescent="0.25">
      <c r="A120" t="s">
        <v>250</v>
      </c>
      <c r="B120" t="s">
        <v>251</v>
      </c>
      <c r="C120" s="27">
        <v>45119</v>
      </c>
      <c r="D120" t="s">
        <v>3372</v>
      </c>
      <c r="E120" t="s">
        <v>25</v>
      </c>
      <c r="F120">
        <v>315.77</v>
      </c>
      <c r="G120">
        <v>10</v>
      </c>
      <c r="H120" t="s">
        <v>15</v>
      </c>
    </row>
    <row r="121" spans="1:8" x14ac:dyDescent="0.25">
      <c r="A121" t="s">
        <v>252</v>
      </c>
      <c r="B121" t="s">
        <v>253</v>
      </c>
      <c r="C121" s="27">
        <v>45609</v>
      </c>
      <c r="D121" t="s">
        <v>10</v>
      </c>
      <c r="E121" t="s">
        <v>25</v>
      </c>
      <c r="F121">
        <v>1149.03</v>
      </c>
      <c r="G121">
        <v>4</v>
      </c>
      <c r="H121" t="s">
        <v>35</v>
      </c>
    </row>
    <row r="122" spans="1:8" x14ac:dyDescent="0.25">
      <c r="A122" t="s">
        <v>254</v>
      </c>
      <c r="B122" t="s">
        <v>255</v>
      </c>
      <c r="C122" s="27">
        <v>45033</v>
      </c>
      <c r="D122" t="s">
        <v>3372</v>
      </c>
      <c r="E122" t="s">
        <v>34</v>
      </c>
      <c r="G122">
        <v>6</v>
      </c>
      <c r="H122" t="s">
        <v>18</v>
      </c>
    </row>
    <row r="123" spans="1:8" x14ac:dyDescent="0.25">
      <c r="A123" t="s">
        <v>3378</v>
      </c>
      <c r="B123" t="s">
        <v>3379</v>
      </c>
      <c r="C123" s="27">
        <v>45453</v>
      </c>
      <c r="D123" t="s">
        <v>21</v>
      </c>
      <c r="E123" t="s">
        <v>3371</v>
      </c>
      <c r="F123">
        <v>564.96</v>
      </c>
      <c r="G123">
        <v>9</v>
      </c>
      <c r="H123" t="s">
        <v>3377</v>
      </c>
    </row>
    <row r="124" spans="1:8" x14ac:dyDescent="0.25">
      <c r="A124" t="s">
        <v>256</v>
      </c>
      <c r="B124" t="s">
        <v>257</v>
      </c>
      <c r="C124" s="27">
        <v>45072</v>
      </c>
      <c r="D124" t="s">
        <v>21</v>
      </c>
      <c r="E124" t="s">
        <v>11</v>
      </c>
      <c r="G124">
        <v>4</v>
      </c>
      <c r="H124" t="s">
        <v>18</v>
      </c>
    </row>
    <row r="125" spans="1:8" x14ac:dyDescent="0.25">
      <c r="A125" t="s">
        <v>258</v>
      </c>
      <c r="B125" t="s">
        <v>259</v>
      </c>
      <c r="C125" s="27">
        <v>44970</v>
      </c>
      <c r="D125" t="s">
        <v>10</v>
      </c>
      <c r="E125" t="s">
        <v>11</v>
      </c>
      <c r="F125">
        <v>1157.72</v>
      </c>
      <c r="G125">
        <v>1</v>
      </c>
      <c r="H125" t="s">
        <v>3377</v>
      </c>
    </row>
    <row r="126" spans="1:8" x14ac:dyDescent="0.25">
      <c r="A126" t="s">
        <v>260</v>
      </c>
      <c r="B126" t="s">
        <v>261</v>
      </c>
      <c r="C126" s="27">
        <v>45075</v>
      </c>
      <c r="D126" t="s">
        <v>14</v>
      </c>
      <c r="E126" t="s">
        <v>22</v>
      </c>
      <c r="F126">
        <v>1411.66</v>
      </c>
      <c r="G126">
        <v>10</v>
      </c>
      <c r="H126" t="s">
        <v>3369</v>
      </c>
    </row>
    <row r="127" spans="1:8" x14ac:dyDescent="0.25">
      <c r="A127" t="s">
        <v>262</v>
      </c>
      <c r="B127" t="s">
        <v>263</v>
      </c>
      <c r="C127" s="27">
        <v>44967</v>
      </c>
      <c r="D127" t="s">
        <v>10</v>
      </c>
      <c r="E127" t="s">
        <v>11</v>
      </c>
      <c r="G127">
        <v>2</v>
      </c>
      <c r="H127" t="s">
        <v>15</v>
      </c>
    </row>
    <row r="128" spans="1:8" x14ac:dyDescent="0.25">
      <c r="A128" t="s">
        <v>264</v>
      </c>
      <c r="B128" t="s">
        <v>265</v>
      </c>
      <c r="C128" s="27">
        <v>45086</v>
      </c>
      <c r="D128" t="s">
        <v>21</v>
      </c>
      <c r="E128" t="s">
        <v>25</v>
      </c>
      <c r="F128">
        <v>1002.49</v>
      </c>
      <c r="G128">
        <v>10</v>
      </c>
      <c r="H128" t="s">
        <v>18</v>
      </c>
    </row>
    <row r="129" spans="1:8" x14ac:dyDescent="0.25">
      <c r="A129" t="s">
        <v>3380</v>
      </c>
      <c r="B129" t="s">
        <v>3381</v>
      </c>
      <c r="C129" s="27">
        <v>44937</v>
      </c>
      <c r="D129" t="s">
        <v>10</v>
      </c>
      <c r="E129" t="s">
        <v>25</v>
      </c>
      <c r="F129">
        <v>1867.09</v>
      </c>
      <c r="G129">
        <v>6</v>
      </c>
      <c r="H129" t="s">
        <v>3377</v>
      </c>
    </row>
    <row r="130" spans="1:8" x14ac:dyDescent="0.25">
      <c r="A130" t="s">
        <v>266</v>
      </c>
      <c r="B130" t="s">
        <v>267</v>
      </c>
      <c r="C130" s="27">
        <v>44890</v>
      </c>
      <c r="D130" t="s">
        <v>10</v>
      </c>
      <c r="E130" t="s">
        <v>3371</v>
      </c>
      <c r="F130">
        <v>1329.3</v>
      </c>
      <c r="G130">
        <v>4</v>
      </c>
      <c r="H130" t="s">
        <v>3377</v>
      </c>
    </row>
    <row r="131" spans="1:8" x14ac:dyDescent="0.25">
      <c r="A131" t="s">
        <v>268</v>
      </c>
      <c r="B131" t="s">
        <v>269</v>
      </c>
      <c r="C131" s="27">
        <v>45938</v>
      </c>
      <c r="D131" t="s">
        <v>10</v>
      </c>
      <c r="E131" t="s">
        <v>3371</v>
      </c>
      <c r="F131">
        <v>1022.71</v>
      </c>
      <c r="G131">
        <v>3</v>
      </c>
      <c r="H131" t="s">
        <v>35</v>
      </c>
    </row>
    <row r="132" spans="1:8" x14ac:dyDescent="0.25">
      <c r="A132" t="s">
        <v>270</v>
      </c>
      <c r="B132" t="s">
        <v>271</v>
      </c>
      <c r="C132" s="27">
        <v>45259</v>
      </c>
      <c r="D132" t="s">
        <v>14</v>
      </c>
      <c r="E132" t="s">
        <v>11</v>
      </c>
      <c r="F132">
        <v>1544.86</v>
      </c>
      <c r="G132">
        <v>10</v>
      </c>
      <c r="H132" t="s">
        <v>3377</v>
      </c>
    </row>
    <row r="133" spans="1:8" x14ac:dyDescent="0.25">
      <c r="A133" t="s">
        <v>272</v>
      </c>
      <c r="B133" t="s">
        <v>273</v>
      </c>
      <c r="C133" s="27">
        <v>45361</v>
      </c>
      <c r="D133" t="s">
        <v>21</v>
      </c>
      <c r="E133" t="s">
        <v>3371</v>
      </c>
      <c r="F133">
        <v>1817.99</v>
      </c>
      <c r="G133">
        <v>10</v>
      </c>
      <c r="H133" t="s">
        <v>35</v>
      </c>
    </row>
    <row r="134" spans="1:8" x14ac:dyDescent="0.25">
      <c r="A134" t="s">
        <v>274</v>
      </c>
      <c r="B134" t="s">
        <v>275</v>
      </c>
      <c r="C134" s="27">
        <v>45670</v>
      </c>
      <c r="D134" t="s">
        <v>14</v>
      </c>
      <c r="E134" t="s">
        <v>3370</v>
      </c>
      <c r="F134">
        <v>1054.05</v>
      </c>
      <c r="G134">
        <v>1</v>
      </c>
      <c r="H134" t="s">
        <v>3377</v>
      </c>
    </row>
    <row r="135" spans="1:8" x14ac:dyDescent="0.25">
      <c r="A135" t="s">
        <v>276</v>
      </c>
      <c r="B135" t="s">
        <v>277</v>
      </c>
      <c r="C135" s="27">
        <v>44971</v>
      </c>
      <c r="D135" t="s">
        <v>14</v>
      </c>
      <c r="E135" t="s">
        <v>25</v>
      </c>
      <c r="F135">
        <v>1811.06</v>
      </c>
      <c r="G135">
        <v>4</v>
      </c>
      <c r="H135" t="s">
        <v>15</v>
      </c>
    </row>
    <row r="136" spans="1:8" x14ac:dyDescent="0.25">
      <c r="A136" t="s">
        <v>278</v>
      </c>
      <c r="B136" t="s">
        <v>279</v>
      </c>
      <c r="C136" s="27">
        <v>45946</v>
      </c>
      <c r="D136" t="s">
        <v>10</v>
      </c>
      <c r="E136" t="s">
        <v>3370</v>
      </c>
      <c r="F136">
        <v>1822.81</v>
      </c>
      <c r="G136">
        <v>8</v>
      </c>
      <c r="H136" t="s">
        <v>3369</v>
      </c>
    </row>
    <row r="137" spans="1:8" x14ac:dyDescent="0.25">
      <c r="A137" t="s">
        <v>280</v>
      </c>
      <c r="B137" t="s">
        <v>281</v>
      </c>
      <c r="C137" s="27">
        <v>45838</v>
      </c>
      <c r="D137" t="s">
        <v>3372</v>
      </c>
      <c r="E137" t="s">
        <v>34</v>
      </c>
      <c r="F137">
        <v>1730.71</v>
      </c>
      <c r="G137">
        <v>8</v>
      </c>
      <c r="H137" t="s">
        <v>3377</v>
      </c>
    </row>
    <row r="138" spans="1:8" x14ac:dyDescent="0.25">
      <c r="A138" t="s">
        <v>282</v>
      </c>
      <c r="B138" t="s">
        <v>283</v>
      </c>
      <c r="C138" s="27">
        <v>45479</v>
      </c>
      <c r="D138" t="s">
        <v>21</v>
      </c>
      <c r="E138" t="s">
        <v>3371</v>
      </c>
      <c r="F138">
        <v>321.24</v>
      </c>
      <c r="G138">
        <v>1</v>
      </c>
      <c r="H138" t="s">
        <v>15</v>
      </c>
    </row>
    <row r="139" spans="1:8" x14ac:dyDescent="0.25">
      <c r="A139" t="s">
        <v>284</v>
      </c>
      <c r="B139" t="s">
        <v>285</v>
      </c>
      <c r="C139" s="27">
        <v>45254</v>
      </c>
      <c r="D139" t="s">
        <v>3372</v>
      </c>
      <c r="E139" t="s">
        <v>25</v>
      </c>
      <c r="F139">
        <v>574</v>
      </c>
      <c r="G139">
        <v>7</v>
      </c>
      <c r="H139" t="s">
        <v>35</v>
      </c>
    </row>
    <row r="140" spans="1:8" x14ac:dyDescent="0.25">
      <c r="A140" t="s">
        <v>286</v>
      </c>
      <c r="B140" t="s">
        <v>287</v>
      </c>
      <c r="C140" s="27">
        <v>44952</v>
      </c>
      <c r="D140" t="s">
        <v>21</v>
      </c>
      <c r="E140" t="s">
        <v>34</v>
      </c>
      <c r="F140">
        <v>748.03</v>
      </c>
      <c r="G140">
        <v>1</v>
      </c>
      <c r="H140" t="s">
        <v>35</v>
      </c>
    </row>
    <row r="141" spans="1:8" x14ac:dyDescent="0.25">
      <c r="A141" t="s">
        <v>288</v>
      </c>
      <c r="B141" t="s">
        <v>289</v>
      </c>
      <c r="C141" s="27">
        <v>45822</v>
      </c>
      <c r="D141" t="s">
        <v>14</v>
      </c>
      <c r="E141" t="s">
        <v>11</v>
      </c>
      <c r="F141">
        <v>1359.5</v>
      </c>
      <c r="G141">
        <v>2</v>
      </c>
      <c r="H141" t="s">
        <v>3369</v>
      </c>
    </row>
    <row r="142" spans="1:8" x14ac:dyDescent="0.25">
      <c r="A142" t="s">
        <v>290</v>
      </c>
      <c r="B142" t="s">
        <v>291</v>
      </c>
      <c r="C142" s="27">
        <v>45328</v>
      </c>
      <c r="D142" t="s">
        <v>3372</v>
      </c>
      <c r="E142" t="s">
        <v>34</v>
      </c>
      <c r="F142">
        <v>463.15</v>
      </c>
      <c r="G142">
        <v>7</v>
      </c>
      <c r="H142" t="s">
        <v>35</v>
      </c>
    </row>
    <row r="143" spans="1:8" x14ac:dyDescent="0.25">
      <c r="A143" t="s">
        <v>292</v>
      </c>
      <c r="B143" t="s">
        <v>293</v>
      </c>
      <c r="C143" s="27">
        <v>45131</v>
      </c>
      <c r="D143" t="s">
        <v>21</v>
      </c>
      <c r="E143" t="s">
        <v>22</v>
      </c>
      <c r="F143">
        <v>1300.74</v>
      </c>
      <c r="H143" t="s">
        <v>3369</v>
      </c>
    </row>
    <row r="144" spans="1:8" x14ac:dyDescent="0.25">
      <c r="A144" t="s">
        <v>294</v>
      </c>
      <c r="B144" t="s">
        <v>295</v>
      </c>
      <c r="C144" s="27">
        <v>45058</v>
      </c>
      <c r="D144" t="s">
        <v>10</v>
      </c>
      <c r="E144" t="s">
        <v>11</v>
      </c>
      <c r="F144">
        <v>1408.82</v>
      </c>
      <c r="G144">
        <v>10</v>
      </c>
      <c r="H144" t="s">
        <v>15</v>
      </c>
    </row>
    <row r="145" spans="1:8" x14ac:dyDescent="0.25">
      <c r="A145" t="s">
        <v>296</v>
      </c>
      <c r="B145" t="s">
        <v>297</v>
      </c>
      <c r="C145" s="27">
        <v>45754</v>
      </c>
      <c r="D145" t="s">
        <v>21</v>
      </c>
      <c r="E145" t="s">
        <v>3371</v>
      </c>
      <c r="F145">
        <v>1677.27</v>
      </c>
      <c r="G145">
        <v>5</v>
      </c>
      <c r="H145" t="s">
        <v>15</v>
      </c>
    </row>
    <row r="146" spans="1:8" x14ac:dyDescent="0.25">
      <c r="A146" t="s">
        <v>298</v>
      </c>
      <c r="B146" t="s">
        <v>299</v>
      </c>
      <c r="C146" s="27">
        <v>45382</v>
      </c>
      <c r="D146" t="s">
        <v>10</v>
      </c>
      <c r="E146" t="s">
        <v>11</v>
      </c>
      <c r="F146">
        <v>1447.73</v>
      </c>
      <c r="G146">
        <v>4</v>
      </c>
      <c r="H146" t="s">
        <v>3369</v>
      </c>
    </row>
    <row r="147" spans="1:8" x14ac:dyDescent="0.25">
      <c r="A147" t="s">
        <v>300</v>
      </c>
      <c r="B147" t="s">
        <v>301</v>
      </c>
      <c r="C147" s="27">
        <v>45528</v>
      </c>
      <c r="D147" t="s">
        <v>10</v>
      </c>
      <c r="E147" t="s">
        <v>25</v>
      </c>
      <c r="G147">
        <v>5</v>
      </c>
      <c r="H147" t="s">
        <v>18</v>
      </c>
    </row>
    <row r="148" spans="1:8" x14ac:dyDescent="0.25">
      <c r="A148" t="s">
        <v>302</v>
      </c>
      <c r="B148" t="s">
        <v>303</v>
      </c>
      <c r="C148" s="27">
        <v>45400</v>
      </c>
      <c r="D148" t="s">
        <v>10</v>
      </c>
      <c r="E148" t="s">
        <v>11</v>
      </c>
      <c r="F148">
        <v>1314.28</v>
      </c>
      <c r="G148">
        <v>6</v>
      </c>
      <c r="H148" t="s">
        <v>15</v>
      </c>
    </row>
    <row r="149" spans="1:8" x14ac:dyDescent="0.25">
      <c r="A149" t="s">
        <v>304</v>
      </c>
      <c r="B149" t="s">
        <v>305</v>
      </c>
      <c r="C149" s="27">
        <v>45771</v>
      </c>
      <c r="D149" t="s">
        <v>21</v>
      </c>
      <c r="E149" t="s">
        <v>34</v>
      </c>
      <c r="F149">
        <v>1999.23</v>
      </c>
      <c r="G149">
        <v>8</v>
      </c>
      <c r="H149" t="s">
        <v>35</v>
      </c>
    </row>
    <row r="150" spans="1:8" x14ac:dyDescent="0.25">
      <c r="A150" t="s">
        <v>306</v>
      </c>
      <c r="B150" t="s">
        <v>307</v>
      </c>
      <c r="C150" s="27">
        <v>44990</v>
      </c>
      <c r="D150" t="s">
        <v>14</v>
      </c>
      <c r="E150" t="s">
        <v>3371</v>
      </c>
      <c r="F150">
        <v>165.71</v>
      </c>
      <c r="H150" t="s">
        <v>15</v>
      </c>
    </row>
    <row r="151" spans="1:8" x14ac:dyDescent="0.25">
      <c r="A151" t="s">
        <v>308</v>
      </c>
      <c r="B151" t="s">
        <v>309</v>
      </c>
      <c r="C151" s="27">
        <v>45400</v>
      </c>
      <c r="D151" t="s">
        <v>3372</v>
      </c>
      <c r="E151" t="s">
        <v>11</v>
      </c>
      <c r="F151">
        <v>1130.77</v>
      </c>
      <c r="G151">
        <v>6</v>
      </c>
      <c r="H151" t="s">
        <v>15</v>
      </c>
    </row>
    <row r="152" spans="1:8" x14ac:dyDescent="0.25">
      <c r="A152" t="s">
        <v>310</v>
      </c>
      <c r="B152" t="s">
        <v>311</v>
      </c>
      <c r="C152" s="27">
        <v>44958</v>
      </c>
      <c r="D152" t="s">
        <v>14</v>
      </c>
      <c r="E152" t="s">
        <v>3371</v>
      </c>
      <c r="F152">
        <v>322.62</v>
      </c>
      <c r="G152">
        <v>3</v>
      </c>
      <c r="H152" t="s">
        <v>18</v>
      </c>
    </row>
    <row r="153" spans="1:8" x14ac:dyDescent="0.25">
      <c r="A153" t="s">
        <v>312</v>
      </c>
      <c r="B153" t="s">
        <v>313</v>
      </c>
      <c r="C153" s="27">
        <v>45791</v>
      </c>
      <c r="D153" t="s">
        <v>10</v>
      </c>
      <c r="E153" t="s">
        <v>3370</v>
      </c>
      <c r="F153">
        <v>1638.61</v>
      </c>
      <c r="G153">
        <v>4</v>
      </c>
      <c r="H153" t="s">
        <v>18</v>
      </c>
    </row>
    <row r="154" spans="1:8" x14ac:dyDescent="0.25">
      <c r="A154" t="s">
        <v>3382</v>
      </c>
      <c r="B154" t="s">
        <v>3383</v>
      </c>
      <c r="C154" s="27">
        <v>45693</v>
      </c>
      <c r="D154" t="s">
        <v>3372</v>
      </c>
      <c r="E154" t="s">
        <v>11</v>
      </c>
      <c r="F154">
        <v>1078.81</v>
      </c>
      <c r="G154">
        <v>8</v>
      </c>
      <c r="H154" t="s">
        <v>18</v>
      </c>
    </row>
    <row r="155" spans="1:8" x14ac:dyDescent="0.25">
      <c r="A155" t="s">
        <v>314</v>
      </c>
      <c r="B155" t="s">
        <v>315</v>
      </c>
      <c r="C155" s="27">
        <v>44879</v>
      </c>
      <c r="D155" t="s">
        <v>21</v>
      </c>
      <c r="E155" t="s">
        <v>3370</v>
      </c>
      <c r="F155">
        <v>232.25</v>
      </c>
      <c r="G155">
        <v>3</v>
      </c>
      <c r="H155" t="s">
        <v>3377</v>
      </c>
    </row>
    <row r="156" spans="1:8" x14ac:dyDescent="0.25">
      <c r="A156" t="s">
        <v>316</v>
      </c>
      <c r="B156" t="s">
        <v>317</v>
      </c>
      <c r="C156" s="27">
        <v>45856</v>
      </c>
      <c r="D156" t="s">
        <v>3372</v>
      </c>
      <c r="E156" t="s">
        <v>11</v>
      </c>
      <c r="F156">
        <v>1788.38</v>
      </c>
      <c r="G156">
        <v>2</v>
      </c>
      <c r="H156" t="s">
        <v>3377</v>
      </c>
    </row>
    <row r="157" spans="1:8" x14ac:dyDescent="0.25">
      <c r="A157" t="s">
        <v>318</v>
      </c>
      <c r="B157" t="s">
        <v>319</v>
      </c>
      <c r="C157" s="27">
        <v>45664</v>
      </c>
      <c r="D157" t="s">
        <v>3372</v>
      </c>
      <c r="E157" t="s">
        <v>3371</v>
      </c>
      <c r="F157">
        <v>1056.76</v>
      </c>
      <c r="G157">
        <v>6</v>
      </c>
      <c r="H157" t="s">
        <v>18</v>
      </c>
    </row>
    <row r="158" spans="1:8" x14ac:dyDescent="0.25">
      <c r="A158" t="s">
        <v>320</v>
      </c>
      <c r="B158" t="s">
        <v>321</v>
      </c>
      <c r="C158" s="27">
        <v>45284</v>
      </c>
      <c r="D158" t="s">
        <v>10</v>
      </c>
      <c r="E158" t="s">
        <v>3370</v>
      </c>
      <c r="F158">
        <v>831.54</v>
      </c>
      <c r="G158">
        <v>10</v>
      </c>
      <c r="H158" t="s">
        <v>18</v>
      </c>
    </row>
    <row r="159" spans="1:8" x14ac:dyDescent="0.25">
      <c r="A159" t="s">
        <v>322</v>
      </c>
      <c r="B159" t="s">
        <v>323</v>
      </c>
      <c r="C159" s="27">
        <v>45376</v>
      </c>
      <c r="D159" t="s">
        <v>14</v>
      </c>
      <c r="E159" t="s">
        <v>34</v>
      </c>
      <c r="F159">
        <v>1299.26</v>
      </c>
      <c r="G159">
        <v>2</v>
      </c>
      <c r="H159" t="s">
        <v>15</v>
      </c>
    </row>
    <row r="160" spans="1:8" x14ac:dyDescent="0.25">
      <c r="A160" t="s">
        <v>324</v>
      </c>
      <c r="B160" t="s">
        <v>325</v>
      </c>
      <c r="C160" s="27">
        <v>45568</v>
      </c>
      <c r="D160" t="s">
        <v>3372</v>
      </c>
      <c r="E160" t="s">
        <v>22</v>
      </c>
      <c r="F160">
        <v>1652.93</v>
      </c>
      <c r="G160">
        <v>10</v>
      </c>
      <c r="H160" t="s">
        <v>3369</v>
      </c>
    </row>
    <row r="161" spans="1:8" x14ac:dyDescent="0.25">
      <c r="A161" t="s">
        <v>326</v>
      </c>
      <c r="B161" t="s">
        <v>327</v>
      </c>
      <c r="C161" s="27">
        <v>45663</v>
      </c>
      <c r="D161" t="s">
        <v>21</v>
      </c>
      <c r="E161" t="s">
        <v>11</v>
      </c>
      <c r="F161">
        <v>1849</v>
      </c>
      <c r="G161">
        <v>4</v>
      </c>
      <c r="H161" t="s">
        <v>15</v>
      </c>
    </row>
    <row r="162" spans="1:8" x14ac:dyDescent="0.25">
      <c r="A162" t="s">
        <v>328</v>
      </c>
      <c r="B162" t="s">
        <v>329</v>
      </c>
      <c r="C162" s="27">
        <v>45895</v>
      </c>
      <c r="D162" t="s">
        <v>14</v>
      </c>
      <c r="E162" t="s">
        <v>3371</v>
      </c>
      <c r="F162">
        <v>1657.47</v>
      </c>
      <c r="G162">
        <v>6</v>
      </c>
      <c r="H162" t="s">
        <v>3377</v>
      </c>
    </row>
    <row r="163" spans="1:8" x14ac:dyDescent="0.25">
      <c r="A163" t="s">
        <v>330</v>
      </c>
      <c r="B163" t="s">
        <v>331</v>
      </c>
      <c r="C163" s="27">
        <v>45153</v>
      </c>
      <c r="D163" t="s">
        <v>3372</v>
      </c>
      <c r="E163" t="s">
        <v>25</v>
      </c>
      <c r="F163">
        <v>1427.34</v>
      </c>
      <c r="G163">
        <v>3</v>
      </c>
      <c r="H163" t="s">
        <v>3369</v>
      </c>
    </row>
    <row r="164" spans="1:8" x14ac:dyDescent="0.25">
      <c r="A164" t="s">
        <v>332</v>
      </c>
      <c r="B164" t="s">
        <v>269</v>
      </c>
      <c r="C164" s="27">
        <v>45802</v>
      </c>
      <c r="D164" t="s">
        <v>10</v>
      </c>
      <c r="E164" t="s">
        <v>25</v>
      </c>
      <c r="F164">
        <v>145.55000000000001</v>
      </c>
      <c r="H164" t="s">
        <v>3377</v>
      </c>
    </row>
    <row r="165" spans="1:8" x14ac:dyDescent="0.25">
      <c r="A165" t="s">
        <v>333</v>
      </c>
      <c r="B165" t="s">
        <v>334</v>
      </c>
      <c r="C165" s="27">
        <v>44949</v>
      </c>
      <c r="D165" t="s">
        <v>3372</v>
      </c>
      <c r="E165" t="s">
        <v>34</v>
      </c>
      <c r="F165">
        <v>544.94000000000005</v>
      </c>
      <c r="G165">
        <v>1</v>
      </c>
      <c r="H165" t="s">
        <v>3377</v>
      </c>
    </row>
    <row r="166" spans="1:8" x14ac:dyDescent="0.25">
      <c r="A166" t="s">
        <v>335</v>
      </c>
      <c r="B166" t="s">
        <v>336</v>
      </c>
      <c r="C166" s="27">
        <v>45883</v>
      </c>
      <c r="D166" t="s">
        <v>21</v>
      </c>
      <c r="E166" t="s">
        <v>22</v>
      </c>
      <c r="F166">
        <v>45.83</v>
      </c>
      <c r="G166">
        <v>10</v>
      </c>
      <c r="H166" t="s">
        <v>3369</v>
      </c>
    </row>
    <row r="167" spans="1:8" x14ac:dyDescent="0.25">
      <c r="A167" t="s">
        <v>337</v>
      </c>
      <c r="B167" t="s">
        <v>338</v>
      </c>
      <c r="C167" s="27">
        <v>45912</v>
      </c>
      <c r="D167" t="s">
        <v>10</v>
      </c>
      <c r="E167" t="s">
        <v>3371</v>
      </c>
      <c r="G167">
        <v>8</v>
      </c>
      <c r="H167" t="s">
        <v>3377</v>
      </c>
    </row>
    <row r="168" spans="1:8" x14ac:dyDescent="0.25">
      <c r="A168" t="s">
        <v>339</v>
      </c>
      <c r="B168" t="s">
        <v>340</v>
      </c>
      <c r="C168" s="27">
        <v>45897</v>
      </c>
      <c r="D168" t="s">
        <v>14</v>
      </c>
      <c r="E168" t="s">
        <v>3370</v>
      </c>
      <c r="F168">
        <v>1221.5899999999999</v>
      </c>
      <c r="G168">
        <v>7</v>
      </c>
      <c r="H168" t="s">
        <v>35</v>
      </c>
    </row>
    <row r="169" spans="1:8" x14ac:dyDescent="0.25">
      <c r="A169" t="s">
        <v>341</v>
      </c>
      <c r="B169" t="s">
        <v>342</v>
      </c>
      <c r="C169" s="27">
        <v>45183</v>
      </c>
      <c r="D169" t="s">
        <v>14</v>
      </c>
      <c r="E169" t="s">
        <v>3370</v>
      </c>
      <c r="F169">
        <v>1121.5</v>
      </c>
      <c r="H169" t="s">
        <v>3377</v>
      </c>
    </row>
    <row r="170" spans="1:8" x14ac:dyDescent="0.25">
      <c r="A170" t="s">
        <v>343</v>
      </c>
      <c r="B170" t="s">
        <v>344</v>
      </c>
      <c r="C170" s="27">
        <v>45932</v>
      </c>
      <c r="D170" t="s">
        <v>3372</v>
      </c>
      <c r="E170" t="s">
        <v>22</v>
      </c>
      <c r="F170">
        <v>1037.7</v>
      </c>
      <c r="G170">
        <v>9</v>
      </c>
      <c r="H170" t="s">
        <v>15</v>
      </c>
    </row>
    <row r="171" spans="1:8" x14ac:dyDescent="0.25">
      <c r="A171" t="s">
        <v>3384</v>
      </c>
      <c r="B171" t="s">
        <v>3385</v>
      </c>
      <c r="C171" s="27">
        <v>45864</v>
      </c>
      <c r="D171" t="s">
        <v>14</v>
      </c>
      <c r="E171" t="s">
        <v>34</v>
      </c>
      <c r="F171">
        <v>379.04</v>
      </c>
      <c r="G171">
        <v>2</v>
      </c>
      <c r="H171" t="s">
        <v>3377</v>
      </c>
    </row>
    <row r="172" spans="1:8" x14ac:dyDescent="0.25">
      <c r="A172" t="s">
        <v>345</v>
      </c>
      <c r="B172" t="s">
        <v>346</v>
      </c>
      <c r="C172" s="27">
        <v>45797</v>
      </c>
      <c r="D172" t="s">
        <v>14</v>
      </c>
      <c r="E172" t="s">
        <v>11</v>
      </c>
      <c r="F172">
        <v>154.61000000000001</v>
      </c>
      <c r="G172">
        <v>10</v>
      </c>
      <c r="H172" t="s">
        <v>35</v>
      </c>
    </row>
    <row r="173" spans="1:8" x14ac:dyDescent="0.25">
      <c r="A173" t="s">
        <v>347</v>
      </c>
      <c r="B173" t="s">
        <v>348</v>
      </c>
      <c r="C173" s="27">
        <v>45527</v>
      </c>
      <c r="D173" t="s">
        <v>10</v>
      </c>
      <c r="E173" t="s">
        <v>3371</v>
      </c>
      <c r="F173">
        <v>1729.67</v>
      </c>
      <c r="G173">
        <v>9</v>
      </c>
      <c r="H173" t="s">
        <v>35</v>
      </c>
    </row>
    <row r="174" spans="1:8" x14ac:dyDescent="0.25">
      <c r="A174" t="s">
        <v>349</v>
      </c>
      <c r="B174" t="s">
        <v>350</v>
      </c>
      <c r="C174" s="27">
        <v>44881</v>
      </c>
      <c r="D174" t="s">
        <v>21</v>
      </c>
      <c r="E174" t="s">
        <v>22</v>
      </c>
      <c r="F174">
        <v>1127.77</v>
      </c>
      <c r="G174">
        <v>6</v>
      </c>
      <c r="H174" t="s">
        <v>35</v>
      </c>
    </row>
    <row r="175" spans="1:8" x14ac:dyDescent="0.25">
      <c r="A175" t="s">
        <v>351</v>
      </c>
      <c r="B175" t="s">
        <v>352</v>
      </c>
      <c r="C175" s="27">
        <v>45203</v>
      </c>
      <c r="D175" t="s">
        <v>14</v>
      </c>
      <c r="E175" t="s">
        <v>22</v>
      </c>
      <c r="F175">
        <v>1662.29</v>
      </c>
      <c r="G175">
        <v>10</v>
      </c>
      <c r="H175" t="s">
        <v>18</v>
      </c>
    </row>
    <row r="176" spans="1:8" x14ac:dyDescent="0.25">
      <c r="A176" t="s">
        <v>353</v>
      </c>
      <c r="B176" t="s">
        <v>354</v>
      </c>
      <c r="C176" s="27">
        <v>45658</v>
      </c>
      <c r="D176" t="s">
        <v>21</v>
      </c>
      <c r="E176" t="s">
        <v>11</v>
      </c>
      <c r="F176">
        <v>1287.1600000000001</v>
      </c>
      <c r="G176">
        <v>4</v>
      </c>
      <c r="H176" t="s">
        <v>35</v>
      </c>
    </row>
    <row r="177" spans="1:8" x14ac:dyDescent="0.25">
      <c r="A177" t="s">
        <v>355</v>
      </c>
      <c r="B177" t="s">
        <v>356</v>
      </c>
      <c r="C177" s="27">
        <v>45548</v>
      </c>
      <c r="D177" t="s">
        <v>10</v>
      </c>
      <c r="E177" t="s">
        <v>34</v>
      </c>
      <c r="G177">
        <v>6</v>
      </c>
      <c r="H177" t="s">
        <v>18</v>
      </c>
    </row>
    <row r="178" spans="1:8" x14ac:dyDescent="0.25">
      <c r="A178" t="s">
        <v>357</v>
      </c>
      <c r="B178" t="s">
        <v>358</v>
      </c>
      <c r="C178" s="27">
        <v>45573</v>
      </c>
      <c r="D178" t="s">
        <v>10</v>
      </c>
      <c r="E178" t="s">
        <v>34</v>
      </c>
      <c r="F178">
        <v>1982.18</v>
      </c>
      <c r="G178">
        <v>2</v>
      </c>
      <c r="H178" t="s">
        <v>35</v>
      </c>
    </row>
    <row r="179" spans="1:8" x14ac:dyDescent="0.25">
      <c r="A179" t="s">
        <v>359</v>
      </c>
      <c r="B179" t="s">
        <v>360</v>
      </c>
      <c r="C179" s="27">
        <v>45648</v>
      </c>
      <c r="D179" t="s">
        <v>21</v>
      </c>
      <c r="E179" t="s">
        <v>11</v>
      </c>
      <c r="G179">
        <v>6</v>
      </c>
      <c r="H179" t="s">
        <v>18</v>
      </c>
    </row>
    <row r="180" spans="1:8" x14ac:dyDescent="0.25">
      <c r="A180" t="s">
        <v>361</v>
      </c>
      <c r="B180" t="s">
        <v>362</v>
      </c>
      <c r="C180" s="27">
        <v>45145</v>
      </c>
      <c r="D180" t="s">
        <v>3372</v>
      </c>
      <c r="E180" t="s">
        <v>3370</v>
      </c>
      <c r="F180">
        <v>1355.16</v>
      </c>
      <c r="G180">
        <v>1</v>
      </c>
      <c r="H180" t="s">
        <v>3377</v>
      </c>
    </row>
    <row r="181" spans="1:8" x14ac:dyDescent="0.25">
      <c r="A181" t="s">
        <v>363</v>
      </c>
      <c r="B181" t="s">
        <v>364</v>
      </c>
      <c r="C181" s="27">
        <v>45515</v>
      </c>
      <c r="D181" t="s">
        <v>21</v>
      </c>
      <c r="E181" t="s">
        <v>22</v>
      </c>
      <c r="F181">
        <v>1628.35</v>
      </c>
      <c r="H181" t="s">
        <v>3377</v>
      </c>
    </row>
    <row r="182" spans="1:8" x14ac:dyDescent="0.25">
      <c r="A182" t="s">
        <v>365</v>
      </c>
      <c r="B182" t="s">
        <v>366</v>
      </c>
      <c r="C182" s="27">
        <v>45940</v>
      </c>
      <c r="D182" t="s">
        <v>21</v>
      </c>
      <c r="E182" t="s">
        <v>34</v>
      </c>
      <c r="F182">
        <v>577.52</v>
      </c>
      <c r="G182">
        <v>10</v>
      </c>
      <c r="H182" t="s">
        <v>3377</v>
      </c>
    </row>
    <row r="183" spans="1:8" x14ac:dyDescent="0.25">
      <c r="A183" t="s">
        <v>367</v>
      </c>
      <c r="B183" t="s">
        <v>368</v>
      </c>
      <c r="C183" s="27">
        <v>45234</v>
      </c>
      <c r="D183" t="s">
        <v>3372</v>
      </c>
      <c r="E183" t="s">
        <v>3371</v>
      </c>
      <c r="F183">
        <v>403.49</v>
      </c>
      <c r="G183">
        <v>2</v>
      </c>
      <c r="H183" t="s">
        <v>15</v>
      </c>
    </row>
    <row r="184" spans="1:8" x14ac:dyDescent="0.25">
      <c r="A184" t="s">
        <v>369</v>
      </c>
      <c r="B184" t="s">
        <v>370</v>
      </c>
      <c r="C184" s="27">
        <v>45833</v>
      </c>
      <c r="D184" t="s">
        <v>3372</v>
      </c>
      <c r="E184" t="s">
        <v>3370</v>
      </c>
      <c r="F184">
        <v>699.29</v>
      </c>
      <c r="G184">
        <v>7</v>
      </c>
      <c r="H184" t="s">
        <v>3369</v>
      </c>
    </row>
    <row r="185" spans="1:8" x14ac:dyDescent="0.25">
      <c r="A185" t="s">
        <v>371</v>
      </c>
      <c r="B185" t="s">
        <v>372</v>
      </c>
      <c r="C185" s="27">
        <v>45051</v>
      </c>
      <c r="D185" t="s">
        <v>3372</v>
      </c>
      <c r="E185" t="s">
        <v>3370</v>
      </c>
      <c r="G185">
        <v>8</v>
      </c>
      <c r="H185" t="s">
        <v>15</v>
      </c>
    </row>
    <row r="186" spans="1:8" x14ac:dyDescent="0.25">
      <c r="A186" t="s">
        <v>373</v>
      </c>
      <c r="B186" t="s">
        <v>374</v>
      </c>
      <c r="C186" s="27">
        <v>45761</v>
      </c>
      <c r="D186" t="s">
        <v>14</v>
      </c>
      <c r="E186" t="s">
        <v>22</v>
      </c>
      <c r="F186">
        <v>1035.3</v>
      </c>
      <c r="G186">
        <v>4</v>
      </c>
      <c r="H186" t="s">
        <v>35</v>
      </c>
    </row>
    <row r="187" spans="1:8" x14ac:dyDescent="0.25">
      <c r="A187" t="s">
        <v>375</v>
      </c>
      <c r="B187" t="s">
        <v>376</v>
      </c>
      <c r="C187" s="27">
        <v>45251</v>
      </c>
      <c r="D187" t="s">
        <v>10</v>
      </c>
      <c r="E187" t="s">
        <v>22</v>
      </c>
      <c r="F187">
        <v>644.05999999999995</v>
      </c>
      <c r="G187">
        <v>5</v>
      </c>
      <c r="H187" t="s">
        <v>3377</v>
      </c>
    </row>
    <row r="188" spans="1:8" x14ac:dyDescent="0.25">
      <c r="A188" t="s">
        <v>377</v>
      </c>
      <c r="B188" t="s">
        <v>378</v>
      </c>
      <c r="C188" s="27">
        <v>45951</v>
      </c>
      <c r="D188" t="s">
        <v>3372</v>
      </c>
      <c r="E188" t="s">
        <v>3370</v>
      </c>
      <c r="F188">
        <v>1737.29</v>
      </c>
      <c r="G188">
        <v>2</v>
      </c>
      <c r="H188" t="s">
        <v>3377</v>
      </c>
    </row>
    <row r="189" spans="1:8" x14ac:dyDescent="0.25">
      <c r="A189" t="s">
        <v>379</v>
      </c>
      <c r="B189" t="s">
        <v>380</v>
      </c>
      <c r="C189" s="27">
        <v>45386</v>
      </c>
      <c r="D189" t="s">
        <v>14</v>
      </c>
      <c r="E189" t="s">
        <v>25</v>
      </c>
      <c r="G189">
        <v>8</v>
      </c>
      <c r="H189" t="s">
        <v>15</v>
      </c>
    </row>
    <row r="190" spans="1:8" x14ac:dyDescent="0.25">
      <c r="A190" t="s">
        <v>381</v>
      </c>
      <c r="B190" t="s">
        <v>382</v>
      </c>
      <c r="C190" s="27">
        <v>45082</v>
      </c>
      <c r="D190" t="s">
        <v>3372</v>
      </c>
      <c r="E190" t="s">
        <v>3371</v>
      </c>
      <c r="F190">
        <v>69.709999999999994</v>
      </c>
      <c r="G190">
        <v>6</v>
      </c>
      <c r="H190" t="s">
        <v>3369</v>
      </c>
    </row>
    <row r="191" spans="1:8" x14ac:dyDescent="0.25">
      <c r="A191" t="s">
        <v>383</v>
      </c>
      <c r="B191" t="s">
        <v>384</v>
      </c>
      <c r="C191" s="27">
        <v>45886</v>
      </c>
      <c r="D191" t="s">
        <v>14</v>
      </c>
      <c r="E191" t="s">
        <v>3370</v>
      </c>
      <c r="F191">
        <v>1897.29</v>
      </c>
      <c r="G191">
        <v>3</v>
      </c>
      <c r="H191" t="s">
        <v>35</v>
      </c>
    </row>
    <row r="192" spans="1:8" x14ac:dyDescent="0.25">
      <c r="A192" t="s">
        <v>385</v>
      </c>
      <c r="B192" t="s">
        <v>386</v>
      </c>
      <c r="C192" s="27">
        <v>45842</v>
      </c>
      <c r="D192" t="s">
        <v>14</v>
      </c>
      <c r="E192" t="s">
        <v>22</v>
      </c>
      <c r="F192">
        <v>215.85</v>
      </c>
      <c r="G192">
        <v>9</v>
      </c>
      <c r="H192" t="s">
        <v>15</v>
      </c>
    </row>
    <row r="193" spans="1:8" x14ac:dyDescent="0.25">
      <c r="A193" t="s">
        <v>387</v>
      </c>
      <c r="B193" t="s">
        <v>388</v>
      </c>
      <c r="C193" s="27">
        <v>45870</v>
      </c>
      <c r="D193" t="s">
        <v>21</v>
      </c>
      <c r="E193" t="s">
        <v>22</v>
      </c>
      <c r="G193">
        <v>3</v>
      </c>
      <c r="H193" t="s">
        <v>35</v>
      </c>
    </row>
    <row r="194" spans="1:8" x14ac:dyDescent="0.25">
      <c r="A194" t="s">
        <v>389</v>
      </c>
      <c r="B194" t="s">
        <v>390</v>
      </c>
      <c r="C194" s="27">
        <v>45409</v>
      </c>
      <c r="D194" t="s">
        <v>3372</v>
      </c>
      <c r="E194" t="s">
        <v>3370</v>
      </c>
      <c r="F194">
        <v>429.55</v>
      </c>
      <c r="G194">
        <v>10</v>
      </c>
      <c r="H194" t="s">
        <v>18</v>
      </c>
    </row>
    <row r="195" spans="1:8" x14ac:dyDescent="0.25">
      <c r="A195" t="s">
        <v>3386</v>
      </c>
      <c r="B195" t="s">
        <v>391</v>
      </c>
      <c r="C195" s="27">
        <v>45296</v>
      </c>
      <c r="D195" t="s">
        <v>10</v>
      </c>
      <c r="E195" t="s">
        <v>3371</v>
      </c>
      <c r="F195">
        <v>889.6</v>
      </c>
      <c r="H195" t="s">
        <v>35</v>
      </c>
    </row>
    <row r="196" spans="1:8" x14ac:dyDescent="0.25">
      <c r="A196" t="s">
        <v>392</v>
      </c>
      <c r="B196" t="s">
        <v>393</v>
      </c>
      <c r="C196" s="27">
        <v>44883</v>
      </c>
      <c r="D196" t="s">
        <v>14</v>
      </c>
      <c r="E196" t="s">
        <v>3371</v>
      </c>
      <c r="F196">
        <v>831.76</v>
      </c>
      <c r="H196" t="s">
        <v>3377</v>
      </c>
    </row>
    <row r="197" spans="1:8" x14ac:dyDescent="0.25">
      <c r="A197" t="s">
        <v>394</v>
      </c>
      <c r="B197" t="s">
        <v>395</v>
      </c>
      <c r="C197" s="27">
        <v>44954</v>
      </c>
      <c r="D197" t="s">
        <v>21</v>
      </c>
      <c r="E197" t="s">
        <v>3371</v>
      </c>
      <c r="F197">
        <v>1692.76</v>
      </c>
      <c r="G197">
        <v>8</v>
      </c>
      <c r="H197" t="s">
        <v>15</v>
      </c>
    </row>
    <row r="198" spans="1:8" x14ac:dyDescent="0.25">
      <c r="A198" t="s">
        <v>396</v>
      </c>
      <c r="B198" t="s">
        <v>397</v>
      </c>
      <c r="C198" s="27">
        <v>44982</v>
      </c>
      <c r="D198" t="s">
        <v>21</v>
      </c>
      <c r="E198" t="s">
        <v>34</v>
      </c>
      <c r="F198">
        <v>1937.05</v>
      </c>
      <c r="H198" t="s">
        <v>15</v>
      </c>
    </row>
    <row r="199" spans="1:8" x14ac:dyDescent="0.25">
      <c r="A199" t="s">
        <v>398</v>
      </c>
      <c r="B199" t="s">
        <v>399</v>
      </c>
      <c r="C199" s="27">
        <v>45010</v>
      </c>
      <c r="D199" t="s">
        <v>14</v>
      </c>
      <c r="E199" t="s">
        <v>3370</v>
      </c>
      <c r="F199">
        <v>1762.22</v>
      </c>
      <c r="G199">
        <v>4</v>
      </c>
      <c r="H199" t="s">
        <v>15</v>
      </c>
    </row>
    <row r="200" spans="1:8" x14ac:dyDescent="0.25">
      <c r="A200" t="s">
        <v>400</v>
      </c>
      <c r="B200" t="s">
        <v>401</v>
      </c>
      <c r="C200" s="27">
        <v>45922</v>
      </c>
      <c r="D200" t="s">
        <v>14</v>
      </c>
      <c r="E200" t="s">
        <v>34</v>
      </c>
      <c r="F200">
        <v>172.17</v>
      </c>
      <c r="G200">
        <v>8</v>
      </c>
      <c r="H200" t="s">
        <v>18</v>
      </c>
    </row>
    <row r="201" spans="1:8" x14ac:dyDescent="0.25">
      <c r="A201" t="s">
        <v>402</v>
      </c>
      <c r="B201" t="s">
        <v>403</v>
      </c>
      <c r="C201" s="27">
        <v>45138</v>
      </c>
      <c r="D201" t="s">
        <v>14</v>
      </c>
      <c r="E201" t="s">
        <v>3371</v>
      </c>
      <c r="F201">
        <v>199.63</v>
      </c>
      <c r="H201" t="s">
        <v>35</v>
      </c>
    </row>
    <row r="202" spans="1:8" x14ac:dyDescent="0.25">
      <c r="A202" t="s">
        <v>404</v>
      </c>
      <c r="B202" t="s">
        <v>405</v>
      </c>
      <c r="C202" s="27">
        <v>45771</v>
      </c>
      <c r="D202" t="s">
        <v>21</v>
      </c>
      <c r="E202" t="s">
        <v>25</v>
      </c>
      <c r="F202">
        <v>1712.23</v>
      </c>
      <c r="G202">
        <v>8</v>
      </c>
      <c r="H202" t="s">
        <v>35</v>
      </c>
    </row>
    <row r="203" spans="1:8" x14ac:dyDescent="0.25">
      <c r="A203" t="s">
        <v>406</v>
      </c>
      <c r="B203" t="s">
        <v>407</v>
      </c>
      <c r="C203" s="27">
        <v>45555</v>
      </c>
      <c r="D203" t="s">
        <v>3372</v>
      </c>
      <c r="E203" t="s">
        <v>22</v>
      </c>
      <c r="G203">
        <v>5</v>
      </c>
      <c r="H203" t="s">
        <v>35</v>
      </c>
    </row>
    <row r="204" spans="1:8" x14ac:dyDescent="0.25">
      <c r="A204" t="s">
        <v>408</v>
      </c>
      <c r="B204" t="s">
        <v>409</v>
      </c>
      <c r="C204" s="27">
        <v>45545</v>
      </c>
      <c r="D204" t="s">
        <v>3372</v>
      </c>
      <c r="E204" t="s">
        <v>22</v>
      </c>
      <c r="F204">
        <v>1536.75</v>
      </c>
      <c r="G204">
        <v>4</v>
      </c>
      <c r="H204" t="s">
        <v>15</v>
      </c>
    </row>
    <row r="205" spans="1:8" x14ac:dyDescent="0.25">
      <c r="A205" t="s">
        <v>410</v>
      </c>
      <c r="B205" t="s">
        <v>411</v>
      </c>
      <c r="C205" s="27">
        <v>45415</v>
      </c>
      <c r="D205" t="s">
        <v>14</v>
      </c>
      <c r="E205" t="s">
        <v>3371</v>
      </c>
      <c r="F205">
        <v>389.8</v>
      </c>
      <c r="G205">
        <v>9</v>
      </c>
      <c r="H205" t="s">
        <v>18</v>
      </c>
    </row>
    <row r="206" spans="1:8" x14ac:dyDescent="0.25">
      <c r="A206" t="s">
        <v>412</v>
      </c>
      <c r="B206" t="s">
        <v>413</v>
      </c>
      <c r="C206" s="27">
        <v>45493</v>
      </c>
      <c r="D206" t="s">
        <v>14</v>
      </c>
      <c r="E206" t="s">
        <v>25</v>
      </c>
      <c r="F206">
        <v>1103.76</v>
      </c>
      <c r="G206">
        <v>6</v>
      </c>
      <c r="H206" t="s">
        <v>3369</v>
      </c>
    </row>
    <row r="207" spans="1:8" x14ac:dyDescent="0.25">
      <c r="A207" t="s">
        <v>414</v>
      </c>
      <c r="B207" t="s">
        <v>415</v>
      </c>
      <c r="C207" s="27">
        <v>45601</v>
      </c>
      <c r="D207" t="s">
        <v>3372</v>
      </c>
      <c r="E207" t="s">
        <v>11</v>
      </c>
      <c r="F207">
        <v>1428.83</v>
      </c>
      <c r="G207">
        <v>10</v>
      </c>
      <c r="H207" t="s">
        <v>18</v>
      </c>
    </row>
    <row r="208" spans="1:8" x14ac:dyDescent="0.25">
      <c r="A208" t="s">
        <v>416</v>
      </c>
      <c r="B208" t="s">
        <v>417</v>
      </c>
      <c r="C208" s="27">
        <v>44943</v>
      </c>
      <c r="D208" t="s">
        <v>14</v>
      </c>
      <c r="E208" t="s">
        <v>34</v>
      </c>
      <c r="F208">
        <v>1962.79</v>
      </c>
      <c r="G208">
        <v>4</v>
      </c>
      <c r="H208" t="s">
        <v>35</v>
      </c>
    </row>
    <row r="209" spans="1:8" x14ac:dyDescent="0.25">
      <c r="A209" t="s">
        <v>418</v>
      </c>
      <c r="B209" t="s">
        <v>419</v>
      </c>
      <c r="C209" s="27">
        <v>45101</v>
      </c>
      <c r="D209" t="s">
        <v>14</v>
      </c>
      <c r="E209" t="s">
        <v>3370</v>
      </c>
      <c r="F209">
        <v>1779.53</v>
      </c>
      <c r="G209">
        <v>9</v>
      </c>
      <c r="H209" t="s">
        <v>18</v>
      </c>
    </row>
    <row r="210" spans="1:8" x14ac:dyDescent="0.25">
      <c r="A210" t="s">
        <v>420</v>
      </c>
      <c r="B210" t="s">
        <v>421</v>
      </c>
      <c r="C210" s="27">
        <v>45539</v>
      </c>
      <c r="D210" t="s">
        <v>21</v>
      </c>
      <c r="E210" t="s">
        <v>34</v>
      </c>
      <c r="F210">
        <v>573.4</v>
      </c>
      <c r="H210" t="s">
        <v>35</v>
      </c>
    </row>
    <row r="211" spans="1:8" x14ac:dyDescent="0.25">
      <c r="A211" t="s">
        <v>422</v>
      </c>
      <c r="B211" t="s">
        <v>423</v>
      </c>
      <c r="C211" s="27">
        <v>45541</v>
      </c>
      <c r="D211" t="s">
        <v>14</v>
      </c>
      <c r="E211" t="s">
        <v>3370</v>
      </c>
      <c r="F211">
        <v>986.19</v>
      </c>
      <c r="G211">
        <v>7</v>
      </c>
      <c r="H211" t="s">
        <v>35</v>
      </c>
    </row>
    <row r="212" spans="1:8" x14ac:dyDescent="0.25">
      <c r="A212" t="s">
        <v>424</v>
      </c>
      <c r="B212" t="s">
        <v>425</v>
      </c>
      <c r="C212" s="27">
        <v>45046</v>
      </c>
      <c r="D212" t="s">
        <v>3372</v>
      </c>
      <c r="E212" t="s">
        <v>3371</v>
      </c>
      <c r="G212">
        <v>6</v>
      </c>
      <c r="H212" t="s">
        <v>18</v>
      </c>
    </row>
    <row r="213" spans="1:8" x14ac:dyDescent="0.25">
      <c r="A213" t="s">
        <v>426</v>
      </c>
      <c r="B213" t="s">
        <v>427</v>
      </c>
      <c r="C213" s="27">
        <v>45528</v>
      </c>
      <c r="D213" t="s">
        <v>3372</v>
      </c>
      <c r="E213" t="s">
        <v>11</v>
      </c>
      <c r="F213">
        <v>1266.92</v>
      </c>
      <c r="G213">
        <v>6</v>
      </c>
      <c r="H213" t="s">
        <v>3377</v>
      </c>
    </row>
    <row r="214" spans="1:8" x14ac:dyDescent="0.25">
      <c r="A214" t="s">
        <v>428</v>
      </c>
      <c r="B214" t="s">
        <v>429</v>
      </c>
      <c r="C214" s="27">
        <v>45292</v>
      </c>
      <c r="D214" t="s">
        <v>21</v>
      </c>
      <c r="E214" t="s">
        <v>3371</v>
      </c>
      <c r="F214">
        <v>227.48</v>
      </c>
      <c r="G214">
        <v>7</v>
      </c>
      <c r="H214" t="s">
        <v>35</v>
      </c>
    </row>
    <row r="215" spans="1:8" x14ac:dyDescent="0.25">
      <c r="A215" t="s">
        <v>430</v>
      </c>
      <c r="B215" t="s">
        <v>431</v>
      </c>
      <c r="C215" s="27">
        <v>44873</v>
      </c>
      <c r="D215" t="s">
        <v>14</v>
      </c>
      <c r="E215" t="s">
        <v>22</v>
      </c>
      <c r="F215">
        <v>1265.45</v>
      </c>
      <c r="G215">
        <v>8</v>
      </c>
      <c r="H215" t="s">
        <v>3369</v>
      </c>
    </row>
    <row r="216" spans="1:8" x14ac:dyDescent="0.25">
      <c r="A216" t="s">
        <v>432</v>
      </c>
      <c r="B216" t="s">
        <v>433</v>
      </c>
      <c r="C216" s="27">
        <v>44990</v>
      </c>
      <c r="D216" t="s">
        <v>3372</v>
      </c>
      <c r="E216" t="s">
        <v>34</v>
      </c>
      <c r="F216">
        <v>1365.23</v>
      </c>
      <c r="G216">
        <v>10</v>
      </c>
      <c r="H216" t="s">
        <v>3377</v>
      </c>
    </row>
    <row r="217" spans="1:8" x14ac:dyDescent="0.25">
      <c r="A217" t="s">
        <v>434</v>
      </c>
      <c r="B217" t="s">
        <v>435</v>
      </c>
      <c r="C217" s="27">
        <v>45368</v>
      </c>
      <c r="D217" t="s">
        <v>10</v>
      </c>
      <c r="E217" t="s">
        <v>11</v>
      </c>
      <c r="F217">
        <v>264.36</v>
      </c>
      <c r="G217">
        <v>6</v>
      </c>
      <c r="H217" t="s">
        <v>15</v>
      </c>
    </row>
    <row r="218" spans="1:8" x14ac:dyDescent="0.25">
      <c r="A218" t="s">
        <v>436</v>
      </c>
      <c r="B218" t="s">
        <v>437</v>
      </c>
      <c r="C218" s="27">
        <v>45090</v>
      </c>
      <c r="D218" t="s">
        <v>3372</v>
      </c>
      <c r="E218" t="s">
        <v>11</v>
      </c>
      <c r="F218">
        <v>1746.66</v>
      </c>
      <c r="G218">
        <v>4</v>
      </c>
      <c r="H218" t="s">
        <v>15</v>
      </c>
    </row>
    <row r="219" spans="1:8" x14ac:dyDescent="0.25">
      <c r="A219" t="s">
        <v>438</v>
      </c>
      <c r="B219" t="s">
        <v>439</v>
      </c>
      <c r="C219" s="27">
        <v>45435</v>
      </c>
      <c r="D219" t="s">
        <v>14</v>
      </c>
      <c r="E219" t="s">
        <v>3371</v>
      </c>
      <c r="F219">
        <v>162.44</v>
      </c>
      <c r="G219">
        <v>7</v>
      </c>
      <c r="H219" t="s">
        <v>3369</v>
      </c>
    </row>
    <row r="220" spans="1:8" x14ac:dyDescent="0.25">
      <c r="A220" t="s">
        <v>440</v>
      </c>
      <c r="B220" t="s">
        <v>441</v>
      </c>
      <c r="C220" s="27">
        <v>45797</v>
      </c>
      <c r="D220" t="s">
        <v>10</v>
      </c>
      <c r="E220" t="s">
        <v>22</v>
      </c>
      <c r="F220">
        <v>606.61</v>
      </c>
      <c r="G220">
        <v>8</v>
      </c>
      <c r="H220" t="s">
        <v>18</v>
      </c>
    </row>
    <row r="221" spans="1:8" x14ac:dyDescent="0.25">
      <c r="A221" t="s">
        <v>442</v>
      </c>
      <c r="B221" t="s">
        <v>443</v>
      </c>
      <c r="C221" s="27">
        <v>45339</v>
      </c>
      <c r="D221" t="s">
        <v>21</v>
      </c>
      <c r="E221" t="s">
        <v>34</v>
      </c>
      <c r="G221">
        <v>6</v>
      </c>
      <c r="H221" t="s">
        <v>15</v>
      </c>
    </row>
    <row r="222" spans="1:8" x14ac:dyDescent="0.25">
      <c r="A222" t="s">
        <v>3387</v>
      </c>
      <c r="B222" t="s">
        <v>3388</v>
      </c>
      <c r="C222" s="27">
        <v>45738</v>
      </c>
      <c r="D222" t="s">
        <v>10</v>
      </c>
      <c r="E222" t="s">
        <v>3370</v>
      </c>
      <c r="H222" t="s">
        <v>3369</v>
      </c>
    </row>
    <row r="223" spans="1:8" x14ac:dyDescent="0.25">
      <c r="A223" t="s">
        <v>444</v>
      </c>
      <c r="B223" t="s">
        <v>445</v>
      </c>
      <c r="C223" s="27">
        <v>44956</v>
      </c>
      <c r="D223" t="s">
        <v>14</v>
      </c>
      <c r="E223" t="s">
        <v>3371</v>
      </c>
      <c r="F223">
        <v>1815.01</v>
      </c>
      <c r="G223">
        <v>9</v>
      </c>
      <c r="H223" t="s">
        <v>15</v>
      </c>
    </row>
    <row r="224" spans="1:8" x14ac:dyDescent="0.25">
      <c r="A224" t="s">
        <v>446</v>
      </c>
      <c r="B224" t="s">
        <v>447</v>
      </c>
      <c r="C224" s="27">
        <v>45848</v>
      </c>
      <c r="D224" t="s">
        <v>14</v>
      </c>
      <c r="E224" t="s">
        <v>22</v>
      </c>
      <c r="F224">
        <v>417.7</v>
      </c>
      <c r="G224">
        <v>1</v>
      </c>
      <c r="H224" t="s">
        <v>15</v>
      </c>
    </row>
    <row r="225" spans="1:8" x14ac:dyDescent="0.25">
      <c r="A225" t="s">
        <v>448</v>
      </c>
      <c r="B225" t="s">
        <v>449</v>
      </c>
      <c r="C225" s="27">
        <v>44994</v>
      </c>
      <c r="D225" t="s">
        <v>3372</v>
      </c>
      <c r="E225" t="s">
        <v>3371</v>
      </c>
      <c r="F225">
        <v>611.41999999999996</v>
      </c>
      <c r="G225">
        <v>10</v>
      </c>
      <c r="H225" t="s">
        <v>15</v>
      </c>
    </row>
    <row r="226" spans="1:8" x14ac:dyDescent="0.25">
      <c r="A226" t="s">
        <v>450</v>
      </c>
      <c r="B226" t="s">
        <v>451</v>
      </c>
      <c r="C226" s="27">
        <v>45027</v>
      </c>
      <c r="D226" t="s">
        <v>14</v>
      </c>
      <c r="E226" t="s">
        <v>11</v>
      </c>
      <c r="F226">
        <v>880.28</v>
      </c>
      <c r="G226">
        <v>1</v>
      </c>
      <c r="H226" t="s">
        <v>3377</v>
      </c>
    </row>
    <row r="227" spans="1:8" x14ac:dyDescent="0.25">
      <c r="A227" t="s">
        <v>452</v>
      </c>
      <c r="B227" t="s">
        <v>453</v>
      </c>
      <c r="C227" s="27">
        <v>45368</v>
      </c>
      <c r="D227" t="s">
        <v>3372</v>
      </c>
      <c r="E227" t="s">
        <v>22</v>
      </c>
      <c r="F227">
        <v>977.06</v>
      </c>
      <c r="H227" t="s">
        <v>3369</v>
      </c>
    </row>
    <row r="228" spans="1:8" x14ac:dyDescent="0.25">
      <c r="A228" t="s">
        <v>454</v>
      </c>
      <c r="B228" t="s">
        <v>455</v>
      </c>
      <c r="C228" s="27">
        <v>45159</v>
      </c>
      <c r="D228" t="s">
        <v>10</v>
      </c>
      <c r="E228" t="s">
        <v>11</v>
      </c>
      <c r="F228">
        <v>523.78</v>
      </c>
      <c r="G228">
        <v>7</v>
      </c>
      <c r="H228" t="s">
        <v>3369</v>
      </c>
    </row>
    <row r="229" spans="1:8" x14ac:dyDescent="0.25">
      <c r="A229" t="s">
        <v>456</v>
      </c>
      <c r="B229" t="s">
        <v>457</v>
      </c>
      <c r="C229" s="27">
        <v>45202</v>
      </c>
      <c r="D229" t="s">
        <v>3372</v>
      </c>
      <c r="E229" t="s">
        <v>34</v>
      </c>
      <c r="F229">
        <v>692.63</v>
      </c>
      <c r="G229">
        <v>2</v>
      </c>
      <c r="H229" t="s">
        <v>15</v>
      </c>
    </row>
    <row r="230" spans="1:8" x14ac:dyDescent="0.25">
      <c r="A230" t="s">
        <v>458</v>
      </c>
      <c r="B230" t="s">
        <v>459</v>
      </c>
      <c r="C230" s="27">
        <v>45885</v>
      </c>
      <c r="D230" t="s">
        <v>3372</v>
      </c>
      <c r="E230" t="s">
        <v>25</v>
      </c>
      <c r="F230">
        <v>1706.29</v>
      </c>
      <c r="G230">
        <v>1</v>
      </c>
      <c r="H230" t="s">
        <v>15</v>
      </c>
    </row>
    <row r="231" spans="1:8" x14ac:dyDescent="0.25">
      <c r="A231" t="s">
        <v>460</v>
      </c>
      <c r="B231" t="s">
        <v>461</v>
      </c>
      <c r="C231" s="27">
        <v>45830</v>
      </c>
      <c r="D231" t="s">
        <v>14</v>
      </c>
      <c r="E231" t="s">
        <v>11</v>
      </c>
      <c r="F231">
        <v>584.26</v>
      </c>
      <c r="G231">
        <v>4</v>
      </c>
      <c r="H231" t="s">
        <v>18</v>
      </c>
    </row>
    <row r="232" spans="1:8" x14ac:dyDescent="0.25">
      <c r="A232" t="s">
        <v>462</v>
      </c>
      <c r="B232" t="s">
        <v>463</v>
      </c>
      <c r="C232" s="27">
        <v>45850</v>
      </c>
      <c r="D232" t="s">
        <v>3372</v>
      </c>
      <c r="E232" t="s">
        <v>11</v>
      </c>
      <c r="G232">
        <v>10</v>
      </c>
      <c r="H232" t="s">
        <v>3377</v>
      </c>
    </row>
    <row r="233" spans="1:8" x14ac:dyDescent="0.25">
      <c r="A233" t="s">
        <v>464</v>
      </c>
      <c r="B233" t="s">
        <v>465</v>
      </c>
      <c r="C233" s="27">
        <v>45289</v>
      </c>
      <c r="D233" t="s">
        <v>3372</v>
      </c>
      <c r="E233" t="s">
        <v>34</v>
      </c>
      <c r="F233">
        <v>1440.32</v>
      </c>
      <c r="G233">
        <v>5</v>
      </c>
      <c r="H233" t="s">
        <v>15</v>
      </c>
    </row>
    <row r="234" spans="1:8" x14ac:dyDescent="0.25">
      <c r="A234" t="s">
        <v>466</v>
      </c>
      <c r="B234" t="s">
        <v>467</v>
      </c>
      <c r="C234" s="27">
        <v>45830</v>
      </c>
      <c r="D234" t="s">
        <v>14</v>
      </c>
      <c r="E234" t="s">
        <v>3371</v>
      </c>
      <c r="F234">
        <v>1916.96</v>
      </c>
      <c r="H234" t="s">
        <v>3377</v>
      </c>
    </row>
    <row r="235" spans="1:8" x14ac:dyDescent="0.25">
      <c r="A235" t="s">
        <v>468</v>
      </c>
      <c r="B235" t="s">
        <v>469</v>
      </c>
      <c r="C235" s="27">
        <v>45075</v>
      </c>
      <c r="D235" t="s">
        <v>14</v>
      </c>
      <c r="E235" t="s">
        <v>11</v>
      </c>
      <c r="F235">
        <v>1864.15</v>
      </c>
      <c r="G235">
        <v>3</v>
      </c>
      <c r="H235" t="s">
        <v>18</v>
      </c>
    </row>
    <row r="236" spans="1:8" x14ac:dyDescent="0.25">
      <c r="A236" t="s">
        <v>470</v>
      </c>
      <c r="B236" t="s">
        <v>471</v>
      </c>
      <c r="C236" s="27">
        <v>45041</v>
      </c>
      <c r="D236" t="s">
        <v>10</v>
      </c>
      <c r="E236" t="s">
        <v>3371</v>
      </c>
      <c r="G236">
        <v>2</v>
      </c>
      <c r="H236" t="s">
        <v>15</v>
      </c>
    </row>
    <row r="237" spans="1:8" x14ac:dyDescent="0.25">
      <c r="A237" t="s">
        <v>472</v>
      </c>
      <c r="B237" t="s">
        <v>473</v>
      </c>
      <c r="C237" s="27">
        <v>45468</v>
      </c>
      <c r="D237" t="s">
        <v>3372</v>
      </c>
      <c r="E237" t="s">
        <v>11</v>
      </c>
      <c r="F237">
        <v>749.03</v>
      </c>
      <c r="G237">
        <v>3</v>
      </c>
      <c r="H237" t="s">
        <v>18</v>
      </c>
    </row>
    <row r="238" spans="1:8" x14ac:dyDescent="0.25">
      <c r="A238" t="s">
        <v>474</v>
      </c>
      <c r="B238" t="s">
        <v>475</v>
      </c>
      <c r="C238" s="27">
        <v>45346</v>
      </c>
      <c r="D238" t="s">
        <v>10</v>
      </c>
      <c r="E238" t="s">
        <v>34</v>
      </c>
      <c r="F238">
        <v>6.79</v>
      </c>
      <c r="G238">
        <v>8</v>
      </c>
      <c r="H238" t="s">
        <v>15</v>
      </c>
    </row>
    <row r="239" spans="1:8" x14ac:dyDescent="0.25">
      <c r="A239" t="s">
        <v>476</v>
      </c>
      <c r="B239" t="s">
        <v>477</v>
      </c>
      <c r="C239" s="27">
        <v>45185</v>
      </c>
      <c r="D239" t="s">
        <v>21</v>
      </c>
      <c r="E239" t="s">
        <v>11</v>
      </c>
      <c r="F239">
        <v>193.81</v>
      </c>
      <c r="G239">
        <v>2</v>
      </c>
      <c r="H239" t="s">
        <v>3369</v>
      </c>
    </row>
    <row r="240" spans="1:8" x14ac:dyDescent="0.25">
      <c r="A240" t="s">
        <v>478</v>
      </c>
      <c r="B240" t="s">
        <v>479</v>
      </c>
      <c r="C240" s="27">
        <v>45865</v>
      </c>
      <c r="D240" t="s">
        <v>3372</v>
      </c>
      <c r="E240" t="s">
        <v>34</v>
      </c>
      <c r="F240">
        <v>65.37</v>
      </c>
      <c r="G240">
        <v>2</v>
      </c>
      <c r="H240" t="s">
        <v>3377</v>
      </c>
    </row>
    <row r="241" spans="1:8" x14ac:dyDescent="0.25">
      <c r="A241" t="s">
        <v>480</v>
      </c>
      <c r="B241" t="s">
        <v>481</v>
      </c>
      <c r="C241" s="27">
        <v>45907</v>
      </c>
      <c r="D241" t="s">
        <v>14</v>
      </c>
      <c r="E241" t="s">
        <v>11</v>
      </c>
      <c r="F241">
        <v>1771.55</v>
      </c>
      <c r="G241">
        <v>1</v>
      </c>
      <c r="H241" t="s">
        <v>18</v>
      </c>
    </row>
    <row r="242" spans="1:8" x14ac:dyDescent="0.25">
      <c r="A242" t="s">
        <v>482</v>
      </c>
      <c r="B242" t="s">
        <v>483</v>
      </c>
      <c r="C242" s="27">
        <v>45920</v>
      </c>
      <c r="D242" t="s">
        <v>3372</v>
      </c>
      <c r="E242" t="s">
        <v>3371</v>
      </c>
      <c r="G242">
        <v>6</v>
      </c>
      <c r="H242" t="s">
        <v>18</v>
      </c>
    </row>
    <row r="243" spans="1:8" x14ac:dyDescent="0.25">
      <c r="A243" t="s">
        <v>484</v>
      </c>
      <c r="B243" t="s">
        <v>485</v>
      </c>
      <c r="C243" s="27">
        <v>45912</v>
      </c>
      <c r="D243" t="s">
        <v>21</v>
      </c>
      <c r="E243" t="s">
        <v>25</v>
      </c>
      <c r="F243">
        <v>1894.79</v>
      </c>
      <c r="G243">
        <v>6</v>
      </c>
      <c r="H243" t="s">
        <v>3377</v>
      </c>
    </row>
    <row r="244" spans="1:8" x14ac:dyDescent="0.25">
      <c r="A244" t="s">
        <v>486</v>
      </c>
      <c r="B244" t="s">
        <v>487</v>
      </c>
      <c r="C244" s="27">
        <v>45368</v>
      </c>
      <c r="D244" t="s">
        <v>3372</v>
      </c>
      <c r="E244" t="s">
        <v>11</v>
      </c>
      <c r="G244">
        <v>8</v>
      </c>
      <c r="H244" t="s">
        <v>35</v>
      </c>
    </row>
    <row r="245" spans="1:8" x14ac:dyDescent="0.25">
      <c r="A245" t="s">
        <v>488</v>
      </c>
      <c r="B245" t="s">
        <v>489</v>
      </c>
      <c r="C245" s="27">
        <v>45244</v>
      </c>
      <c r="D245" t="s">
        <v>14</v>
      </c>
      <c r="E245" t="s">
        <v>22</v>
      </c>
      <c r="F245">
        <v>1013.22</v>
      </c>
      <c r="G245">
        <v>4</v>
      </c>
      <c r="H245" t="s">
        <v>35</v>
      </c>
    </row>
    <row r="246" spans="1:8" x14ac:dyDescent="0.25">
      <c r="A246" t="s">
        <v>490</v>
      </c>
      <c r="B246" t="s">
        <v>491</v>
      </c>
      <c r="C246" s="27">
        <v>44901</v>
      </c>
      <c r="D246" t="s">
        <v>3372</v>
      </c>
      <c r="E246" t="s">
        <v>11</v>
      </c>
      <c r="F246">
        <v>667.78</v>
      </c>
      <c r="G246">
        <v>4</v>
      </c>
      <c r="H246" t="s">
        <v>3369</v>
      </c>
    </row>
    <row r="247" spans="1:8" x14ac:dyDescent="0.25">
      <c r="A247" t="s">
        <v>492</v>
      </c>
      <c r="B247" t="s">
        <v>493</v>
      </c>
      <c r="C247" s="27">
        <v>45044</v>
      </c>
      <c r="D247" t="s">
        <v>10</v>
      </c>
      <c r="E247" t="s">
        <v>3370</v>
      </c>
      <c r="F247">
        <v>859.85</v>
      </c>
      <c r="G247">
        <v>8</v>
      </c>
      <c r="H247" t="s">
        <v>18</v>
      </c>
    </row>
    <row r="248" spans="1:8" x14ac:dyDescent="0.25">
      <c r="A248" t="s">
        <v>494</v>
      </c>
      <c r="B248" t="s">
        <v>495</v>
      </c>
      <c r="C248" s="27">
        <v>45638</v>
      </c>
      <c r="D248" t="s">
        <v>10</v>
      </c>
      <c r="E248" t="s">
        <v>3370</v>
      </c>
      <c r="F248">
        <v>1239.72</v>
      </c>
      <c r="G248">
        <v>3</v>
      </c>
      <c r="H248" t="s">
        <v>3369</v>
      </c>
    </row>
    <row r="249" spans="1:8" x14ac:dyDescent="0.25">
      <c r="A249" t="s">
        <v>496</v>
      </c>
      <c r="B249" t="s">
        <v>497</v>
      </c>
      <c r="C249" s="27">
        <v>45681</v>
      </c>
      <c r="D249" t="s">
        <v>14</v>
      </c>
      <c r="E249" t="s">
        <v>3370</v>
      </c>
      <c r="F249">
        <v>167.29</v>
      </c>
      <c r="G249">
        <v>5</v>
      </c>
      <c r="H249" t="s">
        <v>15</v>
      </c>
    </row>
    <row r="250" spans="1:8" x14ac:dyDescent="0.25">
      <c r="A250" t="s">
        <v>3389</v>
      </c>
      <c r="B250" t="s">
        <v>498</v>
      </c>
      <c r="C250" s="27">
        <v>44985</v>
      </c>
      <c r="D250" t="s">
        <v>10</v>
      </c>
      <c r="E250" t="s">
        <v>34</v>
      </c>
      <c r="F250">
        <v>1733.25</v>
      </c>
      <c r="G250">
        <v>1</v>
      </c>
      <c r="H250" t="s">
        <v>35</v>
      </c>
    </row>
    <row r="251" spans="1:8" x14ac:dyDescent="0.25">
      <c r="A251" t="s">
        <v>499</v>
      </c>
      <c r="B251" t="s">
        <v>500</v>
      </c>
      <c r="C251" s="27">
        <v>45392</v>
      </c>
      <c r="D251" t="s">
        <v>21</v>
      </c>
      <c r="E251" t="s">
        <v>25</v>
      </c>
      <c r="F251">
        <v>1180.5</v>
      </c>
      <c r="G251">
        <v>2</v>
      </c>
      <c r="H251" t="s">
        <v>18</v>
      </c>
    </row>
    <row r="252" spans="1:8" x14ac:dyDescent="0.25">
      <c r="A252" t="s">
        <v>501</v>
      </c>
      <c r="B252" t="s">
        <v>502</v>
      </c>
      <c r="C252" s="27">
        <v>45949</v>
      </c>
      <c r="D252" t="s">
        <v>10</v>
      </c>
      <c r="E252" t="s">
        <v>11</v>
      </c>
      <c r="F252">
        <v>1371.14</v>
      </c>
      <c r="G252">
        <v>1</v>
      </c>
      <c r="H252" t="s">
        <v>3369</v>
      </c>
    </row>
    <row r="253" spans="1:8" x14ac:dyDescent="0.25">
      <c r="A253" t="s">
        <v>503</v>
      </c>
      <c r="B253" t="s">
        <v>504</v>
      </c>
      <c r="C253" s="27">
        <v>45817</v>
      </c>
      <c r="D253" t="s">
        <v>14</v>
      </c>
      <c r="E253" t="s">
        <v>3370</v>
      </c>
      <c r="F253">
        <v>417.32</v>
      </c>
      <c r="G253">
        <v>8</v>
      </c>
      <c r="H253" t="s">
        <v>3369</v>
      </c>
    </row>
    <row r="254" spans="1:8" x14ac:dyDescent="0.25">
      <c r="A254" t="s">
        <v>505</v>
      </c>
      <c r="B254" t="s">
        <v>506</v>
      </c>
      <c r="C254" s="27">
        <v>45827</v>
      </c>
      <c r="D254" t="s">
        <v>3372</v>
      </c>
      <c r="E254" t="s">
        <v>22</v>
      </c>
      <c r="F254">
        <v>1414.42</v>
      </c>
      <c r="G254">
        <v>4</v>
      </c>
      <c r="H254" t="s">
        <v>3377</v>
      </c>
    </row>
    <row r="255" spans="1:8" x14ac:dyDescent="0.25">
      <c r="A255" t="s">
        <v>507</v>
      </c>
      <c r="B255" t="s">
        <v>508</v>
      </c>
      <c r="C255" s="27">
        <v>45327</v>
      </c>
      <c r="D255" t="s">
        <v>10</v>
      </c>
      <c r="E255" t="s">
        <v>34</v>
      </c>
      <c r="G255">
        <v>9</v>
      </c>
      <c r="H255" t="s">
        <v>3377</v>
      </c>
    </row>
    <row r="256" spans="1:8" x14ac:dyDescent="0.25">
      <c r="A256" t="s">
        <v>509</v>
      </c>
      <c r="B256" t="s">
        <v>510</v>
      </c>
      <c r="C256" s="27">
        <v>45518</v>
      </c>
      <c r="D256" t="s">
        <v>10</v>
      </c>
      <c r="E256" t="s">
        <v>34</v>
      </c>
      <c r="F256">
        <v>924.08</v>
      </c>
      <c r="G256">
        <v>8</v>
      </c>
      <c r="H256" t="s">
        <v>35</v>
      </c>
    </row>
    <row r="257" spans="1:8" x14ac:dyDescent="0.25">
      <c r="A257" t="s">
        <v>511</v>
      </c>
      <c r="B257" t="s">
        <v>512</v>
      </c>
      <c r="C257" s="27">
        <v>45079</v>
      </c>
      <c r="D257" t="s">
        <v>3372</v>
      </c>
      <c r="E257" t="s">
        <v>34</v>
      </c>
      <c r="F257">
        <v>1931.16</v>
      </c>
      <c r="G257">
        <v>4</v>
      </c>
      <c r="H257" t="s">
        <v>3377</v>
      </c>
    </row>
    <row r="258" spans="1:8" x14ac:dyDescent="0.25">
      <c r="A258" t="s">
        <v>513</v>
      </c>
      <c r="B258" t="s">
        <v>514</v>
      </c>
      <c r="C258" s="27">
        <v>45109</v>
      </c>
      <c r="D258" t="s">
        <v>10</v>
      </c>
      <c r="E258" t="s">
        <v>25</v>
      </c>
      <c r="F258">
        <v>1206.5999999999999</v>
      </c>
      <c r="G258">
        <v>10</v>
      </c>
      <c r="H258" t="s">
        <v>15</v>
      </c>
    </row>
    <row r="259" spans="1:8" x14ac:dyDescent="0.25">
      <c r="A259" t="s">
        <v>515</v>
      </c>
      <c r="B259" t="s">
        <v>516</v>
      </c>
      <c r="C259" s="27">
        <v>45736</v>
      </c>
      <c r="D259" t="s">
        <v>10</v>
      </c>
      <c r="E259" t="s">
        <v>3370</v>
      </c>
      <c r="F259">
        <v>1234.18</v>
      </c>
      <c r="G259">
        <v>2</v>
      </c>
      <c r="H259" t="s">
        <v>3369</v>
      </c>
    </row>
    <row r="260" spans="1:8" x14ac:dyDescent="0.25">
      <c r="A260" t="s">
        <v>517</v>
      </c>
      <c r="B260" t="s">
        <v>518</v>
      </c>
      <c r="C260" s="27">
        <v>45043</v>
      </c>
      <c r="D260" t="s">
        <v>3372</v>
      </c>
      <c r="E260" t="s">
        <v>25</v>
      </c>
      <c r="F260">
        <v>712.4</v>
      </c>
      <c r="G260">
        <v>9</v>
      </c>
      <c r="H260" t="s">
        <v>35</v>
      </c>
    </row>
    <row r="261" spans="1:8" x14ac:dyDescent="0.25">
      <c r="A261" t="s">
        <v>519</v>
      </c>
      <c r="B261" t="s">
        <v>520</v>
      </c>
      <c r="C261" s="27">
        <v>45219</v>
      </c>
      <c r="D261" t="s">
        <v>14</v>
      </c>
      <c r="E261" t="s">
        <v>11</v>
      </c>
      <c r="F261">
        <v>1365.17</v>
      </c>
      <c r="G261">
        <v>3</v>
      </c>
      <c r="H261" t="s">
        <v>15</v>
      </c>
    </row>
    <row r="262" spans="1:8" x14ac:dyDescent="0.25">
      <c r="A262" t="s">
        <v>521</v>
      </c>
      <c r="B262" t="s">
        <v>522</v>
      </c>
      <c r="C262" s="27">
        <v>44960</v>
      </c>
      <c r="D262" t="s">
        <v>14</v>
      </c>
      <c r="E262" t="s">
        <v>25</v>
      </c>
      <c r="F262">
        <v>1824.19</v>
      </c>
      <c r="G262">
        <v>1</v>
      </c>
      <c r="H262" t="s">
        <v>15</v>
      </c>
    </row>
    <row r="263" spans="1:8" x14ac:dyDescent="0.25">
      <c r="A263" t="s">
        <v>523</v>
      </c>
      <c r="B263" t="s">
        <v>524</v>
      </c>
      <c r="C263" s="27">
        <v>45916</v>
      </c>
      <c r="D263" t="s">
        <v>3372</v>
      </c>
      <c r="E263" t="s">
        <v>25</v>
      </c>
      <c r="F263">
        <v>1502.12</v>
      </c>
      <c r="G263">
        <v>5</v>
      </c>
      <c r="H263" t="s">
        <v>15</v>
      </c>
    </row>
    <row r="264" spans="1:8" x14ac:dyDescent="0.25">
      <c r="A264" t="s">
        <v>525</v>
      </c>
      <c r="B264" t="s">
        <v>526</v>
      </c>
      <c r="C264" s="27">
        <v>45715</v>
      </c>
      <c r="D264" t="s">
        <v>10</v>
      </c>
      <c r="E264" t="s">
        <v>25</v>
      </c>
      <c r="F264">
        <v>922.13</v>
      </c>
      <c r="G264">
        <v>9</v>
      </c>
      <c r="H264" t="s">
        <v>15</v>
      </c>
    </row>
    <row r="265" spans="1:8" x14ac:dyDescent="0.25">
      <c r="A265" t="s">
        <v>527</v>
      </c>
      <c r="B265" t="s">
        <v>528</v>
      </c>
      <c r="C265" s="27">
        <v>45906</v>
      </c>
      <c r="D265" t="s">
        <v>10</v>
      </c>
      <c r="E265" t="s">
        <v>25</v>
      </c>
      <c r="F265">
        <v>13.73</v>
      </c>
      <c r="G265">
        <v>9</v>
      </c>
      <c r="H265" t="s">
        <v>35</v>
      </c>
    </row>
    <row r="266" spans="1:8" x14ac:dyDescent="0.25">
      <c r="A266" t="s">
        <v>529</v>
      </c>
      <c r="B266" t="s">
        <v>530</v>
      </c>
      <c r="C266" s="27">
        <v>45417</v>
      </c>
      <c r="D266" t="s">
        <v>21</v>
      </c>
      <c r="E266" t="s">
        <v>22</v>
      </c>
      <c r="F266">
        <v>1409.88</v>
      </c>
      <c r="H266" t="s">
        <v>3377</v>
      </c>
    </row>
    <row r="267" spans="1:8" x14ac:dyDescent="0.25">
      <c r="A267" t="s">
        <v>531</v>
      </c>
      <c r="B267" t="s">
        <v>532</v>
      </c>
      <c r="C267" s="27">
        <v>45729</v>
      </c>
      <c r="D267" t="s">
        <v>3372</v>
      </c>
      <c r="E267" t="s">
        <v>11</v>
      </c>
      <c r="F267">
        <v>1802.13</v>
      </c>
      <c r="G267">
        <v>1</v>
      </c>
      <c r="H267" t="s">
        <v>15</v>
      </c>
    </row>
    <row r="268" spans="1:8" x14ac:dyDescent="0.25">
      <c r="A268" t="s">
        <v>533</v>
      </c>
      <c r="B268" t="s">
        <v>534</v>
      </c>
      <c r="C268" s="27">
        <v>45902</v>
      </c>
      <c r="D268" t="s">
        <v>21</v>
      </c>
      <c r="E268" t="s">
        <v>34</v>
      </c>
      <c r="F268">
        <v>1244.5999999999999</v>
      </c>
      <c r="G268">
        <v>5</v>
      </c>
      <c r="H268" t="s">
        <v>35</v>
      </c>
    </row>
    <row r="269" spans="1:8" x14ac:dyDescent="0.25">
      <c r="A269" t="s">
        <v>535</v>
      </c>
      <c r="B269" t="s">
        <v>536</v>
      </c>
      <c r="C269" s="27">
        <v>45833</v>
      </c>
      <c r="D269" t="s">
        <v>21</v>
      </c>
      <c r="E269" t="s">
        <v>34</v>
      </c>
      <c r="F269">
        <v>828.78</v>
      </c>
      <c r="G269">
        <v>10</v>
      </c>
      <c r="H269" t="s">
        <v>35</v>
      </c>
    </row>
    <row r="270" spans="1:8" x14ac:dyDescent="0.25">
      <c r="A270" t="s">
        <v>537</v>
      </c>
      <c r="B270" t="s">
        <v>538</v>
      </c>
      <c r="C270" s="27">
        <v>44918</v>
      </c>
      <c r="D270" t="s">
        <v>3372</v>
      </c>
      <c r="E270" t="s">
        <v>3371</v>
      </c>
      <c r="G270">
        <v>7</v>
      </c>
      <c r="H270" t="s">
        <v>18</v>
      </c>
    </row>
    <row r="271" spans="1:8" x14ac:dyDescent="0.25">
      <c r="A271" t="s">
        <v>3378</v>
      </c>
      <c r="B271" t="s">
        <v>3379</v>
      </c>
      <c r="C271" s="27">
        <v>45453</v>
      </c>
      <c r="D271" t="s">
        <v>21</v>
      </c>
      <c r="E271" t="s">
        <v>3371</v>
      </c>
      <c r="F271">
        <v>564.96</v>
      </c>
      <c r="H271" t="s">
        <v>3377</v>
      </c>
    </row>
    <row r="272" spans="1:8" x14ac:dyDescent="0.25">
      <c r="A272" t="s">
        <v>539</v>
      </c>
      <c r="B272" t="s">
        <v>540</v>
      </c>
      <c r="C272" s="27">
        <v>45349</v>
      </c>
      <c r="D272" t="s">
        <v>3372</v>
      </c>
      <c r="E272" t="s">
        <v>3370</v>
      </c>
      <c r="F272">
        <v>982.06</v>
      </c>
      <c r="G272">
        <v>3</v>
      </c>
      <c r="H272" t="s">
        <v>18</v>
      </c>
    </row>
    <row r="273" spans="1:8" x14ac:dyDescent="0.25">
      <c r="A273" t="s">
        <v>541</v>
      </c>
      <c r="B273" t="s">
        <v>542</v>
      </c>
      <c r="C273" s="27">
        <v>45264</v>
      </c>
      <c r="D273" t="s">
        <v>21</v>
      </c>
      <c r="E273" t="s">
        <v>22</v>
      </c>
      <c r="F273">
        <v>681.17</v>
      </c>
      <c r="G273">
        <v>5</v>
      </c>
      <c r="H273" t="s">
        <v>3377</v>
      </c>
    </row>
    <row r="274" spans="1:8" x14ac:dyDescent="0.25">
      <c r="A274" t="s">
        <v>543</v>
      </c>
      <c r="B274" t="s">
        <v>544</v>
      </c>
      <c r="C274" s="27">
        <v>45540</v>
      </c>
      <c r="D274" t="s">
        <v>3372</v>
      </c>
      <c r="E274" t="s">
        <v>25</v>
      </c>
      <c r="F274">
        <v>1892.34</v>
      </c>
      <c r="H274" t="s">
        <v>3369</v>
      </c>
    </row>
    <row r="275" spans="1:8" x14ac:dyDescent="0.25">
      <c r="A275" t="s">
        <v>545</v>
      </c>
      <c r="B275" t="s">
        <v>546</v>
      </c>
      <c r="C275" s="27">
        <v>45345</v>
      </c>
      <c r="D275" t="s">
        <v>3372</v>
      </c>
      <c r="E275" t="s">
        <v>34</v>
      </c>
      <c r="F275">
        <v>1264.17</v>
      </c>
      <c r="G275">
        <v>2</v>
      </c>
      <c r="H275" t="s">
        <v>35</v>
      </c>
    </row>
    <row r="276" spans="1:8" x14ac:dyDescent="0.25">
      <c r="A276" t="s">
        <v>547</v>
      </c>
      <c r="B276" t="s">
        <v>548</v>
      </c>
      <c r="C276" s="27">
        <v>45050</v>
      </c>
      <c r="D276" t="s">
        <v>21</v>
      </c>
      <c r="E276" t="s">
        <v>22</v>
      </c>
      <c r="F276">
        <v>186.96</v>
      </c>
      <c r="H276" t="s">
        <v>3377</v>
      </c>
    </row>
    <row r="277" spans="1:8" x14ac:dyDescent="0.25">
      <c r="A277" t="s">
        <v>549</v>
      </c>
      <c r="B277" t="s">
        <v>550</v>
      </c>
      <c r="C277" s="27">
        <v>45123</v>
      </c>
      <c r="D277" t="s">
        <v>10</v>
      </c>
      <c r="E277" t="s">
        <v>22</v>
      </c>
      <c r="F277">
        <v>1742.06</v>
      </c>
      <c r="G277">
        <v>5</v>
      </c>
      <c r="H277" t="s">
        <v>18</v>
      </c>
    </row>
    <row r="278" spans="1:8" x14ac:dyDescent="0.25">
      <c r="A278" t="s">
        <v>551</v>
      </c>
      <c r="B278" t="s">
        <v>552</v>
      </c>
      <c r="C278" s="27">
        <v>44960</v>
      </c>
      <c r="D278" t="s">
        <v>3372</v>
      </c>
      <c r="E278" t="s">
        <v>3370</v>
      </c>
      <c r="F278">
        <v>1095.95</v>
      </c>
      <c r="G278">
        <v>1</v>
      </c>
      <c r="H278" t="s">
        <v>3369</v>
      </c>
    </row>
    <row r="279" spans="1:8" x14ac:dyDescent="0.25">
      <c r="A279" t="s">
        <v>3384</v>
      </c>
      <c r="B279" t="s">
        <v>3385</v>
      </c>
      <c r="C279" s="27">
        <v>45864</v>
      </c>
      <c r="D279" t="s">
        <v>14</v>
      </c>
      <c r="E279" t="s">
        <v>34</v>
      </c>
      <c r="G279">
        <v>2</v>
      </c>
      <c r="H279" t="s">
        <v>3377</v>
      </c>
    </row>
    <row r="280" spans="1:8" x14ac:dyDescent="0.25">
      <c r="A280" t="s">
        <v>553</v>
      </c>
      <c r="B280" t="s">
        <v>554</v>
      </c>
      <c r="C280" s="27">
        <v>45532</v>
      </c>
      <c r="D280" t="s">
        <v>21</v>
      </c>
      <c r="E280" t="s">
        <v>25</v>
      </c>
      <c r="F280">
        <v>467.11</v>
      </c>
      <c r="H280" t="s">
        <v>3377</v>
      </c>
    </row>
    <row r="281" spans="1:8" x14ac:dyDescent="0.25">
      <c r="A281" t="s">
        <v>555</v>
      </c>
      <c r="B281" t="s">
        <v>556</v>
      </c>
      <c r="C281" s="27">
        <v>45912</v>
      </c>
      <c r="D281" t="s">
        <v>3372</v>
      </c>
      <c r="E281" t="s">
        <v>11</v>
      </c>
      <c r="F281">
        <v>424.47</v>
      </c>
      <c r="G281">
        <v>1</v>
      </c>
      <c r="H281" t="s">
        <v>18</v>
      </c>
    </row>
    <row r="282" spans="1:8" x14ac:dyDescent="0.25">
      <c r="A282" t="s">
        <v>557</v>
      </c>
      <c r="B282" t="s">
        <v>558</v>
      </c>
      <c r="C282" s="27">
        <v>44963</v>
      </c>
      <c r="D282" t="s">
        <v>14</v>
      </c>
      <c r="E282" t="s">
        <v>11</v>
      </c>
      <c r="F282">
        <v>294.01</v>
      </c>
      <c r="G282">
        <v>1</v>
      </c>
      <c r="H282" t="s">
        <v>3369</v>
      </c>
    </row>
    <row r="283" spans="1:8" x14ac:dyDescent="0.25">
      <c r="A283" t="s">
        <v>559</v>
      </c>
      <c r="B283" t="s">
        <v>560</v>
      </c>
      <c r="C283" s="27">
        <v>44893</v>
      </c>
      <c r="D283" t="s">
        <v>3372</v>
      </c>
      <c r="E283" t="s">
        <v>34</v>
      </c>
      <c r="F283">
        <v>435.47</v>
      </c>
      <c r="G283">
        <v>1</v>
      </c>
      <c r="H283" t="s">
        <v>35</v>
      </c>
    </row>
    <row r="284" spans="1:8" x14ac:dyDescent="0.25">
      <c r="A284" t="s">
        <v>561</v>
      </c>
      <c r="B284" t="s">
        <v>562</v>
      </c>
      <c r="C284" s="27">
        <v>45448</v>
      </c>
      <c r="D284" t="s">
        <v>21</v>
      </c>
      <c r="E284" t="s">
        <v>11</v>
      </c>
      <c r="F284">
        <v>1948.53</v>
      </c>
      <c r="G284">
        <v>1</v>
      </c>
      <c r="H284" t="s">
        <v>35</v>
      </c>
    </row>
    <row r="285" spans="1:8" x14ac:dyDescent="0.25">
      <c r="A285" t="s">
        <v>563</v>
      </c>
      <c r="B285" t="s">
        <v>564</v>
      </c>
      <c r="C285" s="27">
        <v>45374</v>
      </c>
      <c r="D285" t="s">
        <v>14</v>
      </c>
      <c r="E285" t="s">
        <v>34</v>
      </c>
      <c r="F285">
        <v>567.76</v>
      </c>
      <c r="G285">
        <v>7</v>
      </c>
      <c r="H285" t="s">
        <v>15</v>
      </c>
    </row>
    <row r="286" spans="1:8" x14ac:dyDescent="0.25">
      <c r="A286" t="s">
        <v>565</v>
      </c>
      <c r="B286" t="s">
        <v>566</v>
      </c>
      <c r="C286" s="27">
        <v>45796</v>
      </c>
      <c r="D286" t="s">
        <v>21</v>
      </c>
      <c r="E286" t="s">
        <v>11</v>
      </c>
      <c r="F286">
        <v>965.6</v>
      </c>
      <c r="H286" t="s">
        <v>35</v>
      </c>
    </row>
    <row r="287" spans="1:8" x14ac:dyDescent="0.25">
      <c r="A287" t="s">
        <v>567</v>
      </c>
      <c r="B287" t="s">
        <v>568</v>
      </c>
      <c r="C287" s="27">
        <v>45819</v>
      </c>
      <c r="D287" t="s">
        <v>21</v>
      </c>
      <c r="E287" t="s">
        <v>25</v>
      </c>
      <c r="F287">
        <v>1155.5999999999999</v>
      </c>
      <c r="H287" t="s">
        <v>18</v>
      </c>
    </row>
    <row r="288" spans="1:8" x14ac:dyDescent="0.25">
      <c r="A288" t="s">
        <v>569</v>
      </c>
      <c r="B288" t="s">
        <v>570</v>
      </c>
      <c r="C288" s="27">
        <v>45338</v>
      </c>
      <c r="D288" t="s">
        <v>10</v>
      </c>
      <c r="E288" t="s">
        <v>3370</v>
      </c>
      <c r="F288">
        <v>1870.29</v>
      </c>
      <c r="G288">
        <v>2</v>
      </c>
      <c r="H288" t="s">
        <v>18</v>
      </c>
    </row>
    <row r="289" spans="1:8" x14ac:dyDescent="0.25">
      <c r="A289" t="s">
        <v>3390</v>
      </c>
      <c r="B289" t="s">
        <v>571</v>
      </c>
      <c r="C289" s="27">
        <v>45742</v>
      </c>
      <c r="D289" t="s">
        <v>14</v>
      </c>
      <c r="E289" t="s">
        <v>3370</v>
      </c>
      <c r="F289">
        <v>429.57</v>
      </c>
      <c r="G289">
        <v>10</v>
      </c>
      <c r="H289" t="s">
        <v>3369</v>
      </c>
    </row>
    <row r="290" spans="1:8" x14ac:dyDescent="0.25">
      <c r="A290" t="s">
        <v>572</v>
      </c>
      <c r="B290" t="s">
        <v>573</v>
      </c>
      <c r="C290" s="27">
        <v>45770</v>
      </c>
      <c r="D290" t="s">
        <v>21</v>
      </c>
      <c r="E290" t="s">
        <v>3371</v>
      </c>
      <c r="F290">
        <v>1412.84</v>
      </c>
      <c r="G290">
        <v>6</v>
      </c>
      <c r="H290" t="s">
        <v>15</v>
      </c>
    </row>
    <row r="291" spans="1:8" x14ac:dyDescent="0.25">
      <c r="A291" t="s">
        <v>574</v>
      </c>
      <c r="B291" t="s">
        <v>575</v>
      </c>
      <c r="C291" s="27">
        <v>45889</v>
      </c>
      <c r="D291" t="s">
        <v>21</v>
      </c>
      <c r="E291" t="s">
        <v>34</v>
      </c>
      <c r="F291">
        <v>1129.75</v>
      </c>
      <c r="G291">
        <v>9</v>
      </c>
      <c r="H291" t="s">
        <v>3369</v>
      </c>
    </row>
    <row r="292" spans="1:8" x14ac:dyDescent="0.25">
      <c r="A292" t="s">
        <v>576</v>
      </c>
      <c r="B292" t="s">
        <v>577</v>
      </c>
      <c r="C292" s="27">
        <v>45469</v>
      </c>
      <c r="D292" t="s">
        <v>10</v>
      </c>
      <c r="E292" t="s">
        <v>3370</v>
      </c>
      <c r="F292">
        <v>325.13</v>
      </c>
      <c r="G292">
        <v>2</v>
      </c>
      <c r="H292" t="s">
        <v>18</v>
      </c>
    </row>
    <row r="293" spans="1:8" x14ac:dyDescent="0.25">
      <c r="A293" t="s">
        <v>578</v>
      </c>
      <c r="B293" t="s">
        <v>579</v>
      </c>
      <c r="C293" s="27">
        <v>45388</v>
      </c>
      <c r="D293" t="s">
        <v>14</v>
      </c>
      <c r="E293" t="s">
        <v>3370</v>
      </c>
      <c r="F293">
        <v>1610.55</v>
      </c>
      <c r="G293">
        <v>1</v>
      </c>
      <c r="H293" t="s">
        <v>3377</v>
      </c>
    </row>
    <row r="294" spans="1:8" x14ac:dyDescent="0.25">
      <c r="A294" t="s">
        <v>580</v>
      </c>
      <c r="B294" t="s">
        <v>581</v>
      </c>
      <c r="C294" s="27">
        <v>45244</v>
      </c>
      <c r="D294" t="s">
        <v>14</v>
      </c>
      <c r="E294" t="s">
        <v>3371</v>
      </c>
      <c r="F294">
        <v>1010.07</v>
      </c>
      <c r="G294">
        <v>5</v>
      </c>
      <c r="H294" t="s">
        <v>3369</v>
      </c>
    </row>
    <row r="295" spans="1:8" x14ac:dyDescent="0.25">
      <c r="A295" t="s">
        <v>582</v>
      </c>
      <c r="B295" t="s">
        <v>354</v>
      </c>
      <c r="C295" s="27">
        <v>45322</v>
      </c>
      <c r="D295" t="s">
        <v>21</v>
      </c>
      <c r="E295" t="s">
        <v>3371</v>
      </c>
      <c r="F295">
        <v>198.68</v>
      </c>
      <c r="G295">
        <v>8</v>
      </c>
      <c r="H295" t="s">
        <v>15</v>
      </c>
    </row>
    <row r="296" spans="1:8" x14ac:dyDescent="0.25">
      <c r="A296" t="s">
        <v>583</v>
      </c>
      <c r="B296" t="s">
        <v>584</v>
      </c>
      <c r="C296" s="27">
        <v>45135</v>
      </c>
      <c r="D296" t="s">
        <v>3372</v>
      </c>
      <c r="E296" t="s">
        <v>3370</v>
      </c>
      <c r="F296">
        <v>210.91</v>
      </c>
      <c r="G296">
        <v>3</v>
      </c>
      <c r="H296" t="s">
        <v>3369</v>
      </c>
    </row>
    <row r="297" spans="1:8" x14ac:dyDescent="0.25">
      <c r="A297" t="s">
        <v>585</v>
      </c>
      <c r="B297" t="s">
        <v>586</v>
      </c>
      <c r="C297" s="27">
        <v>45775</v>
      </c>
      <c r="D297" t="s">
        <v>3372</v>
      </c>
      <c r="E297" t="s">
        <v>25</v>
      </c>
      <c r="F297">
        <v>768.35</v>
      </c>
      <c r="G297">
        <v>3</v>
      </c>
      <c r="H297" t="s">
        <v>35</v>
      </c>
    </row>
    <row r="298" spans="1:8" x14ac:dyDescent="0.25">
      <c r="A298" t="s">
        <v>587</v>
      </c>
      <c r="B298" t="s">
        <v>588</v>
      </c>
      <c r="C298" s="27">
        <v>44998</v>
      </c>
      <c r="D298" t="s">
        <v>14</v>
      </c>
      <c r="E298" t="s">
        <v>22</v>
      </c>
      <c r="F298">
        <v>443.77</v>
      </c>
      <c r="G298">
        <v>9</v>
      </c>
      <c r="H298" t="s">
        <v>3369</v>
      </c>
    </row>
    <row r="299" spans="1:8" x14ac:dyDescent="0.25">
      <c r="A299" t="s">
        <v>589</v>
      </c>
      <c r="B299" t="s">
        <v>590</v>
      </c>
      <c r="C299" s="27">
        <v>45387</v>
      </c>
      <c r="D299" t="s">
        <v>14</v>
      </c>
      <c r="E299" t="s">
        <v>25</v>
      </c>
      <c r="F299">
        <v>418.03</v>
      </c>
      <c r="G299">
        <v>5</v>
      </c>
      <c r="H299" t="s">
        <v>3377</v>
      </c>
    </row>
    <row r="300" spans="1:8" x14ac:dyDescent="0.25">
      <c r="A300" t="s">
        <v>591</v>
      </c>
      <c r="B300" t="s">
        <v>592</v>
      </c>
      <c r="C300" s="27">
        <v>45878</v>
      </c>
      <c r="D300" t="s">
        <v>14</v>
      </c>
      <c r="E300" t="s">
        <v>22</v>
      </c>
      <c r="F300">
        <v>704.33</v>
      </c>
      <c r="G300">
        <v>6</v>
      </c>
      <c r="H300" t="s">
        <v>15</v>
      </c>
    </row>
    <row r="301" spans="1:8" x14ac:dyDescent="0.25">
      <c r="A301" t="s">
        <v>593</v>
      </c>
      <c r="B301" t="s">
        <v>594</v>
      </c>
      <c r="C301" s="27">
        <v>45459</v>
      </c>
      <c r="D301" t="s">
        <v>3372</v>
      </c>
      <c r="E301" t="s">
        <v>25</v>
      </c>
      <c r="F301">
        <v>110.59</v>
      </c>
      <c r="G301">
        <v>3</v>
      </c>
      <c r="H301" t="s">
        <v>15</v>
      </c>
    </row>
    <row r="302" spans="1:8" x14ac:dyDescent="0.25">
      <c r="A302" t="s">
        <v>595</v>
      </c>
      <c r="B302" t="s">
        <v>596</v>
      </c>
      <c r="C302" s="27">
        <v>45520</v>
      </c>
      <c r="D302" t="s">
        <v>21</v>
      </c>
      <c r="E302" t="s">
        <v>25</v>
      </c>
      <c r="F302">
        <v>1079.18</v>
      </c>
      <c r="G302">
        <v>7</v>
      </c>
      <c r="H302" t="s">
        <v>15</v>
      </c>
    </row>
    <row r="303" spans="1:8" x14ac:dyDescent="0.25">
      <c r="A303" t="s">
        <v>597</v>
      </c>
      <c r="B303" t="s">
        <v>598</v>
      </c>
      <c r="C303" s="27">
        <v>45521</v>
      </c>
      <c r="D303" t="s">
        <v>3372</v>
      </c>
      <c r="E303" t="s">
        <v>34</v>
      </c>
      <c r="F303">
        <v>1397.34</v>
      </c>
      <c r="G303">
        <v>1</v>
      </c>
      <c r="H303" t="s">
        <v>3369</v>
      </c>
    </row>
    <row r="304" spans="1:8" x14ac:dyDescent="0.25">
      <c r="A304" t="s">
        <v>599</v>
      </c>
      <c r="B304" t="s">
        <v>600</v>
      </c>
      <c r="C304" s="27">
        <v>45802</v>
      </c>
      <c r="D304" t="s">
        <v>21</v>
      </c>
      <c r="E304" t="s">
        <v>34</v>
      </c>
      <c r="G304">
        <v>9</v>
      </c>
      <c r="H304" t="s">
        <v>18</v>
      </c>
    </row>
    <row r="305" spans="1:8" x14ac:dyDescent="0.25">
      <c r="A305" t="s">
        <v>601</v>
      </c>
      <c r="B305" t="s">
        <v>602</v>
      </c>
      <c r="C305" s="27">
        <v>45286</v>
      </c>
      <c r="D305" t="s">
        <v>21</v>
      </c>
      <c r="E305" t="s">
        <v>3370</v>
      </c>
      <c r="F305">
        <v>1484.83</v>
      </c>
      <c r="G305">
        <v>10</v>
      </c>
      <c r="H305" t="s">
        <v>15</v>
      </c>
    </row>
    <row r="306" spans="1:8" x14ac:dyDescent="0.25">
      <c r="A306" t="s">
        <v>3391</v>
      </c>
      <c r="B306" t="s">
        <v>3392</v>
      </c>
      <c r="C306" s="27">
        <v>45872</v>
      </c>
      <c r="D306" t="s">
        <v>3372</v>
      </c>
      <c r="E306" t="s">
        <v>22</v>
      </c>
      <c r="H306" t="s">
        <v>18</v>
      </c>
    </row>
    <row r="307" spans="1:8" x14ac:dyDescent="0.25">
      <c r="A307" t="s">
        <v>603</v>
      </c>
      <c r="B307" t="s">
        <v>604</v>
      </c>
      <c r="C307" s="27">
        <v>45587</v>
      </c>
      <c r="D307" t="s">
        <v>14</v>
      </c>
      <c r="E307" t="s">
        <v>22</v>
      </c>
      <c r="F307">
        <v>1244.8800000000001</v>
      </c>
      <c r="G307">
        <v>7</v>
      </c>
      <c r="H307" t="s">
        <v>18</v>
      </c>
    </row>
    <row r="308" spans="1:8" x14ac:dyDescent="0.25">
      <c r="A308" t="s">
        <v>605</v>
      </c>
      <c r="B308" t="s">
        <v>606</v>
      </c>
      <c r="C308" s="27">
        <v>45707</v>
      </c>
      <c r="D308" t="s">
        <v>10</v>
      </c>
      <c r="E308" t="s">
        <v>34</v>
      </c>
      <c r="G308">
        <v>8</v>
      </c>
      <c r="H308" t="s">
        <v>15</v>
      </c>
    </row>
    <row r="309" spans="1:8" x14ac:dyDescent="0.25">
      <c r="A309" t="s">
        <v>607</v>
      </c>
      <c r="B309" t="s">
        <v>608</v>
      </c>
      <c r="C309" s="27">
        <v>45515</v>
      </c>
      <c r="D309" t="s">
        <v>14</v>
      </c>
      <c r="E309" t="s">
        <v>22</v>
      </c>
      <c r="F309">
        <v>869.89</v>
      </c>
      <c r="G309">
        <v>5</v>
      </c>
      <c r="H309" t="s">
        <v>35</v>
      </c>
    </row>
    <row r="310" spans="1:8" x14ac:dyDescent="0.25">
      <c r="A310" t="s">
        <v>609</v>
      </c>
      <c r="B310" t="s">
        <v>610</v>
      </c>
      <c r="C310" s="27">
        <v>45455</v>
      </c>
      <c r="D310" t="s">
        <v>3372</v>
      </c>
      <c r="E310" t="s">
        <v>11</v>
      </c>
      <c r="G310">
        <v>6</v>
      </c>
      <c r="H310" t="s">
        <v>3377</v>
      </c>
    </row>
    <row r="311" spans="1:8" x14ac:dyDescent="0.25">
      <c r="A311" t="s">
        <v>611</v>
      </c>
      <c r="B311" t="s">
        <v>612</v>
      </c>
      <c r="C311" s="27">
        <v>45348</v>
      </c>
      <c r="D311" t="s">
        <v>3372</v>
      </c>
      <c r="E311" t="s">
        <v>22</v>
      </c>
      <c r="F311">
        <v>922.45</v>
      </c>
      <c r="G311">
        <v>6</v>
      </c>
      <c r="H311" t="s">
        <v>15</v>
      </c>
    </row>
    <row r="312" spans="1:8" x14ac:dyDescent="0.25">
      <c r="A312" t="s">
        <v>613</v>
      </c>
      <c r="B312" t="s">
        <v>614</v>
      </c>
      <c r="C312" s="27">
        <v>45661</v>
      </c>
      <c r="D312" t="s">
        <v>14</v>
      </c>
      <c r="E312" t="s">
        <v>3371</v>
      </c>
      <c r="F312">
        <v>1900.41</v>
      </c>
      <c r="G312">
        <v>10</v>
      </c>
      <c r="H312" t="s">
        <v>3377</v>
      </c>
    </row>
    <row r="313" spans="1:8" x14ac:dyDescent="0.25">
      <c r="A313" t="s">
        <v>615</v>
      </c>
      <c r="B313" t="s">
        <v>616</v>
      </c>
      <c r="C313" s="27">
        <v>44872</v>
      </c>
      <c r="D313" t="s">
        <v>21</v>
      </c>
      <c r="E313" t="s">
        <v>34</v>
      </c>
      <c r="F313">
        <v>1896.8</v>
      </c>
      <c r="G313">
        <v>1</v>
      </c>
      <c r="H313" t="s">
        <v>15</v>
      </c>
    </row>
    <row r="314" spans="1:8" x14ac:dyDescent="0.25">
      <c r="A314" t="s">
        <v>617</v>
      </c>
      <c r="B314" t="s">
        <v>618</v>
      </c>
      <c r="C314" s="27">
        <v>44897</v>
      </c>
      <c r="D314" t="s">
        <v>21</v>
      </c>
      <c r="E314" t="s">
        <v>11</v>
      </c>
      <c r="F314">
        <v>606.23</v>
      </c>
      <c r="G314">
        <v>7</v>
      </c>
      <c r="H314" t="s">
        <v>3369</v>
      </c>
    </row>
    <row r="315" spans="1:8" x14ac:dyDescent="0.25">
      <c r="A315" t="s">
        <v>619</v>
      </c>
      <c r="B315" t="s">
        <v>620</v>
      </c>
      <c r="C315" s="27">
        <v>45361</v>
      </c>
      <c r="D315" t="s">
        <v>21</v>
      </c>
      <c r="E315" t="s">
        <v>25</v>
      </c>
      <c r="F315">
        <v>586.12</v>
      </c>
      <c r="G315">
        <v>9</v>
      </c>
      <c r="H315" t="s">
        <v>15</v>
      </c>
    </row>
    <row r="316" spans="1:8" x14ac:dyDescent="0.25">
      <c r="A316" t="s">
        <v>621</v>
      </c>
      <c r="B316" t="s">
        <v>622</v>
      </c>
      <c r="C316" s="27">
        <v>45251</v>
      </c>
      <c r="D316" t="s">
        <v>10</v>
      </c>
      <c r="E316" t="s">
        <v>22</v>
      </c>
      <c r="F316">
        <v>1250.47</v>
      </c>
      <c r="G316">
        <v>2</v>
      </c>
      <c r="H316" t="s">
        <v>3377</v>
      </c>
    </row>
    <row r="317" spans="1:8" x14ac:dyDescent="0.25">
      <c r="A317" t="s">
        <v>623</v>
      </c>
      <c r="B317" t="s">
        <v>624</v>
      </c>
      <c r="C317" s="27">
        <v>45177</v>
      </c>
      <c r="D317" t="s">
        <v>21</v>
      </c>
      <c r="E317" t="s">
        <v>3371</v>
      </c>
      <c r="F317">
        <v>392.99</v>
      </c>
      <c r="G317">
        <v>1</v>
      </c>
      <c r="H317" t="s">
        <v>3369</v>
      </c>
    </row>
    <row r="318" spans="1:8" x14ac:dyDescent="0.25">
      <c r="A318" t="s">
        <v>625</v>
      </c>
      <c r="B318" t="s">
        <v>626</v>
      </c>
      <c r="C318" s="27">
        <v>45188</v>
      </c>
      <c r="D318" t="s">
        <v>21</v>
      </c>
      <c r="E318" t="s">
        <v>34</v>
      </c>
      <c r="F318">
        <v>1249.8</v>
      </c>
      <c r="G318">
        <v>10</v>
      </c>
      <c r="H318" t="s">
        <v>15</v>
      </c>
    </row>
    <row r="319" spans="1:8" x14ac:dyDescent="0.25">
      <c r="A319" t="s">
        <v>627</v>
      </c>
      <c r="B319" t="s">
        <v>628</v>
      </c>
      <c r="C319" s="27">
        <v>44876</v>
      </c>
      <c r="D319" t="s">
        <v>21</v>
      </c>
      <c r="E319" t="s">
        <v>3371</v>
      </c>
      <c r="F319">
        <v>1713.43</v>
      </c>
      <c r="G319">
        <v>6</v>
      </c>
      <c r="H319" t="s">
        <v>18</v>
      </c>
    </row>
    <row r="320" spans="1:8" x14ac:dyDescent="0.25">
      <c r="A320" t="s">
        <v>629</v>
      </c>
      <c r="B320" t="s">
        <v>630</v>
      </c>
      <c r="C320" s="27">
        <v>45385</v>
      </c>
      <c r="D320" t="s">
        <v>3372</v>
      </c>
      <c r="E320" t="s">
        <v>34</v>
      </c>
      <c r="F320">
        <v>1327.29</v>
      </c>
      <c r="G320">
        <v>3</v>
      </c>
      <c r="H320" t="s">
        <v>15</v>
      </c>
    </row>
    <row r="321" spans="1:8" x14ac:dyDescent="0.25">
      <c r="A321" t="s">
        <v>631</v>
      </c>
      <c r="B321" t="s">
        <v>632</v>
      </c>
      <c r="C321" s="27">
        <v>44891</v>
      </c>
      <c r="D321" t="s">
        <v>3372</v>
      </c>
      <c r="E321" t="s">
        <v>3371</v>
      </c>
      <c r="F321">
        <v>1774.13</v>
      </c>
      <c r="G321">
        <v>6</v>
      </c>
      <c r="H321" t="s">
        <v>18</v>
      </c>
    </row>
    <row r="322" spans="1:8" x14ac:dyDescent="0.25">
      <c r="A322" t="s">
        <v>633</v>
      </c>
      <c r="B322" t="s">
        <v>634</v>
      </c>
      <c r="C322" s="27">
        <v>45939</v>
      </c>
      <c r="D322" t="s">
        <v>21</v>
      </c>
      <c r="E322" t="s">
        <v>3370</v>
      </c>
      <c r="F322">
        <v>154.58000000000001</v>
      </c>
      <c r="G322">
        <v>7</v>
      </c>
      <c r="H322" t="s">
        <v>18</v>
      </c>
    </row>
    <row r="323" spans="1:8" x14ac:dyDescent="0.25">
      <c r="A323" t="s">
        <v>635</v>
      </c>
      <c r="B323" t="s">
        <v>636</v>
      </c>
      <c r="C323" s="27">
        <v>45462</v>
      </c>
      <c r="D323" t="s">
        <v>3372</v>
      </c>
      <c r="E323" t="s">
        <v>3370</v>
      </c>
      <c r="G323">
        <v>7</v>
      </c>
      <c r="H323" t="s">
        <v>3369</v>
      </c>
    </row>
    <row r="324" spans="1:8" x14ac:dyDescent="0.25">
      <c r="A324" t="s">
        <v>637</v>
      </c>
      <c r="B324" t="s">
        <v>638</v>
      </c>
      <c r="C324" s="27">
        <v>45832</v>
      </c>
      <c r="D324" t="s">
        <v>21</v>
      </c>
      <c r="E324" t="s">
        <v>11</v>
      </c>
      <c r="F324">
        <v>1601.22</v>
      </c>
      <c r="G324">
        <v>3</v>
      </c>
      <c r="H324" t="s">
        <v>15</v>
      </c>
    </row>
    <row r="325" spans="1:8" x14ac:dyDescent="0.25">
      <c r="A325" t="s">
        <v>639</v>
      </c>
      <c r="B325" t="s">
        <v>640</v>
      </c>
      <c r="C325" s="27">
        <v>44867</v>
      </c>
      <c r="D325" t="s">
        <v>21</v>
      </c>
      <c r="E325" t="s">
        <v>3371</v>
      </c>
      <c r="F325">
        <v>603.91999999999996</v>
      </c>
      <c r="G325">
        <v>9</v>
      </c>
      <c r="H325" t="s">
        <v>35</v>
      </c>
    </row>
    <row r="326" spans="1:8" x14ac:dyDescent="0.25">
      <c r="A326" t="s">
        <v>641</v>
      </c>
      <c r="B326" t="s">
        <v>642</v>
      </c>
      <c r="C326" s="27">
        <v>45501</v>
      </c>
      <c r="D326" t="s">
        <v>3372</v>
      </c>
      <c r="E326" t="s">
        <v>25</v>
      </c>
      <c r="F326">
        <v>1119.8</v>
      </c>
      <c r="H326" t="s">
        <v>3369</v>
      </c>
    </row>
    <row r="327" spans="1:8" x14ac:dyDescent="0.25">
      <c r="A327" t="s">
        <v>643</v>
      </c>
      <c r="B327" t="s">
        <v>644</v>
      </c>
      <c r="C327" s="27">
        <v>45137</v>
      </c>
      <c r="D327" t="s">
        <v>10</v>
      </c>
      <c r="E327" t="s">
        <v>22</v>
      </c>
      <c r="F327">
        <v>1152.6300000000001</v>
      </c>
      <c r="G327">
        <v>3</v>
      </c>
      <c r="H327" t="s">
        <v>3369</v>
      </c>
    </row>
    <row r="328" spans="1:8" x14ac:dyDescent="0.25">
      <c r="A328" t="s">
        <v>645</v>
      </c>
      <c r="B328" t="s">
        <v>646</v>
      </c>
      <c r="C328" s="27">
        <v>45561</v>
      </c>
      <c r="D328" t="s">
        <v>3372</v>
      </c>
      <c r="E328" t="s">
        <v>3371</v>
      </c>
      <c r="F328">
        <v>281.22000000000003</v>
      </c>
      <c r="G328">
        <v>3</v>
      </c>
      <c r="H328" t="s">
        <v>3377</v>
      </c>
    </row>
    <row r="329" spans="1:8" x14ac:dyDescent="0.25">
      <c r="A329" t="s">
        <v>647</v>
      </c>
      <c r="B329" t="s">
        <v>648</v>
      </c>
      <c r="C329" s="27">
        <v>45457</v>
      </c>
      <c r="D329" t="s">
        <v>10</v>
      </c>
      <c r="E329" t="s">
        <v>34</v>
      </c>
      <c r="F329">
        <v>341.01</v>
      </c>
      <c r="H329" t="s">
        <v>3377</v>
      </c>
    </row>
    <row r="330" spans="1:8" x14ac:dyDescent="0.25">
      <c r="A330" t="s">
        <v>649</v>
      </c>
      <c r="B330" t="s">
        <v>650</v>
      </c>
      <c r="C330" s="27">
        <v>45329</v>
      </c>
      <c r="D330" t="s">
        <v>14</v>
      </c>
      <c r="E330" t="s">
        <v>11</v>
      </c>
      <c r="F330">
        <v>60.42</v>
      </c>
      <c r="G330">
        <v>9</v>
      </c>
      <c r="H330" t="s">
        <v>18</v>
      </c>
    </row>
    <row r="331" spans="1:8" x14ac:dyDescent="0.25">
      <c r="A331" t="s">
        <v>651</v>
      </c>
      <c r="B331" t="s">
        <v>391</v>
      </c>
      <c r="C331" s="27">
        <v>45417</v>
      </c>
      <c r="D331" t="s">
        <v>21</v>
      </c>
      <c r="E331" t="s">
        <v>25</v>
      </c>
      <c r="F331">
        <v>103.38</v>
      </c>
      <c r="G331">
        <v>5</v>
      </c>
      <c r="H331" t="s">
        <v>18</v>
      </c>
    </row>
    <row r="332" spans="1:8" x14ac:dyDescent="0.25">
      <c r="A332" t="s">
        <v>652</v>
      </c>
      <c r="B332" t="s">
        <v>653</v>
      </c>
      <c r="C332" s="27">
        <v>45923</v>
      </c>
      <c r="D332" t="s">
        <v>14</v>
      </c>
      <c r="E332" t="s">
        <v>34</v>
      </c>
      <c r="F332">
        <v>1486.16</v>
      </c>
      <c r="G332">
        <v>7</v>
      </c>
      <c r="H332" t="s">
        <v>35</v>
      </c>
    </row>
    <row r="333" spans="1:8" x14ac:dyDescent="0.25">
      <c r="A333" t="s">
        <v>654</v>
      </c>
      <c r="B333" t="s">
        <v>655</v>
      </c>
      <c r="C333" s="27">
        <v>45310</v>
      </c>
      <c r="D333" t="s">
        <v>14</v>
      </c>
      <c r="E333" t="s">
        <v>34</v>
      </c>
      <c r="G333">
        <v>6</v>
      </c>
      <c r="H333" t="s">
        <v>18</v>
      </c>
    </row>
    <row r="334" spans="1:8" x14ac:dyDescent="0.25">
      <c r="A334" t="s">
        <v>656</v>
      </c>
      <c r="B334" t="s">
        <v>657</v>
      </c>
      <c r="C334" s="27">
        <v>45453</v>
      </c>
      <c r="D334" t="s">
        <v>14</v>
      </c>
      <c r="E334" t="s">
        <v>3370</v>
      </c>
      <c r="F334">
        <v>1486.17</v>
      </c>
      <c r="G334">
        <v>4</v>
      </c>
      <c r="H334" t="s">
        <v>15</v>
      </c>
    </row>
    <row r="335" spans="1:8" x14ac:dyDescent="0.25">
      <c r="A335" t="s">
        <v>658</v>
      </c>
      <c r="B335" t="s">
        <v>659</v>
      </c>
      <c r="C335" s="27">
        <v>45592</v>
      </c>
      <c r="D335" t="s">
        <v>3372</v>
      </c>
      <c r="E335" t="s">
        <v>3370</v>
      </c>
      <c r="F335">
        <v>1526.5</v>
      </c>
      <c r="G335">
        <v>2</v>
      </c>
      <c r="H335" t="s">
        <v>35</v>
      </c>
    </row>
    <row r="336" spans="1:8" x14ac:dyDescent="0.25">
      <c r="A336" t="s">
        <v>660</v>
      </c>
      <c r="B336" t="s">
        <v>661</v>
      </c>
      <c r="C336" s="27">
        <v>45739</v>
      </c>
      <c r="D336" t="s">
        <v>14</v>
      </c>
      <c r="E336" t="s">
        <v>25</v>
      </c>
      <c r="F336">
        <v>1747.6</v>
      </c>
      <c r="G336">
        <v>4</v>
      </c>
      <c r="H336" t="s">
        <v>15</v>
      </c>
    </row>
    <row r="337" spans="1:8" x14ac:dyDescent="0.25">
      <c r="A337" t="s">
        <v>662</v>
      </c>
      <c r="B337" t="s">
        <v>663</v>
      </c>
      <c r="C337" s="27">
        <v>45595</v>
      </c>
      <c r="D337" t="s">
        <v>14</v>
      </c>
      <c r="E337" t="s">
        <v>34</v>
      </c>
      <c r="F337">
        <v>1466.09</v>
      </c>
      <c r="G337">
        <v>7</v>
      </c>
      <c r="H337" t="s">
        <v>3377</v>
      </c>
    </row>
    <row r="338" spans="1:8" x14ac:dyDescent="0.25">
      <c r="A338" t="s">
        <v>664</v>
      </c>
      <c r="B338" t="s">
        <v>33</v>
      </c>
      <c r="C338" s="27">
        <v>45361</v>
      </c>
      <c r="D338" t="s">
        <v>3372</v>
      </c>
      <c r="E338" t="s">
        <v>25</v>
      </c>
      <c r="F338">
        <v>58.12</v>
      </c>
      <c r="G338">
        <v>5</v>
      </c>
      <c r="H338" t="s">
        <v>35</v>
      </c>
    </row>
    <row r="339" spans="1:8" x14ac:dyDescent="0.25">
      <c r="A339" t="s">
        <v>665</v>
      </c>
      <c r="B339" t="s">
        <v>666</v>
      </c>
      <c r="C339" s="27">
        <v>45874</v>
      </c>
      <c r="D339" t="s">
        <v>21</v>
      </c>
      <c r="E339" t="s">
        <v>3370</v>
      </c>
      <c r="F339">
        <v>365.55</v>
      </c>
      <c r="G339">
        <v>2</v>
      </c>
      <c r="H339" t="s">
        <v>3369</v>
      </c>
    </row>
    <row r="340" spans="1:8" x14ac:dyDescent="0.25">
      <c r="A340" t="s">
        <v>667</v>
      </c>
      <c r="B340" t="s">
        <v>668</v>
      </c>
      <c r="C340" s="27">
        <v>45252</v>
      </c>
      <c r="D340" t="s">
        <v>10</v>
      </c>
      <c r="E340" t="s">
        <v>3370</v>
      </c>
      <c r="F340">
        <v>528.44000000000005</v>
      </c>
      <c r="G340">
        <v>4</v>
      </c>
      <c r="H340" t="s">
        <v>3377</v>
      </c>
    </row>
    <row r="341" spans="1:8" x14ac:dyDescent="0.25">
      <c r="A341" t="s">
        <v>669</v>
      </c>
      <c r="B341" t="s">
        <v>670</v>
      </c>
      <c r="C341" s="27">
        <v>45247</v>
      </c>
      <c r="D341" t="s">
        <v>14</v>
      </c>
      <c r="E341" t="s">
        <v>22</v>
      </c>
      <c r="F341">
        <v>1041.54</v>
      </c>
      <c r="G341">
        <v>8</v>
      </c>
      <c r="H341" t="s">
        <v>35</v>
      </c>
    </row>
    <row r="342" spans="1:8" x14ac:dyDescent="0.25">
      <c r="A342" t="s">
        <v>671</v>
      </c>
      <c r="B342" t="s">
        <v>672</v>
      </c>
      <c r="C342" s="27">
        <v>45740</v>
      </c>
      <c r="D342" t="s">
        <v>14</v>
      </c>
      <c r="E342" t="s">
        <v>22</v>
      </c>
      <c r="F342">
        <v>470.83</v>
      </c>
      <c r="G342">
        <v>7</v>
      </c>
      <c r="H342" t="s">
        <v>3377</v>
      </c>
    </row>
    <row r="343" spans="1:8" x14ac:dyDescent="0.25">
      <c r="A343" t="s">
        <v>673</v>
      </c>
      <c r="B343" t="s">
        <v>674</v>
      </c>
      <c r="C343" s="27">
        <v>45010</v>
      </c>
      <c r="D343" t="s">
        <v>3372</v>
      </c>
      <c r="E343" t="s">
        <v>34</v>
      </c>
      <c r="F343">
        <v>1058.73</v>
      </c>
      <c r="G343">
        <v>8</v>
      </c>
      <c r="H343" t="s">
        <v>35</v>
      </c>
    </row>
    <row r="344" spans="1:8" x14ac:dyDescent="0.25">
      <c r="A344" t="s">
        <v>675</v>
      </c>
      <c r="B344" t="s">
        <v>676</v>
      </c>
      <c r="C344" s="27">
        <v>44965</v>
      </c>
      <c r="D344" t="s">
        <v>14</v>
      </c>
      <c r="E344" t="s">
        <v>11</v>
      </c>
      <c r="F344">
        <v>639.92999999999995</v>
      </c>
      <c r="G344">
        <v>8</v>
      </c>
      <c r="H344" t="s">
        <v>3369</v>
      </c>
    </row>
    <row r="345" spans="1:8" x14ac:dyDescent="0.25">
      <c r="A345" t="s">
        <v>677</v>
      </c>
      <c r="B345" t="s">
        <v>678</v>
      </c>
      <c r="C345" s="27">
        <v>45133</v>
      </c>
      <c r="D345" t="s">
        <v>10</v>
      </c>
      <c r="E345" t="s">
        <v>25</v>
      </c>
      <c r="F345">
        <v>1637.15</v>
      </c>
      <c r="H345" t="s">
        <v>3369</v>
      </c>
    </row>
    <row r="346" spans="1:8" x14ac:dyDescent="0.25">
      <c r="A346" t="s">
        <v>679</v>
      </c>
      <c r="B346" t="s">
        <v>680</v>
      </c>
      <c r="C346" s="27">
        <v>45507</v>
      </c>
      <c r="D346" t="s">
        <v>14</v>
      </c>
      <c r="E346" t="s">
        <v>3370</v>
      </c>
      <c r="F346">
        <v>204.01</v>
      </c>
      <c r="G346">
        <v>6</v>
      </c>
      <c r="H346" t="s">
        <v>3377</v>
      </c>
    </row>
    <row r="347" spans="1:8" x14ac:dyDescent="0.25">
      <c r="A347" t="s">
        <v>681</v>
      </c>
      <c r="B347" t="s">
        <v>682</v>
      </c>
      <c r="C347" s="27">
        <v>45163</v>
      </c>
      <c r="D347" t="s">
        <v>3372</v>
      </c>
      <c r="E347" t="s">
        <v>25</v>
      </c>
      <c r="F347">
        <v>957.75</v>
      </c>
      <c r="G347">
        <v>3</v>
      </c>
      <c r="H347" t="s">
        <v>35</v>
      </c>
    </row>
    <row r="348" spans="1:8" x14ac:dyDescent="0.25">
      <c r="A348" t="s">
        <v>683</v>
      </c>
      <c r="B348" t="s">
        <v>684</v>
      </c>
      <c r="C348" s="27">
        <v>45173</v>
      </c>
      <c r="D348" t="s">
        <v>3372</v>
      </c>
      <c r="E348" t="s">
        <v>25</v>
      </c>
      <c r="G348">
        <v>7</v>
      </c>
      <c r="H348" t="s">
        <v>18</v>
      </c>
    </row>
    <row r="349" spans="1:8" x14ac:dyDescent="0.25">
      <c r="A349" t="s">
        <v>685</v>
      </c>
      <c r="B349" t="s">
        <v>686</v>
      </c>
      <c r="C349" s="27">
        <v>45935</v>
      </c>
      <c r="D349" t="s">
        <v>3372</v>
      </c>
      <c r="E349" t="s">
        <v>34</v>
      </c>
      <c r="G349">
        <v>8</v>
      </c>
      <c r="H349" t="s">
        <v>3369</v>
      </c>
    </row>
    <row r="350" spans="1:8" x14ac:dyDescent="0.25">
      <c r="A350" t="s">
        <v>687</v>
      </c>
      <c r="B350" t="s">
        <v>688</v>
      </c>
      <c r="C350" s="27">
        <v>45515</v>
      </c>
      <c r="D350" t="s">
        <v>14</v>
      </c>
      <c r="E350" t="s">
        <v>25</v>
      </c>
      <c r="F350">
        <v>221.34</v>
      </c>
      <c r="G350">
        <v>10</v>
      </c>
      <c r="H350" t="s">
        <v>3369</v>
      </c>
    </row>
    <row r="351" spans="1:8" x14ac:dyDescent="0.25">
      <c r="A351" t="s">
        <v>689</v>
      </c>
      <c r="B351" t="s">
        <v>690</v>
      </c>
      <c r="C351" s="27">
        <v>45542</v>
      </c>
      <c r="D351" t="s">
        <v>14</v>
      </c>
      <c r="E351" t="s">
        <v>25</v>
      </c>
      <c r="F351">
        <v>1151.8399999999999</v>
      </c>
      <c r="G351">
        <v>10</v>
      </c>
      <c r="H351" t="s">
        <v>35</v>
      </c>
    </row>
    <row r="352" spans="1:8" x14ac:dyDescent="0.25">
      <c r="A352" t="s">
        <v>691</v>
      </c>
      <c r="B352" t="s">
        <v>692</v>
      </c>
      <c r="C352" s="27">
        <v>45495</v>
      </c>
      <c r="D352" t="s">
        <v>10</v>
      </c>
      <c r="E352" t="s">
        <v>25</v>
      </c>
      <c r="F352">
        <v>1804.47</v>
      </c>
      <c r="G352">
        <v>4</v>
      </c>
      <c r="H352" t="s">
        <v>3377</v>
      </c>
    </row>
    <row r="353" spans="1:8" x14ac:dyDescent="0.25">
      <c r="A353" t="s">
        <v>693</v>
      </c>
      <c r="B353" t="s">
        <v>694</v>
      </c>
      <c r="C353" s="27">
        <v>45851</v>
      </c>
      <c r="D353" t="s">
        <v>3372</v>
      </c>
      <c r="E353" t="s">
        <v>3371</v>
      </c>
      <c r="F353">
        <v>988.73</v>
      </c>
      <c r="G353">
        <v>7</v>
      </c>
      <c r="H353" t="s">
        <v>15</v>
      </c>
    </row>
    <row r="354" spans="1:8" x14ac:dyDescent="0.25">
      <c r="A354" t="s">
        <v>695</v>
      </c>
      <c r="B354" t="s">
        <v>696</v>
      </c>
      <c r="C354" s="27">
        <v>45554</v>
      </c>
      <c r="D354" t="s">
        <v>14</v>
      </c>
      <c r="E354" t="s">
        <v>25</v>
      </c>
      <c r="F354">
        <v>744.26</v>
      </c>
      <c r="G354">
        <v>10</v>
      </c>
      <c r="H354" t="s">
        <v>18</v>
      </c>
    </row>
    <row r="355" spans="1:8" x14ac:dyDescent="0.25">
      <c r="A355" t="s">
        <v>697</v>
      </c>
      <c r="B355" t="s">
        <v>698</v>
      </c>
      <c r="C355" s="27">
        <v>45297</v>
      </c>
      <c r="D355" t="s">
        <v>10</v>
      </c>
      <c r="E355" t="s">
        <v>3370</v>
      </c>
      <c r="F355">
        <v>65.180000000000007</v>
      </c>
      <c r="G355">
        <v>4</v>
      </c>
      <c r="H355" t="s">
        <v>35</v>
      </c>
    </row>
    <row r="356" spans="1:8" x14ac:dyDescent="0.25">
      <c r="A356" t="s">
        <v>699</v>
      </c>
      <c r="B356" t="s">
        <v>700</v>
      </c>
      <c r="C356" s="27">
        <v>45716</v>
      </c>
      <c r="D356" t="s">
        <v>21</v>
      </c>
      <c r="E356" t="s">
        <v>25</v>
      </c>
      <c r="F356">
        <v>1751.55</v>
      </c>
      <c r="G356">
        <v>9</v>
      </c>
      <c r="H356" t="s">
        <v>3369</v>
      </c>
    </row>
    <row r="357" spans="1:8" x14ac:dyDescent="0.25">
      <c r="A357" t="s">
        <v>701</v>
      </c>
      <c r="B357" t="s">
        <v>702</v>
      </c>
      <c r="C357" s="27">
        <v>45119</v>
      </c>
      <c r="D357" t="s">
        <v>14</v>
      </c>
      <c r="E357" t="s">
        <v>11</v>
      </c>
      <c r="F357">
        <v>1821.2</v>
      </c>
      <c r="G357">
        <v>4</v>
      </c>
      <c r="H357" t="s">
        <v>35</v>
      </c>
    </row>
    <row r="358" spans="1:8" x14ac:dyDescent="0.25">
      <c r="A358" t="s">
        <v>703</v>
      </c>
      <c r="B358" t="s">
        <v>704</v>
      </c>
      <c r="C358" s="27">
        <v>45829</v>
      </c>
      <c r="D358" t="s">
        <v>3372</v>
      </c>
      <c r="E358" t="s">
        <v>34</v>
      </c>
      <c r="G358">
        <v>10</v>
      </c>
      <c r="H358" t="s">
        <v>35</v>
      </c>
    </row>
    <row r="359" spans="1:8" x14ac:dyDescent="0.25">
      <c r="A359" t="s">
        <v>705</v>
      </c>
      <c r="B359" t="s">
        <v>706</v>
      </c>
      <c r="C359" s="27">
        <v>45398</v>
      </c>
      <c r="D359" t="s">
        <v>21</v>
      </c>
      <c r="E359" t="s">
        <v>3370</v>
      </c>
      <c r="F359">
        <v>633.67999999999995</v>
      </c>
      <c r="G359">
        <v>7</v>
      </c>
      <c r="H359" t="s">
        <v>18</v>
      </c>
    </row>
    <row r="360" spans="1:8" x14ac:dyDescent="0.25">
      <c r="A360" t="s">
        <v>707</v>
      </c>
      <c r="B360" t="s">
        <v>708</v>
      </c>
      <c r="C360" s="27">
        <v>45745</v>
      </c>
      <c r="D360" t="s">
        <v>10</v>
      </c>
      <c r="E360" t="s">
        <v>3371</v>
      </c>
      <c r="F360">
        <v>12.67</v>
      </c>
      <c r="G360">
        <v>2</v>
      </c>
      <c r="H360" t="s">
        <v>3369</v>
      </c>
    </row>
    <row r="361" spans="1:8" x14ac:dyDescent="0.25">
      <c r="A361" t="s">
        <v>3393</v>
      </c>
      <c r="B361" t="s">
        <v>3394</v>
      </c>
      <c r="C361" s="27">
        <v>45629</v>
      </c>
      <c r="D361" t="s">
        <v>21</v>
      </c>
      <c r="E361" t="s">
        <v>34</v>
      </c>
      <c r="G361">
        <v>6</v>
      </c>
      <c r="H361" t="s">
        <v>35</v>
      </c>
    </row>
    <row r="362" spans="1:8" x14ac:dyDescent="0.25">
      <c r="A362" t="s">
        <v>3395</v>
      </c>
      <c r="B362" t="s">
        <v>3396</v>
      </c>
      <c r="C362" s="27">
        <v>45268</v>
      </c>
      <c r="D362" t="s">
        <v>3372</v>
      </c>
      <c r="E362" t="s">
        <v>22</v>
      </c>
      <c r="F362">
        <v>1495.82</v>
      </c>
      <c r="G362">
        <v>1</v>
      </c>
      <c r="H362" t="s">
        <v>3377</v>
      </c>
    </row>
    <row r="363" spans="1:8" x14ac:dyDescent="0.25">
      <c r="A363" t="s">
        <v>709</v>
      </c>
      <c r="B363" t="s">
        <v>710</v>
      </c>
      <c r="C363" s="27">
        <v>45908</v>
      </c>
      <c r="D363" t="s">
        <v>14</v>
      </c>
      <c r="E363" t="s">
        <v>22</v>
      </c>
      <c r="F363">
        <v>1648.06</v>
      </c>
      <c r="G363">
        <v>7</v>
      </c>
      <c r="H363" t="s">
        <v>3377</v>
      </c>
    </row>
    <row r="364" spans="1:8" x14ac:dyDescent="0.25">
      <c r="A364" t="s">
        <v>711</v>
      </c>
      <c r="B364" t="s">
        <v>712</v>
      </c>
      <c r="C364" s="27">
        <v>45112</v>
      </c>
      <c r="D364" t="s">
        <v>3372</v>
      </c>
      <c r="E364" t="s">
        <v>34</v>
      </c>
      <c r="G364">
        <v>1</v>
      </c>
      <c r="H364" t="s">
        <v>3377</v>
      </c>
    </row>
    <row r="365" spans="1:8" x14ac:dyDescent="0.25">
      <c r="A365" t="s">
        <v>713</v>
      </c>
      <c r="B365" t="s">
        <v>714</v>
      </c>
      <c r="C365" s="27">
        <v>45419</v>
      </c>
      <c r="D365" t="s">
        <v>21</v>
      </c>
      <c r="E365" t="s">
        <v>11</v>
      </c>
      <c r="F365">
        <v>1238.68</v>
      </c>
      <c r="G365">
        <v>4</v>
      </c>
      <c r="H365" t="s">
        <v>15</v>
      </c>
    </row>
    <row r="366" spans="1:8" x14ac:dyDescent="0.25">
      <c r="A366" t="s">
        <v>715</v>
      </c>
      <c r="B366" t="s">
        <v>716</v>
      </c>
      <c r="C366" s="27">
        <v>45091</v>
      </c>
      <c r="D366" t="s">
        <v>21</v>
      </c>
      <c r="E366" t="s">
        <v>11</v>
      </c>
      <c r="G366">
        <v>7</v>
      </c>
      <c r="H366" t="s">
        <v>18</v>
      </c>
    </row>
    <row r="367" spans="1:8" x14ac:dyDescent="0.25">
      <c r="A367" t="s">
        <v>717</v>
      </c>
      <c r="B367" t="s">
        <v>718</v>
      </c>
      <c r="C367" s="27">
        <v>45676</v>
      </c>
      <c r="D367" t="s">
        <v>10</v>
      </c>
      <c r="E367" t="s">
        <v>34</v>
      </c>
      <c r="F367">
        <v>744.45</v>
      </c>
      <c r="G367">
        <v>1</v>
      </c>
      <c r="H367" t="s">
        <v>35</v>
      </c>
    </row>
    <row r="368" spans="1:8" x14ac:dyDescent="0.25">
      <c r="A368" t="s">
        <v>719</v>
      </c>
      <c r="B368" t="s">
        <v>720</v>
      </c>
      <c r="C368" s="27">
        <v>45168</v>
      </c>
      <c r="D368" t="s">
        <v>3372</v>
      </c>
      <c r="E368" t="s">
        <v>34</v>
      </c>
      <c r="F368">
        <v>1843.79</v>
      </c>
      <c r="G368">
        <v>8</v>
      </c>
      <c r="H368" t="s">
        <v>15</v>
      </c>
    </row>
    <row r="369" spans="1:8" x14ac:dyDescent="0.25">
      <c r="A369" t="s">
        <v>721</v>
      </c>
      <c r="B369" t="s">
        <v>722</v>
      </c>
      <c r="C369" s="27">
        <v>45631</v>
      </c>
      <c r="D369" t="s">
        <v>21</v>
      </c>
      <c r="E369" t="s">
        <v>3370</v>
      </c>
      <c r="F369">
        <v>160.46</v>
      </c>
      <c r="G369">
        <v>9</v>
      </c>
      <c r="H369" t="s">
        <v>3377</v>
      </c>
    </row>
    <row r="370" spans="1:8" x14ac:dyDescent="0.25">
      <c r="A370" t="s">
        <v>723</v>
      </c>
      <c r="B370" t="s">
        <v>724</v>
      </c>
      <c r="C370" s="27">
        <v>45843</v>
      </c>
      <c r="D370" t="s">
        <v>21</v>
      </c>
      <c r="E370" t="s">
        <v>3371</v>
      </c>
      <c r="F370">
        <v>1696.66</v>
      </c>
      <c r="H370" t="s">
        <v>3369</v>
      </c>
    </row>
    <row r="371" spans="1:8" x14ac:dyDescent="0.25">
      <c r="A371" t="s">
        <v>725</v>
      </c>
      <c r="B371" t="s">
        <v>726</v>
      </c>
      <c r="C371" s="27">
        <v>45793</v>
      </c>
      <c r="D371" t="s">
        <v>3372</v>
      </c>
      <c r="E371" t="s">
        <v>3370</v>
      </c>
      <c r="F371">
        <v>498.22</v>
      </c>
      <c r="G371">
        <v>8</v>
      </c>
      <c r="H371" t="s">
        <v>3377</v>
      </c>
    </row>
    <row r="372" spans="1:8" x14ac:dyDescent="0.25">
      <c r="A372" t="s">
        <v>727</v>
      </c>
      <c r="B372" t="s">
        <v>728</v>
      </c>
      <c r="C372" s="27">
        <v>44922</v>
      </c>
      <c r="D372" t="s">
        <v>3372</v>
      </c>
      <c r="E372" t="s">
        <v>22</v>
      </c>
      <c r="G372">
        <v>8</v>
      </c>
      <c r="H372" t="s">
        <v>35</v>
      </c>
    </row>
    <row r="373" spans="1:8" x14ac:dyDescent="0.25">
      <c r="A373" t="s">
        <v>729</v>
      </c>
      <c r="B373" t="s">
        <v>730</v>
      </c>
      <c r="C373" s="27">
        <v>45033</v>
      </c>
      <c r="D373" t="s">
        <v>14</v>
      </c>
      <c r="E373" t="s">
        <v>25</v>
      </c>
      <c r="F373">
        <v>518.1</v>
      </c>
      <c r="G373">
        <v>1</v>
      </c>
      <c r="H373" t="s">
        <v>3369</v>
      </c>
    </row>
    <row r="374" spans="1:8" x14ac:dyDescent="0.25">
      <c r="A374" t="s">
        <v>731</v>
      </c>
      <c r="B374" t="s">
        <v>732</v>
      </c>
      <c r="C374" s="27">
        <v>45647</v>
      </c>
      <c r="D374" t="s">
        <v>21</v>
      </c>
      <c r="E374" t="s">
        <v>25</v>
      </c>
      <c r="F374">
        <v>1808.39</v>
      </c>
      <c r="G374">
        <v>9</v>
      </c>
      <c r="H374" t="s">
        <v>15</v>
      </c>
    </row>
    <row r="375" spans="1:8" x14ac:dyDescent="0.25">
      <c r="A375" t="s">
        <v>733</v>
      </c>
      <c r="B375" t="s">
        <v>734</v>
      </c>
      <c r="C375" s="27">
        <v>45678</v>
      </c>
      <c r="D375" t="s">
        <v>3372</v>
      </c>
      <c r="E375" t="s">
        <v>25</v>
      </c>
      <c r="F375">
        <v>1038.7</v>
      </c>
      <c r="G375">
        <v>1</v>
      </c>
      <c r="H375" t="s">
        <v>3369</v>
      </c>
    </row>
    <row r="376" spans="1:8" x14ac:dyDescent="0.25">
      <c r="A376" t="s">
        <v>735</v>
      </c>
      <c r="B376" t="s">
        <v>736</v>
      </c>
      <c r="C376" s="27">
        <v>45267</v>
      </c>
      <c r="D376" t="s">
        <v>14</v>
      </c>
      <c r="E376" t="s">
        <v>3371</v>
      </c>
      <c r="F376">
        <v>1167.0899999999999</v>
      </c>
      <c r="G376">
        <v>6</v>
      </c>
      <c r="H376" t="s">
        <v>35</v>
      </c>
    </row>
    <row r="377" spans="1:8" x14ac:dyDescent="0.25">
      <c r="A377" t="s">
        <v>737</v>
      </c>
      <c r="B377" t="s">
        <v>738</v>
      </c>
      <c r="C377" s="27">
        <v>45039</v>
      </c>
      <c r="D377" t="s">
        <v>3372</v>
      </c>
      <c r="E377" t="s">
        <v>11</v>
      </c>
      <c r="F377">
        <v>1524.8</v>
      </c>
      <c r="G377">
        <v>8</v>
      </c>
      <c r="H377" t="s">
        <v>3369</v>
      </c>
    </row>
    <row r="378" spans="1:8" x14ac:dyDescent="0.25">
      <c r="A378" t="s">
        <v>739</v>
      </c>
      <c r="B378" t="s">
        <v>740</v>
      </c>
      <c r="C378" s="27">
        <v>44997</v>
      </c>
      <c r="D378" t="s">
        <v>21</v>
      </c>
      <c r="E378" t="s">
        <v>11</v>
      </c>
      <c r="F378">
        <v>1740.04</v>
      </c>
      <c r="G378">
        <v>8</v>
      </c>
      <c r="H378" t="s">
        <v>35</v>
      </c>
    </row>
    <row r="379" spans="1:8" x14ac:dyDescent="0.25">
      <c r="A379" t="s">
        <v>741</v>
      </c>
      <c r="B379" t="s">
        <v>742</v>
      </c>
      <c r="C379" s="27">
        <v>45077</v>
      </c>
      <c r="D379" t="s">
        <v>14</v>
      </c>
      <c r="E379" t="s">
        <v>3370</v>
      </c>
      <c r="F379">
        <v>36.67</v>
      </c>
      <c r="G379">
        <v>8</v>
      </c>
      <c r="H379" t="s">
        <v>3377</v>
      </c>
    </row>
    <row r="380" spans="1:8" x14ac:dyDescent="0.25">
      <c r="A380" t="s">
        <v>743</v>
      </c>
      <c r="B380" t="s">
        <v>121</v>
      </c>
      <c r="C380" s="27">
        <v>45797</v>
      </c>
      <c r="D380" t="s">
        <v>21</v>
      </c>
      <c r="E380" t="s">
        <v>3371</v>
      </c>
      <c r="F380">
        <v>753.95</v>
      </c>
      <c r="G380">
        <v>6</v>
      </c>
      <c r="H380" t="s">
        <v>18</v>
      </c>
    </row>
    <row r="381" spans="1:8" x14ac:dyDescent="0.25">
      <c r="A381" t="s">
        <v>744</v>
      </c>
      <c r="B381" t="s">
        <v>745</v>
      </c>
      <c r="C381" s="27">
        <v>45794</v>
      </c>
      <c r="D381" t="s">
        <v>3372</v>
      </c>
      <c r="E381" t="s">
        <v>11</v>
      </c>
      <c r="F381">
        <v>1991.57</v>
      </c>
      <c r="G381">
        <v>4</v>
      </c>
      <c r="H381" t="s">
        <v>18</v>
      </c>
    </row>
    <row r="382" spans="1:8" x14ac:dyDescent="0.25">
      <c r="A382" t="s">
        <v>746</v>
      </c>
      <c r="B382" t="s">
        <v>747</v>
      </c>
      <c r="C382" s="27">
        <v>44951</v>
      </c>
      <c r="D382" t="s">
        <v>3372</v>
      </c>
      <c r="E382" t="s">
        <v>25</v>
      </c>
      <c r="G382">
        <v>3</v>
      </c>
      <c r="H382" t="s">
        <v>3377</v>
      </c>
    </row>
    <row r="383" spans="1:8" x14ac:dyDescent="0.25">
      <c r="A383" t="s">
        <v>748</v>
      </c>
      <c r="B383" t="s">
        <v>749</v>
      </c>
      <c r="C383" s="27">
        <v>45243</v>
      </c>
      <c r="D383" t="s">
        <v>10</v>
      </c>
      <c r="E383" t="s">
        <v>3371</v>
      </c>
      <c r="F383">
        <v>1373.02</v>
      </c>
      <c r="G383">
        <v>5</v>
      </c>
      <c r="H383" t="s">
        <v>3377</v>
      </c>
    </row>
    <row r="384" spans="1:8" x14ac:dyDescent="0.25">
      <c r="A384" t="s">
        <v>750</v>
      </c>
      <c r="B384" t="s">
        <v>544</v>
      </c>
      <c r="C384" s="27">
        <v>45356</v>
      </c>
      <c r="D384" t="s">
        <v>21</v>
      </c>
      <c r="E384" t="s">
        <v>22</v>
      </c>
      <c r="F384">
        <v>451.81</v>
      </c>
      <c r="G384">
        <v>6</v>
      </c>
      <c r="H384" t="s">
        <v>15</v>
      </c>
    </row>
    <row r="385" spans="1:8" x14ac:dyDescent="0.25">
      <c r="A385" t="s">
        <v>751</v>
      </c>
      <c r="B385" t="s">
        <v>752</v>
      </c>
      <c r="C385" s="27">
        <v>45913</v>
      </c>
      <c r="D385" t="s">
        <v>14</v>
      </c>
      <c r="E385" t="s">
        <v>3371</v>
      </c>
      <c r="F385">
        <v>643.03</v>
      </c>
      <c r="G385">
        <v>3</v>
      </c>
      <c r="H385" t="s">
        <v>35</v>
      </c>
    </row>
    <row r="386" spans="1:8" x14ac:dyDescent="0.25">
      <c r="A386" t="s">
        <v>753</v>
      </c>
      <c r="B386" t="s">
        <v>712</v>
      </c>
      <c r="C386" s="27">
        <v>45251</v>
      </c>
      <c r="D386" t="s">
        <v>10</v>
      </c>
      <c r="E386" t="s">
        <v>25</v>
      </c>
      <c r="G386">
        <v>3</v>
      </c>
      <c r="H386" t="s">
        <v>3377</v>
      </c>
    </row>
    <row r="387" spans="1:8" x14ac:dyDescent="0.25">
      <c r="A387" t="s">
        <v>754</v>
      </c>
      <c r="B387" t="s">
        <v>755</v>
      </c>
      <c r="C387" s="27">
        <v>45730</v>
      </c>
      <c r="D387" t="s">
        <v>10</v>
      </c>
      <c r="E387" t="s">
        <v>11</v>
      </c>
      <c r="F387">
        <v>704.29</v>
      </c>
      <c r="G387">
        <v>5</v>
      </c>
      <c r="H387" t="s">
        <v>3369</v>
      </c>
    </row>
    <row r="388" spans="1:8" x14ac:dyDescent="0.25">
      <c r="A388" t="s">
        <v>756</v>
      </c>
      <c r="B388" t="s">
        <v>757</v>
      </c>
      <c r="C388" s="27">
        <v>45031</v>
      </c>
      <c r="D388" t="s">
        <v>10</v>
      </c>
      <c r="E388" t="s">
        <v>34</v>
      </c>
      <c r="G388">
        <v>8</v>
      </c>
      <c r="H388" t="s">
        <v>3369</v>
      </c>
    </row>
    <row r="389" spans="1:8" x14ac:dyDescent="0.25">
      <c r="A389" t="s">
        <v>758</v>
      </c>
      <c r="B389" t="s">
        <v>233</v>
      </c>
      <c r="C389" s="27">
        <v>45165</v>
      </c>
      <c r="D389" t="s">
        <v>21</v>
      </c>
      <c r="E389" t="s">
        <v>22</v>
      </c>
      <c r="F389">
        <v>1667.59</v>
      </c>
      <c r="G389">
        <v>7</v>
      </c>
      <c r="H389" t="s">
        <v>35</v>
      </c>
    </row>
    <row r="390" spans="1:8" x14ac:dyDescent="0.25">
      <c r="A390" t="s">
        <v>759</v>
      </c>
      <c r="B390" t="s">
        <v>760</v>
      </c>
      <c r="C390" s="27">
        <v>45776</v>
      </c>
      <c r="D390" t="s">
        <v>3372</v>
      </c>
      <c r="E390" t="s">
        <v>11</v>
      </c>
      <c r="F390">
        <v>1343.45</v>
      </c>
      <c r="G390">
        <v>6</v>
      </c>
      <c r="H390" t="s">
        <v>35</v>
      </c>
    </row>
    <row r="391" spans="1:8" x14ac:dyDescent="0.25">
      <c r="A391" t="s">
        <v>761</v>
      </c>
      <c r="B391" t="s">
        <v>762</v>
      </c>
      <c r="C391" s="27">
        <v>45431</v>
      </c>
      <c r="D391" t="s">
        <v>14</v>
      </c>
      <c r="E391" t="s">
        <v>3370</v>
      </c>
      <c r="F391">
        <v>1189.8399999999999</v>
      </c>
      <c r="G391">
        <v>5</v>
      </c>
      <c r="H391" t="s">
        <v>18</v>
      </c>
    </row>
    <row r="392" spans="1:8" x14ac:dyDescent="0.25">
      <c r="A392" t="s">
        <v>763</v>
      </c>
      <c r="B392" t="s">
        <v>764</v>
      </c>
      <c r="C392" s="27">
        <v>45922</v>
      </c>
      <c r="D392" t="s">
        <v>14</v>
      </c>
      <c r="E392" t="s">
        <v>11</v>
      </c>
      <c r="F392">
        <v>836.28</v>
      </c>
      <c r="G392">
        <v>3</v>
      </c>
      <c r="H392" t="s">
        <v>3369</v>
      </c>
    </row>
    <row r="393" spans="1:8" x14ac:dyDescent="0.25">
      <c r="A393" t="s">
        <v>765</v>
      </c>
      <c r="B393" t="s">
        <v>556</v>
      </c>
      <c r="C393" s="27">
        <v>45516</v>
      </c>
      <c r="D393" t="s">
        <v>3372</v>
      </c>
      <c r="E393" t="s">
        <v>25</v>
      </c>
      <c r="F393">
        <v>1864.12</v>
      </c>
      <c r="G393">
        <v>3</v>
      </c>
      <c r="H393" t="s">
        <v>35</v>
      </c>
    </row>
    <row r="394" spans="1:8" x14ac:dyDescent="0.25">
      <c r="A394" t="s">
        <v>766</v>
      </c>
      <c r="B394" t="s">
        <v>767</v>
      </c>
      <c r="C394" s="27">
        <v>44998</v>
      </c>
      <c r="D394" t="s">
        <v>3372</v>
      </c>
      <c r="E394" t="s">
        <v>11</v>
      </c>
      <c r="F394">
        <v>1002.96</v>
      </c>
      <c r="G394">
        <v>6</v>
      </c>
      <c r="H394" t="s">
        <v>3369</v>
      </c>
    </row>
    <row r="395" spans="1:8" x14ac:dyDescent="0.25">
      <c r="A395" t="s">
        <v>768</v>
      </c>
      <c r="B395" t="s">
        <v>769</v>
      </c>
      <c r="C395" s="27">
        <v>45579</v>
      </c>
      <c r="D395" t="s">
        <v>10</v>
      </c>
      <c r="E395" t="s">
        <v>11</v>
      </c>
      <c r="G395">
        <v>7</v>
      </c>
      <c r="H395" t="s">
        <v>3369</v>
      </c>
    </row>
    <row r="396" spans="1:8" x14ac:dyDescent="0.25">
      <c r="A396" t="s">
        <v>770</v>
      </c>
      <c r="B396" t="s">
        <v>771</v>
      </c>
      <c r="C396" s="27">
        <v>45616</v>
      </c>
      <c r="D396" t="s">
        <v>21</v>
      </c>
      <c r="E396" t="s">
        <v>3371</v>
      </c>
      <c r="F396">
        <v>1082.96</v>
      </c>
      <c r="G396">
        <v>4</v>
      </c>
      <c r="H396" t="s">
        <v>35</v>
      </c>
    </row>
    <row r="397" spans="1:8" x14ac:dyDescent="0.25">
      <c r="A397" t="s">
        <v>3375</v>
      </c>
      <c r="B397" t="s">
        <v>3376</v>
      </c>
      <c r="C397" s="27">
        <v>44934</v>
      </c>
      <c r="D397" t="s">
        <v>14</v>
      </c>
      <c r="E397" t="s">
        <v>3371</v>
      </c>
      <c r="F397">
        <v>172.41</v>
      </c>
      <c r="G397">
        <v>3</v>
      </c>
      <c r="H397" t="s">
        <v>3377</v>
      </c>
    </row>
    <row r="398" spans="1:8" x14ac:dyDescent="0.25">
      <c r="A398" t="s">
        <v>772</v>
      </c>
      <c r="B398" t="s">
        <v>773</v>
      </c>
      <c r="C398" s="27">
        <v>45224</v>
      </c>
      <c r="D398" t="s">
        <v>14</v>
      </c>
      <c r="E398" t="s">
        <v>3370</v>
      </c>
      <c r="F398">
        <v>200.14</v>
      </c>
      <c r="G398">
        <v>2</v>
      </c>
      <c r="H398" t="s">
        <v>15</v>
      </c>
    </row>
    <row r="399" spans="1:8" x14ac:dyDescent="0.25">
      <c r="A399" t="s">
        <v>774</v>
      </c>
      <c r="B399" t="s">
        <v>775</v>
      </c>
      <c r="C399" s="27">
        <v>45794</v>
      </c>
      <c r="D399" t="s">
        <v>21</v>
      </c>
      <c r="E399" t="s">
        <v>3371</v>
      </c>
      <c r="F399">
        <v>357.78</v>
      </c>
      <c r="G399">
        <v>3</v>
      </c>
      <c r="H399" t="s">
        <v>15</v>
      </c>
    </row>
    <row r="400" spans="1:8" x14ac:dyDescent="0.25">
      <c r="A400" t="s">
        <v>776</v>
      </c>
      <c r="B400" t="s">
        <v>777</v>
      </c>
      <c r="C400" s="27">
        <v>44920</v>
      </c>
      <c r="D400" t="s">
        <v>10</v>
      </c>
      <c r="E400" t="s">
        <v>25</v>
      </c>
      <c r="F400">
        <v>21.37</v>
      </c>
      <c r="G400">
        <v>10</v>
      </c>
      <c r="H400" t="s">
        <v>3377</v>
      </c>
    </row>
    <row r="401" spans="1:8" x14ac:dyDescent="0.25">
      <c r="A401" t="s">
        <v>778</v>
      </c>
      <c r="B401" t="s">
        <v>779</v>
      </c>
      <c r="C401" s="27">
        <v>45222</v>
      </c>
      <c r="D401" t="s">
        <v>10</v>
      </c>
      <c r="E401" t="s">
        <v>11</v>
      </c>
      <c r="F401">
        <v>1553.76</v>
      </c>
      <c r="H401" t="s">
        <v>35</v>
      </c>
    </row>
    <row r="402" spans="1:8" x14ac:dyDescent="0.25">
      <c r="A402" t="s">
        <v>780</v>
      </c>
      <c r="B402" t="s">
        <v>781</v>
      </c>
      <c r="C402" s="27">
        <v>45117</v>
      </c>
      <c r="D402" t="s">
        <v>21</v>
      </c>
      <c r="E402" t="s">
        <v>25</v>
      </c>
      <c r="F402">
        <v>1682.24</v>
      </c>
      <c r="G402">
        <v>9</v>
      </c>
      <c r="H402" t="s">
        <v>3369</v>
      </c>
    </row>
    <row r="403" spans="1:8" x14ac:dyDescent="0.25">
      <c r="A403" t="s">
        <v>782</v>
      </c>
      <c r="B403" t="s">
        <v>783</v>
      </c>
      <c r="C403" s="27">
        <v>45815</v>
      </c>
      <c r="D403" t="s">
        <v>10</v>
      </c>
      <c r="E403" t="s">
        <v>3370</v>
      </c>
      <c r="F403">
        <v>1207.74</v>
      </c>
      <c r="G403">
        <v>5</v>
      </c>
      <c r="H403" t="s">
        <v>3369</v>
      </c>
    </row>
    <row r="404" spans="1:8" x14ac:dyDescent="0.25">
      <c r="A404" t="s">
        <v>784</v>
      </c>
      <c r="B404" t="s">
        <v>785</v>
      </c>
      <c r="C404" s="27">
        <v>45106</v>
      </c>
      <c r="D404" t="s">
        <v>21</v>
      </c>
      <c r="E404" t="s">
        <v>11</v>
      </c>
      <c r="F404">
        <v>1647.77</v>
      </c>
      <c r="G404">
        <v>10</v>
      </c>
      <c r="H404" t="s">
        <v>3377</v>
      </c>
    </row>
    <row r="405" spans="1:8" x14ac:dyDescent="0.25">
      <c r="A405" t="s">
        <v>786</v>
      </c>
      <c r="B405" t="s">
        <v>787</v>
      </c>
      <c r="C405" s="27">
        <v>45055</v>
      </c>
      <c r="D405" t="s">
        <v>21</v>
      </c>
      <c r="E405" t="s">
        <v>3371</v>
      </c>
      <c r="G405">
        <v>8</v>
      </c>
      <c r="H405" t="s">
        <v>35</v>
      </c>
    </row>
    <row r="406" spans="1:8" x14ac:dyDescent="0.25">
      <c r="A406" t="s">
        <v>788</v>
      </c>
      <c r="B406" t="s">
        <v>789</v>
      </c>
      <c r="C406" s="27">
        <v>45519</v>
      </c>
      <c r="D406" t="s">
        <v>3372</v>
      </c>
      <c r="E406" t="s">
        <v>34</v>
      </c>
      <c r="F406">
        <v>10.94</v>
      </c>
      <c r="G406">
        <v>10</v>
      </c>
      <c r="H406" t="s">
        <v>15</v>
      </c>
    </row>
    <row r="407" spans="1:8" x14ac:dyDescent="0.25">
      <c r="A407" t="s">
        <v>790</v>
      </c>
      <c r="B407" t="s">
        <v>791</v>
      </c>
      <c r="C407" s="27">
        <v>45923</v>
      </c>
      <c r="D407" t="s">
        <v>10</v>
      </c>
      <c r="E407" t="s">
        <v>3371</v>
      </c>
      <c r="F407">
        <v>1449.53</v>
      </c>
      <c r="G407">
        <v>8</v>
      </c>
      <c r="H407" t="s">
        <v>3369</v>
      </c>
    </row>
    <row r="408" spans="1:8" x14ac:dyDescent="0.25">
      <c r="A408" t="s">
        <v>792</v>
      </c>
      <c r="B408" t="s">
        <v>793</v>
      </c>
      <c r="C408" s="27">
        <v>45324</v>
      </c>
      <c r="D408" t="s">
        <v>3372</v>
      </c>
      <c r="E408" t="s">
        <v>11</v>
      </c>
      <c r="F408">
        <v>191.13</v>
      </c>
      <c r="G408">
        <v>3</v>
      </c>
      <c r="H408" t="s">
        <v>18</v>
      </c>
    </row>
    <row r="409" spans="1:8" x14ac:dyDescent="0.25">
      <c r="A409" t="s">
        <v>794</v>
      </c>
      <c r="B409" t="s">
        <v>795</v>
      </c>
      <c r="C409" s="27">
        <v>44970</v>
      </c>
      <c r="D409" t="s">
        <v>3372</v>
      </c>
      <c r="E409" t="s">
        <v>3370</v>
      </c>
      <c r="G409">
        <v>2</v>
      </c>
      <c r="H409" t="s">
        <v>15</v>
      </c>
    </row>
    <row r="410" spans="1:8" x14ac:dyDescent="0.25">
      <c r="A410" t="s">
        <v>796</v>
      </c>
      <c r="B410" t="s">
        <v>797</v>
      </c>
      <c r="C410" s="27">
        <v>45725</v>
      </c>
      <c r="D410" t="s">
        <v>21</v>
      </c>
      <c r="E410" t="s">
        <v>34</v>
      </c>
      <c r="F410">
        <v>1716.53</v>
      </c>
      <c r="G410">
        <v>3</v>
      </c>
      <c r="H410" t="s">
        <v>35</v>
      </c>
    </row>
    <row r="411" spans="1:8" x14ac:dyDescent="0.25">
      <c r="A411" t="s">
        <v>798</v>
      </c>
      <c r="B411" t="s">
        <v>799</v>
      </c>
      <c r="C411" s="27">
        <v>45706</v>
      </c>
      <c r="D411" t="s">
        <v>21</v>
      </c>
      <c r="E411" t="s">
        <v>25</v>
      </c>
      <c r="F411">
        <v>1738.7</v>
      </c>
      <c r="G411">
        <v>3</v>
      </c>
      <c r="H411" t="s">
        <v>3377</v>
      </c>
    </row>
    <row r="412" spans="1:8" x14ac:dyDescent="0.25">
      <c r="A412" t="s">
        <v>800</v>
      </c>
      <c r="B412" t="s">
        <v>801</v>
      </c>
      <c r="C412" s="27">
        <v>44997</v>
      </c>
      <c r="D412" t="s">
        <v>14</v>
      </c>
      <c r="E412" t="s">
        <v>11</v>
      </c>
      <c r="F412">
        <v>1301.3399999999999</v>
      </c>
      <c r="G412">
        <v>3</v>
      </c>
      <c r="H412" t="s">
        <v>18</v>
      </c>
    </row>
    <row r="413" spans="1:8" x14ac:dyDescent="0.25">
      <c r="A413" t="s">
        <v>802</v>
      </c>
      <c r="B413" t="s">
        <v>500</v>
      </c>
      <c r="C413" s="27">
        <v>45636</v>
      </c>
      <c r="D413" t="s">
        <v>10</v>
      </c>
      <c r="E413" t="s">
        <v>3370</v>
      </c>
      <c r="F413">
        <v>1542.46</v>
      </c>
      <c r="G413">
        <v>1</v>
      </c>
      <c r="H413" t="s">
        <v>3369</v>
      </c>
    </row>
    <row r="414" spans="1:8" x14ac:dyDescent="0.25">
      <c r="A414" t="s">
        <v>803</v>
      </c>
      <c r="B414" t="s">
        <v>804</v>
      </c>
      <c r="C414" s="27">
        <v>45771</v>
      </c>
      <c r="D414" t="s">
        <v>14</v>
      </c>
      <c r="E414" t="s">
        <v>22</v>
      </c>
      <c r="G414">
        <v>3</v>
      </c>
      <c r="H414" t="s">
        <v>15</v>
      </c>
    </row>
    <row r="415" spans="1:8" x14ac:dyDescent="0.25">
      <c r="A415" t="s">
        <v>805</v>
      </c>
      <c r="B415" t="s">
        <v>806</v>
      </c>
      <c r="C415" s="27">
        <v>45650</v>
      </c>
      <c r="D415" t="s">
        <v>14</v>
      </c>
      <c r="E415" t="s">
        <v>34</v>
      </c>
      <c r="F415">
        <v>201.42</v>
      </c>
      <c r="G415">
        <v>8</v>
      </c>
      <c r="H415" t="s">
        <v>35</v>
      </c>
    </row>
    <row r="416" spans="1:8" x14ac:dyDescent="0.25">
      <c r="A416" t="s">
        <v>807</v>
      </c>
      <c r="B416" t="s">
        <v>808</v>
      </c>
      <c r="C416" s="27">
        <v>45916</v>
      </c>
      <c r="D416" t="s">
        <v>10</v>
      </c>
      <c r="E416" t="s">
        <v>22</v>
      </c>
      <c r="F416">
        <v>106.73</v>
      </c>
      <c r="G416">
        <v>5</v>
      </c>
      <c r="H416" t="s">
        <v>35</v>
      </c>
    </row>
    <row r="417" spans="1:8" x14ac:dyDescent="0.25">
      <c r="A417" t="s">
        <v>809</v>
      </c>
      <c r="B417" t="s">
        <v>810</v>
      </c>
      <c r="C417" s="27">
        <v>45252</v>
      </c>
      <c r="D417" t="s">
        <v>10</v>
      </c>
      <c r="E417" t="s">
        <v>11</v>
      </c>
      <c r="F417">
        <v>853.63</v>
      </c>
      <c r="G417">
        <v>6</v>
      </c>
      <c r="H417" t="s">
        <v>15</v>
      </c>
    </row>
    <row r="418" spans="1:8" x14ac:dyDescent="0.25">
      <c r="A418" t="s">
        <v>811</v>
      </c>
      <c r="B418" t="s">
        <v>812</v>
      </c>
      <c r="C418" s="27">
        <v>45249</v>
      </c>
      <c r="D418" t="s">
        <v>3372</v>
      </c>
      <c r="E418" t="s">
        <v>3370</v>
      </c>
      <c r="F418">
        <v>80.64</v>
      </c>
      <c r="G418">
        <v>3</v>
      </c>
      <c r="H418" t="s">
        <v>15</v>
      </c>
    </row>
    <row r="419" spans="1:8" x14ac:dyDescent="0.25">
      <c r="A419" t="s">
        <v>813</v>
      </c>
      <c r="B419" t="s">
        <v>814</v>
      </c>
      <c r="C419" s="27">
        <v>44996</v>
      </c>
      <c r="D419" t="s">
        <v>10</v>
      </c>
      <c r="E419" t="s">
        <v>11</v>
      </c>
      <c r="F419">
        <v>1250.77</v>
      </c>
      <c r="G419">
        <v>6</v>
      </c>
      <c r="H419" t="s">
        <v>3369</v>
      </c>
    </row>
    <row r="420" spans="1:8" x14ac:dyDescent="0.25">
      <c r="A420" t="s">
        <v>815</v>
      </c>
      <c r="B420" t="s">
        <v>816</v>
      </c>
      <c r="C420" s="27">
        <v>44874</v>
      </c>
      <c r="D420" t="s">
        <v>3372</v>
      </c>
      <c r="E420" t="s">
        <v>25</v>
      </c>
      <c r="F420">
        <v>1299.6600000000001</v>
      </c>
      <c r="H420" t="s">
        <v>35</v>
      </c>
    </row>
    <row r="421" spans="1:8" x14ac:dyDescent="0.25">
      <c r="A421" t="s">
        <v>817</v>
      </c>
      <c r="B421" t="s">
        <v>818</v>
      </c>
      <c r="C421" s="27">
        <v>45726</v>
      </c>
      <c r="D421" t="s">
        <v>3372</v>
      </c>
      <c r="E421" t="s">
        <v>25</v>
      </c>
      <c r="F421">
        <v>1502.76</v>
      </c>
      <c r="G421">
        <v>7</v>
      </c>
      <c r="H421" t="s">
        <v>15</v>
      </c>
    </row>
    <row r="422" spans="1:8" x14ac:dyDescent="0.25">
      <c r="A422" t="s">
        <v>819</v>
      </c>
      <c r="B422" t="s">
        <v>820</v>
      </c>
      <c r="C422" s="27">
        <v>45437</v>
      </c>
      <c r="D422" t="s">
        <v>10</v>
      </c>
      <c r="E422" t="s">
        <v>25</v>
      </c>
      <c r="F422">
        <v>376.03</v>
      </c>
      <c r="G422">
        <v>10</v>
      </c>
      <c r="H422" t="s">
        <v>18</v>
      </c>
    </row>
    <row r="423" spans="1:8" x14ac:dyDescent="0.25">
      <c r="A423" t="s">
        <v>821</v>
      </c>
      <c r="B423" t="s">
        <v>822</v>
      </c>
      <c r="C423" s="27">
        <v>45806</v>
      </c>
      <c r="D423" t="s">
        <v>14</v>
      </c>
      <c r="E423" t="s">
        <v>22</v>
      </c>
      <c r="F423">
        <v>479.61</v>
      </c>
      <c r="G423">
        <v>2</v>
      </c>
      <c r="H423" t="s">
        <v>35</v>
      </c>
    </row>
    <row r="424" spans="1:8" x14ac:dyDescent="0.25">
      <c r="A424" t="s">
        <v>823</v>
      </c>
      <c r="B424" t="s">
        <v>824</v>
      </c>
      <c r="C424" s="27">
        <v>45346</v>
      </c>
      <c r="D424" t="s">
        <v>14</v>
      </c>
      <c r="E424" t="s">
        <v>34</v>
      </c>
      <c r="F424">
        <v>435.82</v>
      </c>
      <c r="G424">
        <v>3</v>
      </c>
      <c r="H424" t="s">
        <v>15</v>
      </c>
    </row>
    <row r="425" spans="1:8" x14ac:dyDescent="0.25">
      <c r="A425" t="s">
        <v>3397</v>
      </c>
      <c r="B425" t="s">
        <v>3398</v>
      </c>
      <c r="C425" s="27">
        <v>45377</v>
      </c>
      <c r="D425" t="s">
        <v>3372</v>
      </c>
      <c r="E425" t="s">
        <v>3370</v>
      </c>
      <c r="F425">
        <v>1633.67</v>
      </c>
      <c r="G425">
        <v>2</v>
      </c>
      <c r="H425" t="s">
        <v>15</v>
      </c>
    </row>
    <row r="426" spans="1:8" x14ac:dyDescent="0.25">
      <c r="A426" t="s">
        <v>825</v>
      </c>
      <c r="B426" t="s">
        <v>826</v>
      </c>
      <c r="C426" s="27">
        <v>45743</v>
      </c>
      <c r="D426" t="s">
        <v>14</v>
      </c>
      <c r="E426" t="s">
        <v>34</v>
      </c>
      <c r="F426">
        <v>235.64</v>
      </c>
      <c r="G426">
        <v>2</v>
      </c>
      <c r="H426" t="s">
        <v>35</v>
      </c>
    </row>
    <row r="427" spans="1:8" x14ac:dyDescent="0.25">
      <c r="A427" t="s">
        <v>827</v>
      </c>
      <c r="B427" t="s">
        <v>828</v>
      </c>
      <c r="C427" s="27">
        <v>45391</v>
      </c>
      <c r="D427" t="s">
        <v>3372</v>
      </c>
      <c r="E427" t="s">
        <v>3371</v>
      </c>
      <c r="F427">
        <v>1218.58</v>
      </c>
      <c r="H427" t="s">
        <v>35</v>
      </c>
    </row>
    <row r="428" spans="1:8" x14ac:dyDescent="0.25">
      <c r="A428" t="s">
        <v>829</v>
      </c>
      <c r="B428" t="s">
        <v>830</v>
      </c>
      <c r="C428" s="27">
        <v>44871</v>
      </c>
      <c r="D428" t="s">
        <v>3372</v>
      </c>
      <c r="E428" t="s">
        <v>34</v>
      </c>
      <c r="G428">
        <v>2</v>
      </c>
      <c r="H428" t="s">
        <v>18</v>
      </c>
    </row>
    <row r="429" spans="1:8" x14ac:dyDescent="0.25">
      <c r="A429" t="s">
        <v>831</v>
      </c>
      <c r="B429" t="s">
        <v>832</v>
      </c>
      <c r="C429" s="27">
        <v>45223</v>
      </c>
      <c r="D429" t="s">
        <v>10</v>
      </c>
      <c r="E429" t="s">
        <v>11</v>
      </c>
      <c r="F429">
        <v>1765.96</v>
      </c>
      <c r="G429">
        <v>4</v>
      </c>
      <c r="H429" t="s">
        <v>15</v>
      </c>
    </row>
    <row r="430" spans="1:8" x14ac:dyDescent="0.25">
      <c r="A430" t="s">
        <v>833</v>
      </c>
      <c r="B430" t="s">
        <v>834</v>
      </c>
      <c r="C430" s="27">
        <v>45548</v>
      </c>
      <c r="D430" t="s">
        <v>14</v>
      </c>
      <c r="E430" t="s">
        <v>22</v>
      </c>
      <c r="G430">
        <v>2</v>
      </c>
      <c r="H430" t="s">
        <v>18</v>
      </c>
    </row>
    <row r="431" spans="1:8" x14ac:dyDescent="0.25">
      <c r="A431" t="s">
        <v>835</v>
      </c>
      <c r="B431" t="s">
        <v>836</v>
      </c>
      <c r="C431" s="27">
        <v>45509</v>
      </c>
      <c r="D431" t="s">
        <v>3372</v>
      </c>
      <c r="E431" t="s">
        <v>25</v>
      </c>
      <c r="F431">
        <v>447.18</v>
      </c>
      <c r="G431">
        <v>10</v>
      </c>
      <c r="H431" t="s">
        <v>35</v>
      </c>
    </row>
    <row r="432" spans="1:8" x14ac:dyDescent="0.25">
      <c r="A432" t="s">
        <v>837</v>
      </c>
      <c r="B432" t="s">
        <v>838</v>
      </c>
      <c r="C432" s="27">
        <v>45116</v>
      </c>
      <c r="D432" t="s">
        <v>10</v>
      </c>
      <c r="E432" t="s">
        <v>25</v>
      </c>
      <c r="G432">
        <v>10</v>
      </c>
      <c r="H432" t="s">
        <v>15</v>
      </c>
    </row>
    <row r="433" spans="1:8" x14ac:dyDescent="0.25">
      <c r="A433" t="s">
        <v>839</v>
      </c>
      <c r="B433" t="s">
        <v>840</v>
      </c>
      <c r="C433" s="27">
        <v>45547</v>
      </c>
      <c r="D433" t="s">
        <v>21</v>
      </c>
      <c r="E433" t="s">
        <v>11</v>
      </c>
      <c r="F433">
        <v>815.43</v>
      </c>
      <c r="G433">
        <v>8</v>
      </c>
      <c r="H433" t="s">
        <v>35</v>
      </c>
    </row>
    <row r="434" spans="1:8" x14ac:dyDescent="0.25">
      <c r="A434" t="s">
        <v>841</v>
      </c>
      <c r="B434" t="s">
        <v>313</v>
      </c>
      <c r="C434" s="27">
        <v>45328</v>
      </c>
      <c r="D434" t="s">
        <v>14</v>
      </c>
      <c r="E434" t="s">
        <v>3371</v>
      </c>
      <c r="F434">
        <v>1662.61</v>
      </c>
      <c r="G434">
        <v>4</v>
      </c>
      <c r="H434" t="s">
        <v>35</v>
      </c>
    </row>
    <row r="435" spans="1:8" x14ac:dyDescent="0.25">
      <c r="A435" t="s">
        <v>842</v>
      </c>
      <c r="B435" t="s">
        <v>843</v>
      </c>
      <c r="C435" s="27">
        <v>45095</v>
      </c>
      <c r="D435" t="s">
        <v>14</v>
      </c>
      <c r="E435" t="s">
        <v>3370</v>
      </c>
      <c r="G435">
        <v>9</v>
      </c>
      <c r="H435" t="s">
        <v>3369</v>
      </c>
    </row>
    <row r="436" spans="1:8" x14ac:dyDescent="0.25">
      <c r="A436" t="s">
        <v>844</v>
      </c>
      <c r="B436" t="s">
        <v>845</v>
      </c>
      <c r="C436" s="27">
        <v>45760</v>
      </c>
      <c r="D436" t="s">
        <v>3372</v>
      </c>
      <c r="E436" t="s">
        <v>3371</v>
      </c>
      <c r="F436">
        <v>1470.11</v>
      </c>
      <c r="G436">
        <v>1</v>
      </c>
      <c r="H436" t="s">
        <v>35</v>
      </c>
    </row>
    <row r="437" spans="1:8" x14ac:dyDescent="0.25">
      <c r="A437" t="s">
        <v>846</v>
      </c>
      <c r="B437" t="s">
        <v>847</v>
      </c>
      <c r="C437" s="27">
        <v>45211</v>
      </c>
      <c r="D437" t="s">
        <v>14</v>
      </c>
      <c r="E437" t="s">
        <v>22</v>
      </c>
      <c r="F437">
        <v>1035.82</v>
      </c>
      <c r="G437">
        <v>6</v>
      </c>
      <c r="H437" t="s">
        <v>15</v>
      </c>
    </row>
    <row r="438" spans="1:8" x14ac:dyDescent="0.25">
      <c r="A438" t="s">
        <v>848</v>
      </c>
      <c r="B438" t="s">
        <v>849</v>
      </c>
      <c r="C438" s="27">
        <v>45082</v>
      </c>
      <c r="D438" t="s">
        <v>21</v>
      </c>
      <c r="E438" t="s">
        <v>3371</v>
      </c>
      <c r="F438">
        <v>1197.6600000000001</v>
      </c>
      <c r="G438">
        <v>8</v>
      </c>
      <c r="H438" t="s">
        <v>3377</v>
      </c>
    </row>
    <row r="439" spans="1:8" x14ac:dyDescent="0.25">
      <c r="A439" t="s">
        <v>850</v>
      </c>
      <c r="B439" t="s">
        <v>851</v>
      </c>
      <c r="C439" s="27">
        <v>45278</v>
      </c>
      <c r="D439" t="s">
        <v>10</v>
      </c>
      <c r="E439" t="s">
        <v>25</v>
      </c>
      <c r="G439">
        <v>1</v>
      </c>
      <c r="H439" t="s">
        <v>3369</v>
      </c>
    </row>
    <row r="440" spans="1:8" x14ac:dyDescent="0.25">
      <c r="A440" t="s">
        <v>852</v>
      </c>
      <c r="B440" t="s">
        <v>853</v>
      </c>
      <c r="C440" s="27">
        <v>45936</v>
      </c>
      <c r="D440" t="s">
        <v>21</v>
      </c>
      <c r="E440" t="s">
        <v>34</v>
      </c>
      <c r="F440">
        <v>224.75</v>
      </c>
      <c r="G440">
        <v>4</v>
      </c>
      <c r="H440" t="s">
        <v>18</v>
      </c>
    </row>
    <row r="441" spans="1:8" x14ac:dyDescent="0.25">
      <c r="A441" t="s">
        <v>854</v>
      </c>
      <c r="B441" t="s">
        <v>855</v>
      </c>
      <c r="C441" s="27">
        <v>45413</v>
      </c>
      <c r="D441" t="s">
        <v>14</v>
      </c>
      <c r="E441" t="s">
        <v>3371</v>
      </c>
      <c r="F441">
        <v>572.88</v>
      </c>
      <c r="G441">
        <v>4</v>
      </c>
      <c r="H441" t="s">
        <v>3369</v>
      </c>
    </row>
    <row r="442" spans="1:8" x14ac:dyDescent="0.25">
      <c r="A442" t="s">
        <v>856</v>
      </c>
      <c r="B442" t="s">
        <v>857</v>
      </c>
      <c r="C442" s="27">
        <v>45524</v>
      </c>
      <c r="D442" t="s">
        <v>21</v>
      </c>
      <c r="E442" t="s">
        <v>25</v>
      </c>
      <c r="G442">
        <v>7</v>
      </c>
      <c r="H442" t="s">
        <v>15</v>
      </c>
    </row>
    <row r="443" spans="1:8" x14ac:dyDescent="0.25">
      <c r="A443" t="s">
        <v>858</v>
      </c>
      <c r="B443" t="s">
        <v>859</v>
      </c>
      <c r="C443" s="27">
        <v>44952</v>
      </c>
      <c r="D443" t="s">
        <v>21</v>
      </c>
      <c r="E443" t="s">
        <v>11</v>
      </c>
      <c r="F443">
        <v>146.54</v>
      </c>
      <c r="G443">
        <v>3</v>
      </c>
      <c r="H443" t="s">
        <v>3369</v>
      </c>
    </row>
    <row r="444" spans="1:8" x14ac:dyDescent="0.25">
      <c r="A444" t="s">
        <v>860</v>
      </c>
      <c r="B444" t="s">
        <v>861</v>
      </c>
      <c r="C444" s="27">
        <v>45863</v>
      </c>
      <c r="D444" t="s">
        <v>14</v>
      </c>
      <c r="E444" t="s">
        <v>34</v>
      </c>
      <c r="F444">
        <v>1039.72</v>
      </c>
      <c r="G444">
        <v>10</v>
      </c>
      <c r="H444" t="s">
        <v>35</v>
      </c>
    </row>
    <row r="445" spans="1:8" x14ac:dyDescent="0.25">
      <c r="A445" t="s">
        <v>862</v>
      </c>
      <c r="B445" t="s">
        <v>863</v>
      </c>
      <c r="C445" s="27">
        <v>45125</v>
      </c>
      <c r="D445" t="s">
        <v>10</v>
      </c>
      <c r="E445" t="s">
        <v>25</v>
      </c>
      <c r="F445">
        <v>870.24</v>
      </c>
      <c r="G445">
        <v>5</v>
      </c>
      <c r="H445" t="s">
        <v>3369</v>
      </c>
    </row>
    <row r="446" spans="1:8" x14ac:dyDescent="0.25">
      <c r="A446" t="s">
        <v>864</v>
      </c>
      <c r="B446" t="s">
        <v>865</v>
      </c>
      <c r="C446" s="27">
        <v>45344</v>
      </c>
      <c r="D446" t="s">
        <v>14</v>
      </c>
      <c r="E446" t="s">
        <v>3371</v>
      </c>
      <c r="F446">
        <v>327.62</v>
      </c>
      <c r="G446">
        <v>9</v>
      </c>
      <c r="H446" t="s">
        <v>3377</v>
      </c>
    </row>
    <row r="447" spans="1:8" x14ac:dyDescent="0.25">
      <c r="A447" t="s">
        <v>866</v>
      </c>
      <c r="B447" t="s">
        <v>867</v>
      </c>
      <c r="C447" s="27">
        <v>45182</v>
      </c>
      <c r="D447" t="s">
        <v>10</v>
      </c>
      <c r="E447" t="s">
        <v>11</v>
      </c>
      <c r="F447">
        <v>96.5</v>
      </c>
      <c r="G447">
        <v>4</v>
      </c>
      <c r="H447" t="s">
        <v>35</v>
      </c>
    </row>
    <row r="448" spans="1:8" x14ac:dyDescent="0.25">
      <c r="A448" t="s">
        <v>868</v>
      </c>
      <c r="B448" t="s">
        <v>869</v>
      </c>
      <c r="C448" s="27">
        <v>45835</v>
      </c>
      <c r="D448" t="s">
        <v>21</v>
      </c>
      <c r="E448" t="s">
        <v>11</v>
      </c>
      <c r="G448">
        <v>7</v>
      </c>
      <c r="H448" t="s">
        <v>15</v>
      </c>
    </row>
    <row r="449" spans="1:8" x14ac:dyDescent="0.25">
      <c r="A449" t="s">
        <v>870</v>
      </c>
      <c r="B449" t="s">
        <v>871</v>
      </c>
      <c r="C449" s="27">
        <v>45034</v>
      </c>
      <c r="D449" t="s">
        <v>21</v>
      </c>
      <c r="E449" t="s">
        <v>22</v>
      </c>
      <c r="F449">
        <v>1939.14</v>
      </c>
      <c r="G449">
        <v>7</v>
      </c>
      <c r="H449" t="s">
        <v>3377</v>
      </c>
    </row>
    <row r="450" spans="1:8" x14ac:dyDescent="0.25">
      <c r="A450" t="s">
        <v>872</v>
      </c>
      <c r="B450" t="s">
        <v>873</v>
      </c>
      <c r="C450" s="27">
        <v>45358</v>
      </c>
      <c r="D450" t="s">
        <v>21</v>
      </c>
      <c r="E450" t="s">
        <v>3371</v>
      </c>
      <c r="G450">
        <v>5</v>
      </c>
      <c r="H450" t="s">
        <v>3377</v>
      </c>
    </row>
    <row r="451" spans="1:8" x14ac:dyDescent="0.25">
      <c r="A451" t="s">
        <v>874</v>
      </c>
      <c r="B451" t="s">
        <v>875</v>
      </c>
      <c r="C451" s="27">
        <v>45333</v>
      </c>
      <c r="D451" t="s">
        <v>21</v>
      </c>
      <c r="E451" t="s">
        <v>3370</v>
      </c>
      <c r="F451">
        <v>470.52</v>
      </c>
      <c r="G451">
        <v>7</v>
      </c>
      <c r="H451" t="s">
        <v>3377</v>
      </c>
    </row>
    <row r="452" spans="1:8" x14ac:dyDescent="0.25">
      <c r="A452" t="s">
        <v>876</v>
      </c>
      <c r="B452" t="s">
        <v>877</v>
      </c>
      <c r="C452" s="27">
        <v>44951</v>
      </c>
      <c r="D452" t="s">
        <v>3372</v>
      </c>
      <c r="E452" t="s">
        <v>25</v>
      </c>
      <c r="F452">
        <v>231.71</v>
      </c>
      <c r="G452">
        <v>1</v>
      </c>
      <c r="H452" t="s">
        <v>35</v>
      </c>
    </row>
    <row r="453" spans="1:8" x14ac:dyDescent="0.25">
      <c r="A453" t="s">
        <v>878</v>
      </c>
      <c r="B453" t="s">
        <v>879</v>
      </c>
      <c r="C453" s="27">
        <v>44951</v>
      </c>
      <c r="D453" t="s">
        <v>14</v>
      </c>
      <c r="E453" t="s">
        <v>25</v>
      </c>
      <c r="F453">
        <v>1645.74</v>
      </c>
      <c r="G453">
        <v>2</v>
      </c>
      <c r="H453" t="s">
        <v>18</v>
      </c>
    </row>
    <row r="454" spans="1:8" x14ac:dyDescent="0.25">
      <c r="A454" t="s">
        <v>880</v>
      </c>
      <c r="B454" t="s">
        <v>881</v>
      </c>
      <c r="C454" s="27">
        <v>45223</v>
      </c>
      <c r="D454" t="s">
        <v>21</v>
      </c>
      <c r="E454" t="s">
        <v>11</v>
      </c>
      <c r="F454">
        <v>265.95999999999998</v>
      </c>
      <c r="G454">
        <v>10</v>
      </c>
      <c r="H454" t="s">
        <v>3377</v>
      </c>
    </row>
    <row r="455" spans="1:8" x14ac:dyDescent="0.25">
      <c r="A455" t="s">
        <v>882</v>
      </c>
      <c r="B455" t="s">
        <v>883</v>
      </c>
      <c r="C455" s="27">
        <v>45162</v>
      </c>
      <c r="D455" t="s">
        <v>3372</v>
      </c>
      <c r="E455" t="s">
        <v>3371</v>
      </c>
      <c r="G455">
        <v>9</v>
      </c>
      <c r="H455" t="s">
        <v>35</v>
      </c>
    </row>
    <row r="456" spans="1:8" x14ac:dyDescent="0.25">
      <c r="A456" t="s">
        <v>884</v>
      </c>
      <c r="B456" t="s">
        <v>885</v>
      </c>
      <c r="C456" s="27">
        <v>44916</v>
      </c>
      <c r="D456" t="s">
        <v>10</v>
      </c>
      <c r="E456" t="s">
        <v>3370</v>
      </c>
      <c r="F456">
        <v>1657.42</v>
      </c>
      <c r="G456">
        <v>1</v>
      </c>
      <c r="H456" t="s">
        <v>35</v>
      </c>
    </row>
    <row r="457" spans="1:8" x14ac:dyDescent="0.25">
      <c r="A457" t="s">
        <v>886</v>
      </c>
      <c r="B457" t="s">
        <v>887</v>
      </c>
      <c r="C457" s="27">
        <v>45534</v>
      </c>
      <c r="D457" t="s">
        <v>21</v>
      </c>
      <c r="E457" t="s">
        <v>3370</v>
      </c>
      <c r="F457">
        <v>1783.51</v>
      </c>
      <c r="G457">
        <v>3</v>
      </c>
      <c r="H457" t="s">
        <v>15</v>
      </c>
    </row>
    <row r="458" spans="1:8" x14ac:dyDescent="0.25">
      <c r="A458" t="s">
        <v>888</v>
      </c>
      <c r="B458" t="s">
        <v>889</v>
      </c>
      <c r="C458" s="27">
        <v>45088</v>
      </c>
      <c r="D458" t="s">
        <v>3372</v>
      </c>
      <c r="E458" t="s">
        <v>3371</v>
      </c>
      <c r="F458">
        <v>405.75</v>
      </c>
      <c r="G458">
        <v>2</v>
      </c>
      <c r="H458" t="s">
        <v>15</v>
      </c>
    </row>
    <row r="459" spans="1:8" x14ac:dyDescent="0.25">
      <c r="A459" t="s">
        <v>3399</v>
      </c>
      <c r="B459" t="s">
        <v>3400</v>
      </c>
      <c r="C459" s="27">
        <v>45170</v>
      </c>
      <c r="D459" t="s">
        <v>10</v>
      </c>
      <c r="E459" t="s">
        <v>34</v>
      </c>
      <c r="G459">
        <v>10</v>
      </c>
      <c r="H459" t="s">
        <v>35</v>
      </c>
    </row>
    <row r="460" spans="1:8" x14ac:dyDescent="0.25">
      <c r="A460" t="s">
        <v>890</v>
      </c>
      <c r="B460" t="s">
        <v>891</v>
      </c>
      <c r="C460" s="27">
        <v>45180</v>
      </c>
      <c r="D460" t="s">
        <v>3372</v>
      </c>
      <c r="E460" t="s">
        <v>25</v>
      </c>
      <c r="F460">
        <v>603.91999999999996</v>
      </c>
      <c r="G460">
        <v>3</v>
      </c>
      <c r="H460" t="s">
        <v>3377</v>
      </c>
    </row>
    <row r="461" spans="1:8" x14ac:dyDescent="0.25">
      <c r="A461" t="s">
        <v>892</v>
      </c>
      <c r="B461" t="s">
        <v>893</v>
      </c>
      <c r="C461" s="27">
        <v>45787</v>
      </c>
      <c r="D461" t="s">
        <v>21</v>
      </c>
      <c r="E461" t="s">
        <v>3370</v>
      </c>
      <c r="F461">
        <v>1938.75</v>
      </c>
      <c r="G461">
        <v>9</v>
      </c>
      <c r="H461" t="s">
        <v>3377</v>
      </c>
    </row>
    <row r="462" spans="1:8" x14ac:dyDescent="0.25">
      <c r="A462" t="s">
        <v>894</v>
      </c>
      <c r="B462" t="s">
        <v>895</v>
      </c>
      <c r="C462" s="27">
        <v>45613</v>
      </c>
      <c r="D462" t="s">
        <v>14</v>
      </c>
      <c r="E462" t="s">
        <v>3371</v>
      </c>
      <c r="F462">
        <v>361.65</v>
      </c>
      <c r="H462" t="s">
        <v>3377</v>
      </c>
    </row>
    <row r="463" spans="1:8" x14ac:dyDescent="0.25">
      <c r="A463" t="s">
        <v>896</v>
      </c>
      <c r="B463" t="s">
        <v>897</v>
      </c>
      <c r="C463" s="27">
        <v>45088</v>
      </c>
      <c r="D463" t="s">
        <v>3372</v>
      </c>
      <c r="E463" t="s">
        <v>3370</v>
      </c>
      <c r="F463">
        <v>217.51</v>
      </c>
      <c r="G463">
        <v>1</v>
      </c>
      <c r="H463" t="s">
        <v>3369</v>
      </c>
    </row>
    <row r="464" spans="1:8" x14ac:dyDescent="0.25">
      <c r="A464" t="s">
        <v>898</v>
      </c>
      <c r="B464" t="s">
        <v>899</v>
      </c>
      <c r="C464" s="27">
        <v>45638</v>
      </c>
      <c r="D464" t="s">
        <v>10</v>
      </c>
      <c r="E464" t="s">
        <v>11</v>
      </c>
      <c r="F464">
        <v>308.29000000000002</v>
      </c>
      <c r="G464">
        <v>6</v>
      </c>
      <c r="H464" t="s">
        <v>18</v>
      </c>
    </row>
    <row r="465" spans="1:8" x14ac:dyDescent="0.25">
      <c r="A465" t="s">
        <v>900</v>
      </c>
      <c r="B465" t="s">
        <v>901</v>
      </c>
      <c r="C465" s="27">
        <v>45388</v>
      </c>
      <c r="D465" t="s">
        <v>10</v>
      </c>
      <c r="E465" t="s">
        <v>3370</v>
      </c>
      <c r="F465">
        <v>1903.28</v>
      </c>
      <c r="G465">
        <v>4</v>
      </c>
      <c r="H465" t="s">
        <v>18</v>
      </c>
    </row>
    <row r="466" spans="1:8" x14ac:dyDescent="0.25">
      <c r="A466" t="s">
        <v>902</v>
      </c>
      <c r="B466" t="s">
        <v>903</v>
      </c>
      <c r="C466" s="27">
        <v>44922</v>
      </c>
      <c r="D466" t="s">
        <v>3372</v>
      </c>
      <c r="E466" t="s">
        <v>11</v>
      </c>
      <c r="F466">
        <v>836.02</v>
      </c>
      <c r="G466">
        <v>8</v>
      </c>
      <c r="H466" t="s">
        <v>3377</v>
      </c>
    </row>
    <row r="467" spans="1:8" x14ac:dyDescent="0.25">
      <c r="A467" t="s">
        <v>904</v>
      </c>
      <c r="B467" t="s">
        <v>905</v>
      </c>
      <c r="C467" s="27">
        <v>45082</v>
      </c>
      <c r="D467" t="s">
        <v>14</v>
      </c>
      <c r="E467" t="s">
        <v>34</v>
      </c>
      <c r="F467">
        <v>1283.9100000000001</v>
      </c>
      <c r="G467">
        <v>3</v>
      </c>
      <c r="H467" t="s">
        <v>18</v>
      </c>
    </row>
    <row r="468" spans="1:8" x14ac:dyDescent="0.25">
      <c r="A468" t="s">
        <v>906</v>
      </c>
      <c r="B468" t="s">
        <v>907</v>
      </c>
      <c r="C468" s="27">
        <v>45722</v>
      </c>
      <c r="D468" t="s">
        <v>14</v>
      </c>
      <c r="E468" t="s">
        <v>11</v>
      </c>
      <c r="F468">
        <v>983.04</v>
      </c>
      <c r="G468">
        <v>6</v>
      </c>
      <c r="H468" t="s">
        <v>35</v>
      </c>
    </row>
    <row r="469" spans="1:8" x14ac:dyDescent="0.25">
      <c r="A469" t="s">
        <v>908</v>
      </c>
      <c r="B469" t="s">
        <v>909</v>
      </c>
      <c r="C469" s="27">
        <v>45264</v>
      </c>
      <c r="D469" t="s">
        <v>21</v>
      </c>
      <c r="E469" t="s">
        <v>3371</v>
      </c>
      <c r="F469">
        <v>49.21</v>
      </c>
      <c r="G469">
        <v>1</v>
      </c>
      <c r="H469" t="s">
        <v>35</v>
      </c>
    </row>
    <row r="470" spans="1:8" x14ac:dyDescent="0.25">
      <c r="A470" t="s">
        <v>910</v>
      </c>
      <c r="B470" t="s">
        <v>911</v>
      </c>
      <c r="C470" s="27">
        <v>45844</v>
      </c>
      <c r="D470" t="s">
        <v>21</v>
      </c>
      <c r="E470" t="s">
        <v>11</v>
      </c>
      <c r="F470">
        <v>1192.8900000000001</v>
      </c>
      <c r="G470">
        <v>4</v>
      </c>
      <c r="H470" t="s">
        <v>15</v>
      </c>
    </row>
    <row r="471" spans="1:8" x14ac:dyDescent="0.25">
      <c r="A471" t="s">
        <v>912</v>
      </c>
      <c r="B471" t="s">
        <v>913</v>
      </c>
      <c r="C471" s="27">
        <v>45634</v>
      </c>
      <c r="D471" t="s">
        <v>14</v>
      </c>
      <c r="E471" t="s">
        <v>11</v>
      </c>
      <c r="F471">
        <v>362.36</v>
      </c>
      <c r="G471">
        <v>10</v>
      </c>
      <c r="H471" t="s">
        <v>15</v>
      </c>
    </row>
    <row r="472" spans="1:8" x14ac:dyDescent="0.25">
      <c r="A472" t="s">
        <v>914</v>
      </c>
      <c r="B472" t="s">
        <v>915</v>
      </c>
      <c r="C472" s="27">
        <v>44914</v>
      </c>
      <c r="D472" t="s">
        <v>3372</v>
      </c>
      <c r="E472" t="s">
        <v>22</v>
      </c>
      <c r="F472">
        <v>253.3</v>
      </c>
      <c r="G472">
        <v>10</v>
      </c>
      <c r="H472" t="s">
        <v>15</v>
      </c>
    </row>
    <row r="473" spans="1:8" x14ac:dyDescent="0.25">
      <c r="A473" t="s">
        <v>916</v>
      </c>
      <c r="B473" t="s">
        <v>917</v>
      </c>
      <c r="C473" s="27">
        <v>45171</v>
      </c>
      <c r="D473" t="s">
        <v>10</v>
      </c>
      <c r="E473" t="s">
        <v>34</v>
      </c>
      <c r="F473">
        <v>45.94</v>
      </c>
      <c r="G473">
        <v>1</v>
      </c>
      <c r="H473" t="s">
        <v>3377</v>
      </c>
    </row>
    <row r="474" spans="1:8" x14ac:dyDescent="0.25">
      <c r="A474" t="s">
        <v>918</v>
      </c>
      <c r="B474" t="s">
        <v>919</v>
      </c>
      <c r="C474" s="27">
        <v>44937</v>
      </c>
      <c r="D474" t="s">
        <v>3372</v>
      </c>
      <c r="E474" t="s">
        <v>3371</v>
      </c>
      <c r="F474">
        <v>1362.24</v>
      </c>
      <c r="G474">
        <v>7</v>
      </c>
      <c r="H474" t="s">
        <v>3377</v>
      </c>
    </row>
    <row r="475" spans="1:8" x14ac:dyDescent="0.25">
      <c r="A475" t="s">
        <v>920</v>
      </c>
      <c r="B475" t="s">
        <v>921</v>
      </c>
      <c r="C475" s="27">
        <v>45578</v>
      </c>
      <c r="D475" t="s">
        <v>3372</v>
      </c>
      <c r="E475" t="s">
        <v>34</v>
      </c>
      <c r="F475">
        <v>1648.8</v>
      </c>
      <c r="G475">
        <v>5</v>
      </c>
      <c r="H475" t="s">
        <v>15</v>
      </c>
    </row>
    <row r="476" spans="1:8" x14ac:dyDescent="0.25">
      <c r="A476" t="s">
        <v>922</v>
      </c>
      <c r="B476" t="s">
        <v>923</v>
      </c>
      <c r="C476" s="27">
        <v>45553</v>
      </c>
      <c r="D476" t="s">
        <v>10</v>
      </c>
      <c r="E476" t="s">
        <v>3370</v>
      </c>
      <c r="F476">
        <v>1361.37</v>
      </c>
      <c r="G476">
        <v>6</v>
      </c>
      <c r="H476" t="s">
        <v>35</v>
      </c>
    </row>
    <row r="477" spans="1:8" x14ac:dyDescent="0.25">
      <c r="A477" t="s">
        <v>924</v>
      </c>
      <c r="B477" t="s">
        <v>925</v>
      </c>
      <c r="C477" s="27">
        <v>44907</v>
      </c>
      <c r="D477" t="s">
        <v>10</v>
      </c>
      <c r="E477" t="s">
        <v>25</v>
      </c>
      <c r="F477">
        <v>662.24</v>
      </c>
      <c r="G477">
        <v>9</v>
      </c>
      <c r="H477" t="s">
        <v>3377</v>
      </c>
    </row>
    <row r="478" spans="1:8" x14ac:dyDescent="0.25">
      <c r="A478" t="s">
        <v>926</v>
      </c>
      <c r="B478" t="s">
        <v>927</v>
      </c>
      <c r="C478" s="27">
        <v>45084</v>
      </c>
      <c r="D478" t="s">
        <v>14</v>
      </c>
      <c r="E478" t="s">
        <v>22</v>
      </c>
      <c r="F478">
        <v>924.35</v>
      </c>
      <c r="H478" t="s">
        <v>18</v>
      </c>
    </row>
    <row r="479" spans="1:8" x14ac:dyDescent="0.25">
      <c r="A479" t="s">
        <v>928</v>
      </c>
      <c r="B479" t="s">
        <v>929</v>
      </c>
      <c r="C479" s="27">
        <v>45002</v>
      </c>
      <c r="D479" t="s">
        <v>3372</v>
      </c>
      <c r="E479" t="s">
        <v>25</v>
      </c>
      <c r="F479">
        <v>665.71</v>
      </c>
      <c r="G479">
        <v>1</v>
      </c>
      <c r="H479" t="s">
        <v>15</v>
      </c>
    </row>
    <row r="480" spans="1:8" x14ac:dyDescent="0.25">
      <c r="A480" t="s">
        <v>930</v>
      </c>
      <c r="B480" t="s">
        <v>931</v>
      </c>
      <c r="C480" s="27">
        <v>45743</v>
      </c>
      <c r="D480" t="s">
        <v>10</v>
      </c>
      <c r="E480" t="s">
        <v>3370</v>
      </c>
      <c r="F480">
        <v>1480.59</v>
      </c>
      <c r="G480">
        <v>2</v>
      </c>
      <c r="H480" t="s">
        <v>3377</v>
      </c>
    </row>
    <row r="481" spans="1:8" x14ac:dyDescent="0.25">
      <c r="A481" t="s">
        <v>932</v>
      </c>
      <c r="B481" t="s">
        <v>933</v>
      </c>
      <c r="C481" s="27">
        <v>44875</v>
      </c>
      <c r="D481" t="s">
        <v>21</v>
      </c>
      <c r="E481" t="s">
        <v>3371</v>
      </c>
      <c r="F481">
        <v>1349.24</v>
      </c>
      <c r="G481">
        <v>7</v>
      </c>
      <c r="H481" t="s">
        <v>15</v>
      </c>
    </row>
    <row r="482" spans="1:8" x14ac:dyDescent="0.25">
      <c r="A482" t="s">
        <v>934</v>
      </c>
      <c r="B482" t="s">
        <v>935</v>
      </c>
      <c r="C482" s="27">
        <v>45736</v>
      </c>
      <c r="D482" t="s">
        <v>21</v>
      </c>
      <c r="E482" t="s">
        <v>3371</v>
      </c>
      <c r="F482">
        <v>1894.26</v>
      </c>
      <c r="G482">
        <v>9</v>
      </c>
      <c r="H482" t="s">
        <v>18</v>
      </c>
    </row>
    <row r="483" spans="1:8" x14ac:dyDescent="0.25">
      <c r="A483" t="s">
        <v>936</v>
      </c>
      <c r="B483" t="s">
        <v>937</v>
      </c>
      <c r="C483" s="27">
        <v>45195</v>
      </c>
      <c r="D483" t="s">
        <v>10</v>
      </c>
      <c r="E483" t="s">
        <v>25</v>
      </c>
      <c r="F483">
        <v>1006.58</v>
      </c>
      <c r="G483">
        <v>9</v>
      </c>
      <c r="H483" t="s">
        <v>35</v>
      </c>
    </row>
    <row r="484" spans="1:8" x14ac:dyDescent="0.25">
      <c r="A484" t="s">
        <v>938</v>
      </c>
      <c r="B484" t="s">
        <v>939</v>
      </c>
      <c r="C484" s="27">
        <v>45648</v>
      </c>
      <c r="D484" t="s">
        <v>21</v>
      </c>
      <c r="E484" t="s">
        <v>25</v>
      </c>
      <c r="F484">
        <v>994.54</v>
      </c>
      <c r="G484">
        <v>6</v>
      </c>
      <c r="H484" t="s">
        <v>3369</v>
      </c>
    </row>
    <row r="485" spans="1:8" x14ac:dyDescent="0.25">
      <c r="A485" t="s">
        <v>3401</v>
      </c>
      <c r="B485" t="s">
        <v>3402</v>
      </c>
      <c r="C485" s="27">
        <v>45740</v>
      </c>
      <c r="D485" t="s">
        <v>10</v>
      </c>
      <c r="E485" t="s">
        <v>25</v>
      </c>
      <c r="F485">
        <v>640.54</v>
      </c>
      <c r="G485">
        <v>7</v>
      </c>
      <c r="H485" t="s">
        <v>35</v>
      </c>
    </row>
    <row r="486" spans="1:8" x14ac:dyDescent="0.25">
      <c r="A486" t="s">
        <v>940</v>
      </c>
      <c r="B486" t="s">
        <v>941</v>
      </c>
      <c r="C486" s="27">
        <v>45011</v>
      </c>
      <c r="D486" t="s">
        <v>14</v>
      </c>
      <c r="E486" t="s">
        <v>25</v>
      </c>
      <c r="F486">
        <v>1641.43</v>
      </c>
      <c r="G486">
        <v>5</v>
      </c>
      <c r="H486" t="s">
        <v>18</v>
      </c>
    </row>
    <row r="487" spans="1:8" x14ac:dyDescent="0.25">
      <c r="A487" t="s">
        <v>942</v>
      </c>
      <c r="B487" t="s">
        <v>943</v>
      </c>
      <c r="C487" s="27">
        <v>45946</v>
      </c>
      <c r="D487" t="s">
        <v>21</v>
      </c>
      <c r="E487" t="s">
        <v>3371</v>
      </c>
      <c r="F487">
        <v>321.20999999999998</v>
      </c>
      <c r="G487">
        <v>8</v>
      </c>
      <c r="H487" t="s">
        <v>3369</v>
      </c>
    </row>
    <row r="488" spans="1:8" x14ac:dyDescent="0.25">
      <c r="A488" t="s">
        <v>944</v>
      </c>
      <c r="B488" t="s">
        <v>724</v>
      </c>
      <c r="C488" s="27">
        <v>45760</v>
      </c>
      <c r="D488" t="s">
        <v>21</v>
      </c>
      <c r="E488" t="s">
        <v>11</v>
      </c>
      <c r="G488">
        <v>6</v>
      </c>
      <c r="H488" t="s">
        <v>35</v>
      </c>
    </row>
    <row r="489" spans="1:8" x14ac:dyDescent="0.25">
      <c r="A489" t="s">
        <v>945</v>
      </c>
      <c r="B489" t="s">
        <v>946</v>
      </c>
      <c r="C489" s="27">
        <v>45510</v>
      </c>
      <c r="D489" t="s">
        <v>21</v>
      </c>
      <c r="E489" t="s">
        <v>3370</v>
      </c>
      <c r="F489">
        <v>439.57</v>
      </c>
      <c r="G489">
        <v>2</v>
      </c>
      <c r="H489" t="s">
        <v>3369</v>
      </c>
    </row>
    <row r="490" spans="1:8" x14ac:dyDescent="0.25">
      <c r="A490" t="s">
        <v>3403</v>
      </c>
      <c r="B490" t="s">
        <v>3404</v>
      </c>
      <c r="C490" s="27">
        <v>45768</v>
      </c>
      <c r="D490" t="s">
        <v>3372</v>
      </c>
      <c r="E490" t="s">
        <v>22</v>
      </c>
      <c r="H490" t="s">
        <v>3377</v>
      </c>
    </row>
    <row r="491" spans="1:8" x14ac:dyDescent="0.25">
      <c r="A491" t="s">
        <v>947</v>
      </c>
      <c r="B491" t="s">
        <v>948</v>
      </c>
      <c r="C491" s="27">
        <v>45195</v>
      </c>
      <c r="D491" t="s">
        <v>10</v>
      </c>
      <c r="E491" t="s">
        <v>34</v>
      </c>
      <c r="F491">
        <v>1167.8800000000001</v>
      </c>
      <c r="G491">
        <v>1</v>
      </c>
      <c r="H491" t="s">
        <v>18</v>
      </c>
    </row>
    <row r="492" spans="1:8" x14ac:dyDescent="0.25">
      <c r="A492" t="s">
        <v>949</v>
      </c>
      <c r="B492" t="s">
        <v>950</v>
      </c>
      <c r="C492" s="27">
        <v>45624</v>
      </c>
      <c r="D492" t="s">
        <v>14</v>
      </c>
      <c r="E492" t="s">
        <v>11</v>
      </c>
      <c r="F492">
        <v>1569.17</v>
      </c>
      <c r="G492">
        <v>6</v>
      </c>
      <c r="H492" t="s">
        <v>3369</v>
      </c>
    </row>
    <row r="493" spans="1:8" x14ac:dyDescent="0.25">
      <c r="A493" t="s">
        <v>951</v>
      </c>
      <c r="B493" t="s">
        <v>952</v>
      </c>
      <c r="C493" s="27">
        <v>45946</v>
      </c>
      <c r="D493" t="s">
        <v>3372</v>
      </c>
      <c r="E493" t="s">
        <v>3370</v>
      </c>
      <c r="F493">
        <v>43.33</v>
      </c>
      <c r="G493">
        <v>2</v>
      </c>
      <c r="H493" t="s">
        <v>15</v>
      </c>
    </row>
    <row r="494" spans="1:8" x14ac:dyDescent="0.25">
      <c r="A494" t="s">
        <v>953</v>
      </c>
      <c r="B494" t="s">
        <v>954</v>
      </c>
      <c r="C494" s="27">
        <v>45386</v>
      </c>
      <c r="D494" t="s">
        <v>10</v>
      </c>
      <c r="E494" t="s">
        <v>34</v>
      </c>
      <c r="F494">
        <v>1807.32</v>
      </c>
      <c r="G494">
        <v>2</v>
      </c>
      <c r="H494" t="s">
        <v>3377</v>
      </c>
    </row>
    <row r="495" spans="1:8" x14ac:dyDescent="0.25">
      <c r="A495" t="s">
        <v>955</v>
      </c>
      <c r="B495" t="s">
        <v>956</v>
      </c>
      <c r="C495" s="27">
        <v>45118</v>
      </c>
      <c r="D495" t="s">
        <v>14</v>
      </c>
      <c r="E495" t="s">
        <v>22</v>
      </c>
      <c r="F495">
        <v>1973.62</v>
      </c>
      <c r="G495">
        <v>4</v>
      </c>
      <c r="H495" t="s">
        <v>18</v>
      </c>
    </row>
    <row r="496" spans="1:8" x14ac:dyDescent="0.25">
      <c r="A496" t="s">
        <v>957</v>
      </c>
      <c r="B496" t="s">
        <v>958</v>
      </c>
      <c r="C496" s="27">
        <v>45438</v>
      </c>
      <c r="D496" t="s">
        <v>3372</v>
      </c>
      <c r="E496" t="s">
        <v>25</v>
      </c>
      <c r="F496">
        <v>1412.02</v>
      </c>
      <c r="G496">
        <v>9</v>
      </c>
      <c r="H496" t="s">
        <v>3377</v>
      </c>
    </row>
    <row r="497" spans="1:8" x14ac:dyDescent="0.25">
      <c r="A497" t="s">
        <v>959</v>
      </c>
      <c r="B497" t="s">
        <v>305</v>
      </c>
      <c r="C497" s="27">
        <v>45206</v>
      </c>
      <c r="D497" t="s">
        <v>3372</v>
      </c>
      <c r="E497" t="s">
        <v>22</v>
      </c>
      <c r="F497">
        <v>755.43</v>
      </c>
      <c r="G497">
        <v>1</v>
      </c>
      <c r="H497" t="s">
        <v>15</v>
      </c>
    </row>
    <row r="498" spans="1:8" x14ac:dyDescent="0.25">
      <c r="A498" t="s">
        <v>960</v>
      </c>
      <c r="B498" t="s">
        <v>961</v>
      </c>
      <c r="C498" s="27">
        <v>44890</v>
      </c>
      <c r="D498" t="s">
        <v>21</v>
      </c>
      <c r="E498" t="s">
        <v>11</v>
      </c>
      <c r="F498">
        <v>1433.78</v>
      </c>
      <c r="G498">
        <v>6</v>
      </c>
      <c r="H498" t="s">
        <v>3377</v>
      </c>
    </row>
    <row r="499" spans="1:8" x14ac:dyDescent="0.25">
      <c r="A499" t="s">
        <v>962</v>
      </c>
      <c r="B499" t="s">
        <v>506</v>
      </c>
      <c r="C499" s="27">
        <v>45949</v>
      </c>
      <c r="D499" t="s">
        <v>14</v>
      </c>
      <c r="E499" t="s">
        <v>25</v>
      </c>
      <c r="G499">
        <v>3</v>
      </c>
      <c r="H499" t="s">
        <v>3369</v>
      </c>
    </row>
    <row r="500" spans="1:8" x14ac:dyDescent="0.25">
      <c r="A500" t="s">
        <v>963</v>
      </c>
      <c r="B500" t="s">
        <v>964</v>
      </c>
      <c r="C500" s="27">
        <v>45825</v>
      </c>
      <c r="D500" t="s">
        <v>21</v>
      </c>
      <c r="E500" t="s">
        <v>34</v>
      </c>
      <c r="F500">
        <v>360.04</v>
      </c>
      <c r="G500">
        <v>7</v>
      </c>
      <c r="H500" t="s">
        <v>3377</v>
      </c>
    </row>
    <row r="501" spans="1:8" x14ac:dyDescent="0.25">
      <c r="A501" t="s">
        <v>965</v>
      </c>
      <c r="B501" t="s">
        <v>966</v>
      </c>
      <c r="C501" s="27">
        <v>45488</v>
      </c>
      <c r="D501" t="s">
        <v>3372</v>
      </c>
      <c r="E501" t="s">
        <v>3371</v>
      </c>
      <c r="G501">
        <v>2</v>
      </c>
      <c r="H501" t="s">
        <v>35</v>
      </c>
    </row>
    <row r="502" spans="1:8" x14ac:dyDescent="0.25">
      <c r="A502" t="s">
        <v>967</v>
      </c>
      <c r="B502" t="s">
        <v>968</v>
      </c>
      <c r="C502" s="27">
        <v>45657</v>
      </c>
      <c r="D502" t="s">
        <v>14</v>
      </c>
      <c r="E502" t="s">
        <v>25</v>
      </c>
      <c r="F502">
        <v>1151.18</v>
      </c>
      <c r="G502">
        <v>5</v>
      </c>
      <c r="H502" t="s">
        <v>3369</v>
      </c>
    </row>
    <row r="503" spans="1:8" x14ac:dyDescent="0.25">
      <c r="A503" t="s">
        <v>969</v>
      </c>
      <c r="B503" t="s">
        <v>970</v>
      </c>
      <c r="C503" s="27">
        <v>45720</v>
      </c>
      <c r="D503" t="s">
        <v>3372</v>
      </c>
      <c r="E503" t="s">
        <v>34</v>
      </c>
      <c r="F503">
        <v>887.76</v>
      </c>
      <c r="G503">
        <v>2</v>
      </c>
      <c r="H503" t="s">
        <v>15</v>
      </c>
    </row>
    <row r="504" spans="1:8" x14ac:dyDescent="0.25">
      <c r="A504" t="s">
        <v>971</v>
      </c>
      <c r="B504" t="s">
        <v>972</v>
      </c>
      <c r="C504" s="27">
        <v>45561</v>
      </c>
      <c r="D504" t="s">
        <v>10</v>
      </c>
      <c r="E504" t="s">
        <v>34</v>
      </c>
      <c r="F504">
        <v>14.77</v>
      </c>
      <c r="G504">
        <v>3</v>
      </c>
      <c r="H504" t="s">
        <v>35</v>
      </c>
    </row>
    <row r="505" spans="1:8" x14ac:dyDescent="0.25">
      <c r="A505" t="s">
        <v>973</v>
      </c>
      <c r="B505" t="s">
        <v>974</v>
      </c>
      <c r="C505" s="27">
        <v>45361</v>
      </c>
      <c r="D505" t="s">
        <v>21</v>
      </c>
      <c r="E505" t="s">
        <v>25</v>
      </c>
      <c r="F505">
        <v>1619.75</v>
      </c>
      <c r="G505">
        <v>8</v>
      </c>
      <c r="H505" t="s">
        <v>3377</v>
      </c>
    </row>
    <row r="506" spans="1:8" x14ac:dyDescent="0.25">
      <c r="A506" t="s">
        <v>975</v>
      </c>
      <c r="B506" t="s">
        <v>976</v>
      </c>
      <c r="C506" s="27">
        <v>45582</v>
      </c>
      <c r="D506" t="s">
        <v>14</v>
      </c>
      <c r="E506" t="s">
        <v>3370</v>
      </c>
      <c r="F506">
        <v>1357.16</v>
      </c>
      <c r="G506">
        <v>6</v>
      </c>
      <c r="H506" t="s">
        <v>18</v>
      </c>
    </row>
    <row r="507" spans="1:8" x14ac:dyDescent="0.25">
      <c r="A507" t="s">
        <v>977</v>
      </c>
      <c r="B507" t="s">
        <v>978</v>
      </c>
      <c r="C507" s="27">
        <v>45150</v>
      </c>
      <c r="D507" t="s">
        <v>14</v>
      </c>
      <c r="E507" t="s">
        <v>3370</v>
      </c>
      <c r="F507">
        <v>992.06</v>
      </c>
      <c r="G507">
        <v>2</v>
      </c>
      <c r="H507" t="s">
        <v>3369</v>
      </c>
    </row>
    <row r="508" spans="1:8" x14ac:dyDescent="0.25">
      <c r="A508" t="s">
        <v>979</v>
      </c>
      <c r="B508" t="s">
        <v>980</v>
      </c>
      <c r="C508" s="27">
        <v>45020</v>
      </c>
      <c r="D508" t="s">
        <v>14</v>
      </c>
      <c r="E508" t="s">
        <v>25</v>
      </c>
      <c r="F508">
        <v>249.44</v>
      </c>
      <c r="G508">
        <v>9</v>
      </c>
      <c r="H508" t="s">
        <v>15</v>
      </c>
    </row>
    <row r="509" spans="1:8" x14ac:dyDescent="0.25">
      <c r="A509" t="s">
        <v>981</v>
      </c>
      <c r="B509" t="s">
        <v>982</v>
      </c>
      <c r="C509" s="27">
        <v>45311</v>
      </c>
      <c r="D509" t="s">
        <v>14</v>
      </c>
      <c r="E509" t="s">
        <v>11</v>
      </c>
      <c r="F509">
        <v>564.28</v>
      </c>
      <c r="H509" t="s">
        <v>3369</v>
      </c>
    </row>
    <row r="510" spans="1:8" x14ac:dyDescent="0.25">
      <c r="A510" t="s">
        <v>983</v>
      </c>
      <c r="B510" t="s">
        <v>984</v>
      </c>
      <c r="C510" s="27">
        <v>44958</v>
      </c>
      <c r="D510" t="s">
        <v>10</v>
      </c>
      <c r="E510" t="s">
        <v>22</v>
      </c>
      <c r="F510">
        <v>1543.21</v>
      </c>
      <c r="G510">
        <v>7</v>
      </c>
      <c r="H510" t="s">
        <v>18</v>
      </c>
    </row>
    <row r="511" spans="1:8" x14ac:dyDescent="0.25">
      <c r="A511" t="s">
        <v>985</v>
      </c>
      <c r="B511" t="s">
        <v>986</v>
      </c>
      <c r="C511" s="27">
        <v>45493</v>
      </c>
      <c r="D511" t="s">
        <v>14</v>
      </c>
      <c r="E511" t="s">
        <v>3370</v>
      </c>
      <c r="F511">
        <v>96.56</v>
      </c>
      <c r="G511">
        <v>7</v>
      </c>
      <c r="H511" t="s">
        <v>3377</v>
      </c>
    </row>
    <row r="512" spans="1:8" x14ac:dyDescent="0.25">
      <c r="A512" t="s">
        <v>987</v>
      </c>
      <c r="B512" t="s">
        <v>988</v>
      </c>
      <c r="C512" s="27">
        <v>45891</v>
      </c>
      <c r="D512" t="s">
        <v>3372</v>
      </c>
      <c r="E512" t="s">
        <v>3371</v>
      </c>
      <c r="F512">
        <v>1222.98</v>
      </c>
      <c r="G512">
        <v>10</v>
      </c>
      <c r="H512" t="s">
        <v>3369</v>
      </c>
    </row>
    <row r="513" spans="1:8" x14ac:dyDescent="0.25">
      <c r="A513" t="s">
        <v>989</v>
      </c>
      <c r="B513" t="s">
        <v>990</v>
      </c>
      <c r="C513" s="27">
        <v>45921</v>
      </c>
      <c r="D513" t="s">
        <v>3372</v>
      </c>
      <c r="E513" t="s">
        <v>25</v>
      </c>
      <c r="G513">
        <v>3</v>
      </c>
      <c r="H513" t="s">
        <v>3369</v>
      </c>
    </row>
    <row r="514" spans="1:8" x14ac:dyDescent="0.25">
      <c r="A514" t="s">
        <v>991</v>
      </c>
      <c r="B514" t="s">
        <v>992</v>
      </c>
      <c r="C514" s="27">
        <v>45443</v>
      </c>
      <c r="D514" t="s">
        <v>14</v>
      </c>
      <c r="E514" t="s">
        <v>3370</v>
      </c>
      <c r="F514">
        <v>1455.73</v>
      </c>
      <c r="H514" t="s">
        <v>35</v>
      </c>
    </row>
    <row r="515" spans="1:8" x14ac:dyDescent="0.25">
      <c r="A515" t="s">
        <v>993</v>
      </c>
      <c r="B515" t="s">
        <v>994</v>
      </c>
      <c r="C515" s="27">
        <v>45718</v>
      </c>
      <c r="D515" t="s">
        <v>14</v>
      </c>
      <c r="E515" t="s">
        <v>34</v>
      </c>
      <c r="F515">
        <v>1634.93</v>
      </c>
      <c r="G515">
        <v>2</v>
      </c>
      <c r="H515" t="s">
        <v>35</v>
      </c>
    </row>
    <row r="516" spans="1:8" x14ac:dyDescent="0.25">
      <c r="A516" t="s">
        <v>995</v>
      </c>
      <c r="B516" t="s">
        <v>996</v>
      </c>
      <c r="C516" s="27">
        <v>45568</v>
      </c>
      <c r="D516" t="s">
        <v>3372</v>
      </c>
      <c r="E516" t="s">
        <v>3371</v>
      </c>
      <c r="F516">
        <v>1045.33</v>
      </c>
      <c r="G516">
        <v>9</v>
      </c>
      <c r="H516" t="s">
        <v>18</v>
      </c>
    </row>
    <row r="517" spans="1:8" x14ac:dyDescent="0.25">
      <c r="A517" t="s">
        <v>997</v>
      </c>
      <c r="B517" t="s">
        <v>103</v>
      </c>
      <c r="C517" s="27">
        <v>44913</v>
      </c>
      <c r="D517" t="s">
        <v>14</v>
      </c>
      <c r="E517" t="s">
        <v>11</v>
      </c>
      <c r="F517">
        <v>488.09</v>
      </c>
      <c r="G517">
        <v>8</v>
      </c>
      <c r="H517" t="s">
        <v>3377</v>
      </c>
    </row>
    <row r="518" spans="1:8" x14ac:dyDescent="0.25">
      <c r="A518" t="s">
        <v>998</v>
      </c>
      <c r="B518" t="s">
        <v>999</v>
      </c>
      <c r="C518" s="27">
        <v>45080</v>
      </c>
      <c r="D518" t="s">
        <v>14</v>
      </c>
      <c r="E518" t="s">
        <v>25</v>
      </c>
      <c r="F518">
        <v>651.55999999999995</v>
      </c>
      <c r="G518">
        <v>3</v>
      </c>
      <c r="H518" t="s">
        <v>3377</v>
      </c>
    </row>
    <row r="519" spans="1:8" x14ac:dyDescent="0.25">
      <c r="A519" t="s">
        <v>1000</v>
      </c>
      <c r="B519" t="s">
        <v>1001</v>
      </c>
      <c r="C519" s="27">
        <v>45265</v>
      </c>
      <c r="D519" t="s">
        <v>10</v>
      </c>
      <c r="E519" t="s">
        <v>3370</v>
      </c>
      <c r="G519">
        <v>8</v>
      </c>
      <c r="H519" t="s">
        <v>35</v>
      </c>
    </row>
    <row r="520" spans="1:8" x14ac:dyDescent="0.25">
      <c r="A520" t="s">
        <v>1002</v>
      </c>
      <c r="B520" t="s">
        <v>1003</v>
      </c>
      <c r="C520" s="27">
        <v>45375</v>
      </c>
      <c r="D520" t="s">
        <v>10</v>
      </c>
      <c r="E520" t="s">
        <v>11</v>
      </c>
      <c r="G520">
        <v>8</v>
      </c>
      <c r="H520" t="s">
        <v>3377</v>
      </c>
    </row>
    <row r="521" spans="1:8" x14ac:dyDescent="0.25">
      <c r="A521" t="s">
        <v>1004</v>
      </c>
      <c r="B521" t="s">
        <v>1005</v>
      </c>
      <c r="C521" s="27">
        <v>45529</v>
      </c>
      <c r="D521" t="s">
        <v>14</v>
      </c>
      <c r="E521" t="s">
        <v>3370</v>
      </c>
      <c r="F521">
        <v>349.79</v>
      </c>
      <c r="G521">
        <v>1</v>
      </c>
      <c r="H521" t="s">
        <v>3377</v>
      </c>
    </row>
    <row r="522" spans="1:8" x14ac:dyDescent="0.25">
      <c r="A522" t="s">
        <v>1006</v>
      </c>
      <c r="B522" t="s">
        <v>1007</v>
      </c>
      <c r="C522" s="27">
        <v>45602</v>
      </c>
      <c r="D522" t="s">
        <v>3372</v>
      </c>
      <c r="E522" t="s">
        <v>34</v>
      </c>
      <c r="F522">
        <v>1017.42</v>
      </c>
      <c r="G522">
        <v>4</v>
      </c>
      <c r="H522" t="s">
        <v>35</v>
      </c>
    </row>
    <row r="523" spans="1:8" x14ac:dyDescent="0.25">
      <c r="A523" t="s">
        <v>1008</v>
      </c>
      <c r="B523" t="s">
        <v>1009</v>
      </c>
      <c r="C523" s="27">
        <v>45691</v>
      </c>
      <c r="D523" t="s">
        <v>21</v>
      </c>
      <c r="E523" t="s">
        <v>3371</v>
      </c>
      <c r="F523">
        <v>801.28</v>
      </c>
      <c r="G523">
        <v>8</v>
      </c>
      <c r="H523" t="s">
        <v>3377</v>
      </c>
    </row>
    <row r="524" spans="1:8" x14ac:dyDescent="0.25">
      <c r="A524" t="s">
        <v>1010</v>
      </c>
      <c r="B524" t="s">
        <v>1011</v>
      </c>
      <c r="C524" s="27">
        <v>45698</v>
      </c>
      <c r="D524" t="s">
        <v>3372</v>
      </c>
      <c r="E524" t="s">
        <v>22</v>
      </c>
      <c r="F524">
        <v>399.12</v>
      </c>
      <c r="H524" t="s">
        <v>15</v>
      </c>
    </row>
    <row r="525" spans="1:8" x14ac:dyDescent="0.25">
      <c r="A525" t="s">
        <v>1012</v>
      </c>
      <c r="B525" t="s">
        <v>1013</v>
      </c>
      <c r="C525" s="27">
        <v>44943</v>
      </c>
      <c r="D525" t="s">
        <v>14</v>
      </c>
      <c r="E525" t="s">
        <v>22</v>
      </c>
      <c r="F525">
        <v>175.99</v>
      </c>
      <c r="G525">
        <v>4</v>
      </c>
      <c r="H525" t="s">
        <v>18</v>
      </c>
    </row>
    <row r="526" spans="1:8" x14ac:dyDescent="0.25">
      <c r="A526" t="s">
        <v>1014</v>
      </c>
      <c r="B526" t="s">
        <v>1015</v>
      </c>
      <c r="C526" s="27">
        <v>45527</v>
      </c>
      <c r="D526" t="s">
        <v>14</v>
      </c>
      <c r="E526" t="s">
        <v>3371</v>
      </c>
      <c r="F526">
        <v>920.8</v>
      </c>
      <c r="G526">
        <v>10</v>
      </c>
      <c r="H526" t="s">
        <v>15</v>
      </c>
    </row>
    <row r="527" spans="1:8" x14ac:dyDescent="0.25">
      <c r="A527" t="s">
        <v>1016</v>
      </c>
      <c r="B527" t="s">
        <v>1017</v>
      </c>
      <c r="C527" s="27">
        <v>44874</v>
      </c>
      <c r="D527" t="s">
        <v>21</v>
      </c>
      <c r="E527" t="s">
        <v>11</v>
      </c>
      <c r="F527">
        <v>1954.71</v>
      </c>
      <c r="G527">
        <v>2</v>
      </c>
      <c r="H527" t="s">
        <v>35</v>
      </c>
    </row>
    <row r="528" spans="1:8" x14ac:dyDescent="0.25">
      <c r="A528" t="s">
        <v>1018</v>
      </c>
      <c r="B528" t="s">
        <v>1019</v>
      </c>
      <c r="C528" s="27">
        <v>45907</v>
      </c>
      <c r="D528" t="s">
        <v>14</v>
      </c>
      <c r="E528" t="s">
        <v>25</v>
      </c>
      <c r="F528">
        <v>264.04000000000002</v>
      </c>
      <c r="G528">
        <v>2</v>
      </c>
      <c r="H528" t="s">
        <v>3377</v>
      </c>
    </row>
    <row r="529" spans="1:8" x14ac:dyDescent="0.25">
      <c r="A529" t="s">
        <v>1020</v>
      </c>
      <c r="B529" t="s">
        <v>1021</v>
      </c>
      <c r="C529" s="27">
        <v>45752</v>
      </c>
      <c r="D529" t="s">
        <v>10</v>
      </c>
      <c r="E529" t="s">
        <v>11</v>
      </c>
      <c r="F529">
        <v>1776.91</v>
      </c>
      <c r="H529" t="s">
        <v>3377</v>
      </c>
    </row>
    <row r="530" spans="1:8" x14ac:dyDescent="0.25">
      <c r="A530" t="s">
        <v>1022</v>
      </c>
      <c r="B530" t="s">
        <v>1023</v>
      </c>
      <c r="C530" s="27">
        <v>45078</v>
      </c>
      <c r="D530" t="s">
        <v>21</v>
      </c>
      <c r="E530" t="s">
        <v>3370</v>
      </c>
      <c r="F530">
        <v>1439.16</v>
      </c>
      <c r="G530">
        <v>5</v>
      </c>
      <c r="H530" t="s">
        <v>3369</v>
      </c>
    </row>
    <row r="531" spans="1:8" x14ac:dyDescent="0.25">
      <c r="A531" t="s">
        <v>1024</v>
      </c>
      <c r="B531" t="s">
        <v>1025</v>
      </c>
      <c r="C531" s="27">
        <v>45527</v>
      </c>
      <c r="D531" t="s">
        <v>3372</v>
      </c>
      <c r="E531" t="s">
        <v>3370</v>
      </c>
      <c r="F531">
        <v>1903.83</v>
      </c>
      <c r="G531">
        <v>3</v>
      </c>
      <c r="H531" t="s">
        <v>3377</v>
      </c>
    </row>
    <row r="532" spans="1:8" x14ac:dyDescent="0.25">
      <c r="A532" t="s">
        <v>1026</v>
      </c>
      <c r="B532" t="s">
        <v>1027</v>
      </c>
      <c r="C532" s="27">
        <v>45492</v>
      </c>
      <c r="D532" t="s">
        <v>14</v>
      </c>
      <c r="E532" t="s">
        <v>22</v>
      </c>
      <c r="F532">
        <v>1324.9</v>
      </c>
      <c r="G532">
        <v>5</v>
      </c>
      <c r="H532" t="s">
        <v>15</v>
      </c>
    </row>
    <row r="533" spans="1:8" x14ac:dyDescent="0.25">
      <c r="A533" t="s">
        <v>1028</v>
      </c>
      <c r="B533" t="s">
        <v>1029</v>
      </c>
      <c r="C533" s="27">
        <v>45650</v>
      </c>
      <c r="D533" t="s">
        <v>21</v>
      </c>
      <c r="E533" t="s">
        <v>22</v>
      </c>
      <c r="F533">
        <v>1502.76</v>
      </c>
      <c r="G533">
        <v>5</v>
      </c>
      <c r="H533" t="s">
        <v>35</v>
      </c>
    </row>
    <row r="534" spans="1:8" x14ac:dyDescent="0.25">
      <c r="A534" t="s">
        <v>1030</v>
      </c>
      <c r="B534" t="s">
        <v>1031</v>
      </c>
      <c r="C534" s="27">
        <v>45869</v>
      </c>
      <c r="D534" t="s">
        <v>21</v>
      </c>
      <c r="E534" t="s">
        <v>11</v>
      </c>
      <c r="F534">
        <v>1634.51</v>
      </c>
      <c r="G534">
        <v>4</v>
      </c>
      <c r="H534" t="s">
        <v>3377</v>
      </c>
    </row>
    <row r="535" spans="1:8" x14ac:dyDescent="0.25">
      <c r="A535" t="s">
        <v>1032</v>
      </c>
      <c r="B535" t="s">
        <v>1033</v>
      </c>
      <c r="C535" s="27">
        <v>44868</v>
      </c>
      <c r="D535" t="s">
        <v>3372</v>
      </c>
      <c r="E535" t="s">
        <v>25</v>
      </c>
      <c r="F535">
        <v>493.68</v>
      </c>
      <c r="H535" t="s">
        <v>18</v>
      </c>
    </row>
    <row r="536" spans="1:8" x14ac:dyDescent="0.25">
      <c r="A536" t="s">
        <v>1034</v>
      </c>
      <c r="B536" t="s">
        <v>1035</v>
      </c>
      <c r="C536" s="27">
        <v>45023</v>
      </c>
      <c r="D536" t="s">
        <v>10</v>
      </c>
      <c r="E536" t="s">
        <v>34</v>
      </c>
      <c r="F536">
        <v>1744.46</v>
      </c>
      <c r="G536">
        <v>6</v>
      </c>
      <c r="H536" t="s">
        <v>18</v>
      </c>
    </row>
    <row r="537" spans="1:8" x14ac:dyDescent="0.25">
      <c r="A537" t="s">
        <v>1036</v>
      </c>
      <c r="B537" t="s">
        <v>1037</v>
      </c>
      <c r="C537" s="27">
        <v>45810</v>
      </c>
      <c r="D537" t="s">
        <v>21</v>
      </c>
      <c r="E537" t="s">
        <v>22</v>
      </c>
      <c r="F537">
        <v>395.28</v>
      </c>
      <c r="G537">
        <v>3</v>
      </c>
      <c r="H537" t="s">
        <v>3369</v>
      </c>
    </row>
    <row r="538" spans="1:8" x14ac:dyDescent="0.25">
      <c r="A538" t="s">
        <v>1038</v>
      </c>
      <c r="B538" t="s">
        <v>1039</v>
      </c>
      <c r="C538" s="27">
        <v>44974</v>
      </c>
      <c r="D538" t="s">
        <v>14</v>
      </c>
      <c r="E538" t="s">
        <v>34</v>
      </c>
      <c r="F538">
        <v>574.44000000000005</v>
      </c>
      <c r="G538">
        <v>8</v>
      </c>
      <c r="H538" t="s">
        <v>15</v>
      </c>
    </row>
    <row r="539" spans="1:8" x14ac:dyDescent="0.25">
      <c r="A539" t="s">
        <v>1040</v>
      </c>
      <c r="B539" t="s">
        <v>1041</v>
      </c>
      <c r="C539" s="27">
        <v>45571</v>
      </c>
      <c r="D539" t="s">
        <v>3372</v>
      </c>
      <c r="E539" t="s">
        <v>3371</v>
      </c>
      <c r="F539">
        <v>62.78</v>
      </c>
      <c r="G539">
        <v>2</v>
      </c>
      <c r="H539" t="s">
        <v>15</v>
      </c>
    </row>
    <row r="540" spans="1:8" x14ac:dyDescent="0.25">
      <c r="A540" t="s">
        <v>1042</v>
      </c>
      <c r="B540" t="s">
        <v>1043</v>
      </c>
      <c r="C540" s="27">
        <v>45402</v>
      </c>
      <c r="D540" t="s">
        <v>10</v>
      </c>
      <c r="E540" t="s">
        <v>3370</v>
      </c>
      <c r="F540">
        <v>331.76</v>
      </c>
      <c r="G540">
        <v>2</v>
      </c>
      <c r="H540" t="s">
        <v>3369</v>
      </c>
    </row>
    <row r="541" spans="1:8" x14ac:dyDescent="0.25">
      <c r="A541" t="s">
        <v>1044</v>
      </c>
      <c r="B541" t="s">
        <v>1045</v>
      </c>
      <c r="C541" s="27">
        <v>45056</v>
      </c>
      <c r="D541" t="s">
        <v>14</v>
      </c>
      <c r="E541" t="s">
        <v>25</v>
      </c>
      <c r="F541">
        <v>1199.3599999999999</v>
      </c>
      <c r="G541">
        <v>3</v>
      </c>
      <c r="H541" t="s">
        <v>3369</v>
      </c>
    </row>
    <row r="542" spans="1:8" x14ac:dyDescent="0.25">
      <c r="A542" t="s">
        <v>1046</v>
      </c>
      <c r="B542" t="s">
        <v>1047</v>
      </c>
      <c r="C542" s="27">
        <v>45708</v>
      </c>
      <c r="D542" t="s">
        <v>3372</v>
      </c>
      <c r="E542" t="s">
        <v>22</v>
      </c>
      <c r="F542">
        <v>629.54</v>
      </c>
      <c r="G542">
        <v>8</v>
      </c>
      <c r="H542" t="s">
        <v>15</v>
      </c>
    </row>
    <row r="543" spans="1:8" x14ac:dyDescent="0.25">
      <c r="A543" t="s">
        <v>1048</v>
      </c>
      <c r="B543" t="s">
        <v>1049</v>
      </c>
      <c r="C543" s="27">
        <v>45601</v>
      </c>
      <c r="D543" t="s">
        <v>21</v>
      </c>
      <c r="E543" t="s">
        <v>34</v>
      </c>
      <c r="F543">
        <v>1131.1400000000001</v>
      </c>
      <c r="G543">
        <v>6</v>
      </c>
      <c r="H543" t="s">
        <v>18</v>
      </c>
    </row>
    <row r="544" spans="1:8" x14ac:dyDescent="0.25">
      <c r="A544" t="s">
        <v>1050</v>
      </c>
      <c r="B544" t="s">
        <v>1051</v>
      </c>
      <c r="C544" s="27">
        <v>45543</v>
      </c>
      <c r="D544" t="s">
        <v>14</v>
      </c>
      <c r="E544" t="s">
        <v>3371</v>
      </c>
      <c r="F544">
        <v>1896.62</v>
      </c>
      <c r="G544">
        <v>4</v>
      </c>
      <c r="H544" t="s">
        <v>35</v>
      </c>
    </row>
    <row r="545" spans="1:8" x14ac:dyDescent="0.25">
      <c r="A545" t="s">
        <v>1052</v>
      </c>
      <c r="B545" t="s">
        <v>1053</v>
      </c>
      <c r="C545" s="27">
        <v>45858</v>
      </c>
      <c r="D545" t="s">
        <v>10</v>
      </c>
      <c r="E545" t="s">
        <v>3370</v>
      </c>
      <c r="F545">
        <v>672.47</v>
      </c>
      <c r="G545">
        <v>1</v>
      </c>
      <c r="H545" t="s">
        <v>3377</v>
      </c>
    </row>
    <row r="546" spans="1:8" x14ac:dyDescent="0.25">
      <c r="A546" t="s">
        <v>1054</v>
      </c>
      <c r="B546" t="s">
        <v>1055</v>
      </c>
      <c r="C546" s="27">
        <v>45258</v>
      </c>
      <c r="D546" t="s">
        <v>21</v>
      </c>
      <c r="E546" t="s">
        <v>25</v>
      </c>
      <c r="F546">
        <v>330.47</v>
      </c>
      <c r="G546">
        <v>2</v>
      </c>
      <c r="H546" t="s">
        <v>18</v>
      </c>
    </row>
    <row r="547" spans="1:8" x14ac:dyDescent="0.25">
      <c r="A547" t="s">
        <v>1056</v>
      </c>
      <c r="B547" t="s">
        <v>1057</v>
      </c>
      <c r="C547" s="27">
        <v>45555</v>
      </c>
      <c r="D547" t="s">
        <v>10</v>
      </c>
      <c r="E547" t="s">
        <v>34</v>
      </c>
      <c r="F547">
        <v>1724.76</v>
      </c>
      <c r="G547">
        <v>9</v>
      </c>
      <c r="H547" t="s">
        <v>3369</v>
      </c>
    </row>
    <row r="548" spans="1:8" x14ac:dyDescent="0.25">
      <c r="A548" t="s">
        <v>1058</v>
      </c>
      <c r="B548" t="s">
        <v>1059</v>
      </c>
      <c r="C548" s="27">
        <v>45262</v>
      </c>
      <c r="D548" t="s">
        <v>3372</v>
      </c>
      <c r="E548" t="s">
        <v>25</v>
      </c>
      <c r="F548">
        <v>1869.56</v>
      </c>
      <c r="G548">
        <v>5</v>
      </c>
      <c r="H548" t="s">
        <v>3369</v>
      </c>
    </row>
    <row r="549" spans="1:8" x14ac:dyDescent="0.25">
      <c r="A549" t="s">
        <v>1060</v>
      </c>
      <c r="B549" t="s">
        <v>1061</v>
      </c>
      <c r="C549" s="27">
        <v>45172</v>
      </c>
      <c r="D549" t="s">
        <v>3372</v>
      </c>
      <c r="E549" t="s">
        <v>22</v>
      </c>
      <c r="F549">
        <v>1910.65</v>
      </c>
      <c r="G549">
        <v>2</v>
      </c>
      <c r="H549" t="s">
        <v>3369</v>
      </c>
    </row>
    <row r="550" spans="1:8" x14ac:dyDescent="0.25">
      <c r="A550" t="s">
        <v>1062</v>
      </c>
      <c r="B550" t="s">
        <v>1063</v>
      </c>
      <c r="C550" s="27">
        <v>44951</v>
      </c>
      <c r="D550" t="s">
        <v>3372</v>
      </c>
      <c r="E550" t="s">
        <v>3370</v>
      </c>
      <c r="F550">
        <v>1466.22</v>
      </c>
      <c r="G550">
        <v>3</v>
      </c>
      <c r="H550" t="s">
        <v>3369</v>
      </c>
    </row>
    <row r="551" spans="1:8" x14ac:dyDescent="0.25">
      <c r="A551" t="s">
        <v>1064</v>
      </c>
      <c r="B551" t="s">
        <v>1065</v>
      </c>
      <c r="C551" s="27">
        <v>45407</v>
      </c>
      <c r="D551" t="s">
        <v>21</v>
      </c>
      <c r="E551" t="s">
        <v>3371</v>
      </c>
      <c r="F551">
        <v>810.97</v>
      </c>
      <c r="G551">
        <v>1</v>
      </c>
      <c r="H551" t="s">
        <v>3377</v>
      </c>
    </row>
    <row r="552" spans="1:8" x14ac:dyDescent="0.25">
      <c r="A552" t="s">
        <v>3393</v>
      </c>
      <c r="B552" t="s">
        <v>3394</v>
      </c>
      <c r="C552" s="27">
        <v>45629</v>
      </c>
      <c r="D552" t="s">
        <v>21</v>
      </c>
      <c r="E552" t="s">
        <v>34</v>
      </c>
      <c r="G552">
        <v>6</v>
      </c>
      <c r="H552" t="s">
        <v>35</v>
      </c>
    </row>
    <row r="553" spans="1:8" x14ac:dyDescent="0.25">
      <c r="A553" t="s">
        <v>1066</v>
      </c>
      <c r="B553" t="s">
        <v>1067</v>
      </c>
      <c r="C553" s="27">
        <v>45095</v>
      </c>
      <c r="D553" t="s">
        <v>3372</v>
      </c>
      <c r="E553" t="s">
        <v>34</v>
      </c>
      <c r="F553">
        <v>1156.4100000000001</v>
      </c>
      <c r="G553">
        <v>8</v>
      </c>
      <c r="H553" t="s">
        <v>35</v>
      </c>
    </row>
    <row r="554" spans="1:8" x14ac:dyDescent="0.25">
      <c r="A554" t="s">
        <v>1068</v>
      </c>
      <c r="B554" t="s">
        <v>405</v>
      </c>
      <c r="C554" s="27">
        <v>45572</v>
      </c>
      <c r="D554" t="s">
        <v>14</v>
      </c>
      <c r="E554" t="s">
        <v>25</v>
      </c>
      <c r="F554">
        <v>1702.17</v>
      </c>
      <c r="G554">
        <v>7</v>
      </c>
      <c r="H554" t="s">
        <v>15</v>
      </c>
    </row>
    <row r="555" spans="1:8" x14ac:dyDescent="0.25">
      <c r="A555" t="s">
        <v>1069</v>
      </c>
      <c r="B555" t="s">
        <v>1070</v>
      </c>
      <c r="C555" s="27">
        <v>44945</v>
      </c>
      <c r="D555" t="s">
        <v>21</v>
      </c>
      <c r="E555" t="s">
        <v>34</v>
      </c>
      <c r="F555">
        <v>1069.8699999999999</v>
      </c>
      <c r="G555">
        <v>10</v>
      </c>
      <c r="H555" t="s">
        <v>35</v>
      </c>
    </row>
    <row r="556" spans="1:8" x14ac:dyDescent="0.25">
      <c r="A556" t="s">
        <v>1071</v>
      </c>
      <c r="B556" t="s">
        <v>1072</v>
      </c>
      <c r="C556" s="27">
        <v>45865</v>
      </c>
      <c r="D556" t="s">
        <v>3372</v>
      </c>
      <c r="E556" t="s">
        <v>22</v>
      </c>
      <c r="F556">
        <v>1961.31</v>
      </c>
      <c r="G556">
        <v>7</v>
      </c>
      <c r="H556" t="s">
        <v>3369</v>
      </c>
    </row>
    <row r="557" spans="1:8" x14ac:dyDescent="0.25">
      <c r="A557" t="s">
        <v>1073</v>
      </c>
      <c r="B557" t="s">
        <v>1074</v>
      </c>
      <c r="C557" s="27">
        <v>45445</v>
      </c>
      <c r="D557" t="s">
        <v>14</v>
      </c>
      <c r="E557" t="s">
        <v>11</v>
      </c>
      <c r="F557">
        <v>204.24</v>
      </c>
      <c r="G557">
        <v>7</v>
      </c>
      <c r="H557" t="s">
        <v>18</v>
      </c>
    </row>
    <row r="558" spans="1:8" x14ac:dyDescent="0.25">
      <c r="A558" t="s">
        <v>1075</v>
      </c>
      <c r="B558" t="s">
        <v>1076</v>
      </c>
      <c r="C558" s="27">
        <v>45359</v>
      </c>
      <c r="D558" t="s">
        <v>10</v>
      </c>
      <c r="E558" t="s">
        <v>25</v>
      </c>
      <c r="F558">
        <v>1749.27</v>
      </c>
      <c r="G558">
        <v>8</v>
      </c>
      <c r="H558" t="s">
        <v>15</v>
      </c>
    </row>
    <row r="559" spans="1:8" x14ac:dyDescent="0.25">
      <c r="A559" t="s">
        <v>1077</v>
      </c>
      <c r="B559" t="s">
        <v>1078</v>
      </c>
      <c r="C559" s="27">
        <v>44926</v>
      </c>
      <c r="D559" t="s">
        <v>3372</v>
      </c>
      <c r="E559" t="s">
        <v>25</v>
      </c>
      <c r="F559">
        <v>716.31</v>
      </c>
      <c r="G559">
        <v>8</v>
      </c>
      <c r="H559" t="s">
        <v>18</v>
      </c>
    </row>
    <row r="560" spans="1:8" x14ac:dyDescent="0.25">
      <c r="A560" t="s">
        <v>1079</v>
      </c>
      <c r="B560" t="s">
        <v>1080</v>
      </c>
      <c r="C560" s="27">
        <v>45286</v>
      </c>
      <c r="D560" t="s">
        <v>10</v>
      </c>
      <c r="E560" t="s">
        <v>3370</v>
      </c>
      <c r="F560">
        <v>927.83</v>
      </c>
      <c r="G560">
        <v>4</v>
      </c>
      <c r="H560" t="s">
        <v>15</v>
      </c>
    </row>
    <row r="561" spans="1:8" x14ac:dyDescent="0.25">
      <c r="A561" t="s">
        <v>1081</v>
      </c>
      <c r="B561" t="s">
        <v>1082</v>
      </c>
      <c r="C561" s="27">
        <v>45206</v>
      </c>
      <c r="D561" t="s">
        <v>3372</v>
      </c>
      <c r="E561" t="s">
        <v>34</v>
      </c>
      <c r="F561">
        <v>1508.91</v>
      </c>
      <c r="G561">
        <v>10</v>
      </c>
      <c r="H561" t="s">
        <v>15</v>
      </c>
    </row>
    <row r="562" spans="1:8" x14ac:dyDescent="0.25">
      <c r="A562" t="s">
        <v>1083</v>
      </c>
      <c r="B562" t="s">
        <v>1084</v>
      </c>
      <c r="C562" s="27">
        <v>45486</v>
      </c>
      <c r="D562" t="s">
        <v>14</v>
      </c>
      <c r="E562" t="s">
        <v>11</v>
      </c>
      <c r="F562">
        <v>408.61</v>
      </c>
      <c r="G562">
        <v>10</v>
      </c>
      <c r="H562" t="s">
        <v>35</v>
      </c>
    </row>
    <row r="563" spans="1:8" x14ac:dyDescent="0.25">
      <c r="A563" t="s">
        <v>1085</v>
      </c>
      <c r="B563" t="s">
        <v>1086</v>
      </c>
      <c r="C563" s="27">
        <v>45003</v>
      </c>
      <c r="D563" t="s">
        <v>21</v>
      </c>
      <c r="E563" t="s">
        <v>3370</v>
      </c>
      <c r="F563">
        <v>1837.13</v>
      </c>
      <c r="G563">
        <v>1</v>
      </c>
      <c r="H563" t="s">
        <v>3377</v>
      </c>
    </row>
    <row r="564" spans="1:8" x14ac:dyDescent="0.25">
      <c r="A564" t="s">
        <v>1087</v>
      </c>
      <c r="B564" t="s">
        <v>1088</v>
      </c>
      <c r="C564" s="27">
        <v>45352</v>
      </c>
      <c r="D564" t="s">
        <v>21</v>
      </c>
      <c r="E564" t="s">
        <v>3370</v>
      </c>
      <c r="F564">
        <v>1350.62</v>
      </c>
      <c r="G564">
        <v>3</v>
      </c>
      <c r="H564" t="s">
        <v>15</v>
      </c>
    </row>
    <row r="565" spans="1:8" x14ac:dyDescent="0.25">
      <c r="A565" t="s">
        <v>1089</v>
      </c>
      <c r="B565" t="s">
        <v>1090</v>
      </c>
      <c r="C565" s="27">
        <v>45229</v>
      </c>
      <c r="D565" t="s">
        <v>21</v>
      </c>
      <c r="E565" t="s">
        <v>22</v>
      </c>
      <c r="G565">
        <v>1</v>
      </c>
      <c r="H565" t="s">
        <v>35</v>
      </c>
    </row>
    <row r="566" spans="1:8" x14ac:dyDescent="0.25">
      <c r="A566" t="s">
        <v>1091</v>
      </c>
      <c r="B566" t="s">
        <v>1092</v>
      </c>
      <c r="C566" s="27">
        <v>45702</v>
      </c>
      <c r="D566" t="s">
        <v>10</v>
      </c>
      <c r="E566" t="s">
        <v>3370</v>
      </c>
      <c r="F566">
        <v>1168.3599999999999</v>
      </c>
      <c r="G566">
        <v>9</v>
      </c>
      <c r="H566" t="s">
        <v>35</v>
      </c>
    </row>
    <row r="567" spans="1:8" x14ac:dyDescent="0.25">
      <c r="A567" t="s">
        <v>1093</v>
      </c>
      <c r="B567" t="s">
        <v>1094</v>
      </c>
      <c r="C567" s="27">
        <v>45813</v>
      </c>
      <c r="D567" t="s">
        <v>21</v>
      </c>
      <c r="E567" t="s">
        <v>25</v>
      </c>
      <c r="F567">
        <v>775.06</v>
      </c>
      <c r="G567">
        <v>2</v>
      </c>
      <c r="H567" t="s">
        <v>15</v>
      </c>
    </row>
    <row r="568" spans="1:8" x14ac:dyDescent="0.25">
      <c r="A568" t="s">
        <v>1095</v>
      </c>
      <c r="B568" t="s">
        <v>1096</v>
      </c>
      <c r="C568" s="27">
        <v>45126</v>
      </c>
      <c r="D568" t="s">
        <v>21</v>
      </c>
      <c r="E568" t="s">
        <v>11</v>
      </c>
      <c r="F568">
        <v>576.52</v>
      </c>
      <c r="G568">
        <v>6</v>
      </c>
      <c r="H568" t="s">
        <v>3369</v>
      </c>
    </row>
    <row r="569" spans="1:8" x14ac:dyDescent="0.25">
      <c r="A569" t="s">
        <v>1097</v>
      </c>
      <c r="B569" t="s">
        <v>1098</v>
      </c>
      <c r="C569" s="27">
        <v>45321</v>
      </c>
      <c r="D569" t="s">
        <v>3372</v>
      </c>
      <c r="E569" t="s">
        <v>25</v>
      </c>
      <c r="F569">
        <v>261.39</v>
      </c>
      <c r="G569">
        <v>5</v>
      </c>
      <c r="H569" t="s">
        <v>35</v>
      </c>
    </row>
    <row r="570" spans="1:8" x14ac:dyDescent="0.25">
      <c r="A570" t="s">
        <v>1099</v>
      </c>
      <c r="B570" t="s">
        <v>1100</v>
      </c>
      <c r="C570" s="27">
        <v>45291</v>
      </c>
      <c r="D570" t="s">
        <v>21</v>
      </c>
      <c r="E570" t="s">
        <v>3371</v>
      </c>
      <c r="F570">
        <v>413.15</v>
      </c>
      <c r="H570" t="s">
        <v>15</v>
      </c>
    </row>
    <row r="571" spans="1:8" x14ac:dyDescent="0.25">
      <c r="A571" t="s">
        <v>1101</v>
      </c>
      <c r="B571" t="s">
        <v>1102</v>
      </c>
      <c r="C571" s="27">
        <v>45488</v>
      </c>
      <c r="D571" t="s">
        <v>14</v>
      </c>
      <c r="E571" t="s">
        <v>11</v>
      </c>
      <c r="F571">
        <v>567.57000000000005</v>
      </c>
      <c r="G571">
        <v>9</v>
      </c>
      <c r="H571" t="s">
        <v>3369</v>
      </c>
    </row>
    <row r="572" spans="1:8" x14ac:dyDescent="0.25">
      <c r="A572" t="s">
        <v>1103</v>
      </c>
      <c r="B572" t="s">
        <v>1104</v>
      </c>
      <c r="C572" s="27">
        <v>45879</v>
      </c>
      <c r="D572" t="s">
        <v>10</v>
      </c>
      <c r="E572" t="s">
        <v>3370</v>
      </c>
      <c r="F572">
        <v>250.33</v>
      </c>
      <c r="G572">
        <v>6</v>
      </c>
      <c r="H572" t="s">
        <v>18</v>
      </c>
    </row>
    <row r="573" spans="1:8" x14ac:dyDescent="0.25">
      <c r="A573" t="s">
        <v>1105</v>
      </c>
      <c r="B573" t="s">
        <v>1106</v>
      </c>
      <c r="C573" s="27">
        <v>45562</v>
      </c>
      <c r="D573" t="s">
        <v>14</v>
      </c>
      <c r="E573" t="s">
        <v>25</v>
      </c>
      <c r="F573">
        <v>1331.48</v>
      </c>
      <c r="G573">
        <v>1</v>
      </c>
      <c r="H573" t="s">
        <v>35</v>
      </c>
    </row>
    <row r="574" spans="1:8" x14ac:dyDescent="0.25">
      <c r="A574" t="s">
        <v>1107</v>
      </c>
      <c r="B574" t="s">
        <v>1108</v>
      </c>
      <c r="C574" s="27">
        <v>45218</v>
      </c>
      <c r="D574" t="s">
        <v>10</v>
      </c>
      <c r="E574" t="s">
        <v>22</v>
      </c>
      <c r="F574">
        <v>434.97</v>
      </c>
      <c r="G574">
        <v>4</v>
      </c>
      <c r="H574" t="s">
        <v>15</v>
      </c>
    </row>
    <row r="575" spans="1:8" x14ac:dyDescent="0.25">
      <c r="A575" t="s">
        <v>1109</v>
      </c>
      <c r="B575" t="s">
        <v>1110</v>
      </c>
      <c r="C575" s="27">
        <v>45025</v>
      </c>
      <c r="D575" t="s">
        <v>3372</v>
      </c>
      <c r="E575" t="s">
        <v>25</v>
      </c>
      <c r="F575">
        <v>1542.94</v>
      </c>
      <c r="G575">
        <v>2</v>
      </c>
      <c r="H575" t="s">
        <v>18</v>
      </c>
    </row>
    <row r="576" spans="1:8" x14ac:dyDescent="0.25">
      <c r="A576" t="s">
        <v>1111</v>
      </c>
      <c r="B576" t="s">
        <v>1112</v>
      </c>
      <c r="C576" s="27">
        <v>45362</v>
      </c>
      <c r="D576" t="s">
        <v>10</v>
      </c>
      <c r="E576" t="s">
        <v>25</v>
      </c>
      <c r="F576">
        <v>446.95</v>
      </c>
      <c r="H576" t="s">
        <v>3377</v>
      </c>
    </row>
    <row r="577" spans="1:8" x14ac:dyDescent="0.25">
      <c r="A577" t="s">
        <v>1113</v>
      </c>
      <c r="B577" t="s">
        <v>1114</v>
      </c>
      <c r="C577" s="27">
        <v>45947</v>
      </c>
      <c r="D577" t="s">
        <v>3372</v>
      </c>
      <c r="E577" t="s">
        <v>3371</v>
      </c>
      <c r="F577">
        <v>1774.26</v>
      </c>
      <c r="G577">
        <v>8</v>
      </c>
      <c r="H577" t="s">
        <v>18</v>
      </c>
    </row>
    <row r="578" spans="1:8" x14ac:dyDescent="0.25">
      <c r="A578" t="s">
        <v>1115</v>
      </c>
      <c r="B578" t="s">
        <v>1116</v>
      </c>
      <c r="C578" s="27">
        <v>44970</v>
      </c>
      <c r="D578" t="s">
        <v>10</v>
      </c>
      <c r="E578" t="s">
        <v>34</v>
      </c>
      <c r="F578">
        <v>1735.29</v>
      </c>
      <c r="G578">
        <v>9</v>
      </c>
      <c r="H578" t="s">
        <v>35</v>
      </c>
    </row>
    <row r="579" spans="1:8" x14ac:dyDescent="0.25">
      <c r="A579" t="s">
        <v>1117</v>
      </c>
      <c r="B579" t="s">
        <v>1118</v>
      </c>
      <c r="C579" s="27">
        <v>45335</v>
      </c>
      <c r="D579" t="s">
        <v>3372</v>
      </c>
      <c r="E579" t="s">
        <v>3370</v>
      </c>
      <c r="F579">
        <v>1064.6500000000001</v>
      </c>
      <c r="G579">
        <v>4</v>
      </c>
      <c r="H579" t="s">
        <v>15</v>
      </c>
    </row>
    <row r="580" spans="1:8" x14ac:dyDescent="0.25">
      <c r="A580" t="s">
        <v>1119</v>
      </c>
      <c r="B580" t="s">
        <v>1120</v>
      </c>
      <c r="C580" s="27">
        <v>44861</v>
      </c>
      <c r="D580" t="s">
        <v>21</v>
      </c>
      <c r="E580" t="s">
        <v>3371</v>
      </c>
      <c r="F580">
        <v>556.15</v>
      </c>
      <c r="G580">
        <v>6</v>
      </c>
      <c r="H580" t="s">
        <v>3377</v>
      </c>
    </row>
    <row r="581" spans="1:8" x14ac:dyDescent="0.25">
      <c r="A581" t="s">
        <v>1121</v>
      </c>
      <c r="B581" t="s">
        <v>1122</v>
      </c>
      <c r="C581" s="27">
        <v>44878</v>
      </c>
      <c r="D581" t="s">
        <v>10</v>
      </c>
      <c r="E581" t="s">
        <v>34</v>
      </c>
      <c r="F581">
        <v>1852.85</v>
      </c>
      <c r="G581">
        <v>8</v>
      </c>
      <c r="H581" t="s">
        <v>18</v>
      </c>
    </row>
    <row r="582" spans="1:8" x14ac:dyDescent="0.25">
      <c r="A582" t="s">
        <v>1123</v>
      </c>
      <c r="B582" t="s">
        <v>283</v>
      </c>
      <c r="C582" s="27">
        <v>45625</v>
      </c>
      <c r="D582" t="s">
        <v>14</v>
      </c>
      <c r="E582" t="s">
        <v>25</v>
      </c>
      <c r="F582">
        <v>247.56</v>
      </c>
      <c r="G582">
        <v>9</v>
      </c>
      <c r="H582" t="s">
        <v>3377</v>
      </c>
    </row>
    <row r="583" spans="1:8" x14ac:dyDescent="0.25">
      <c r="A583" t="s">
        <v>1124</v>
      </c>
      <c r="B583" t="s">
        <v>1125</v>
      </c>
      <c r="C583" s="27">
        <v>45116</v>
      </c>
      <c r="D583" t="s">
        <v>21</v>
      </c>
      <c r="E583" t="s">
        <v>11</v>
      </c>
      <c r="F583">
        <v>1388.66</v>
      </c>
      <c r="G583">
        <v>2</v>
      </c>
      <c r="H583" t="s">
        <v>15</v>
      </c>
    </row>
    <row r="584" spans="1:8" x14ac:dyDescent="0.25">
      <c r="A584" t="s">
        <v>1126</v>
      </c>
      <c r="B584" t="s">
        <v>1127</v>
      </c>
      <c r="C584" s="27">
        <v>45715</v>
      </c>
      <c r="D584" t="s">
        <v>21</v>
      </c>
      <c r="E584" t="s">
        <v>25</v>
      </c>
      <c r="F584">
        <v>435.35</v>
      </c>
      <c r="G584">
        <v>2</v>
      </c>
      <c r="H584" t="s">
        <v>18</v>
      </c>
    </row>
    <row r="585" spans="1:8" x14ac:dyDescent="0.25">
      <c r="A585" t="s">
        <v>1128</v>
      </c>
      <c r="B585" t="s">
        <v>1129</v>
      </c>
      <c r="C585" s="27">
        <v>45182</v>
      </c>
      <c r="D585" t="s">
        <v>14</v>
      </c>
      <c r="E585" t="s">
        <v>25</v>
      </c>
      <c r="F585">
        <v>889.67</v>
      </c>
      <c r="G585">
        <v>2</v>
      </c>
      <c r="H585" t="s">
        <v>35</v>
      </c>
    </row>
    <row r="586" spans="1:8" x14ac:dyDescent="0.25">
      <c r="A586" t="s">
        <v>1130</v>
      </c>
      <c r="B586" t="s">
        <v>1131</v>
      </c>
      <c r="C586" s="27">
        <v>45304</v>
      </c>
      <c r="D586" t="s">
        <v>3372</v>
      </c>
      <c r="E586" t="s">
        <v>3371</v>
      </c>
      <c r="G586">
        <v>4</v>
      </c>
      <c r="H586" t="s">
        <v>15</v>
      </c>
    </row>
    <row r="587" spans="1:8" x14ac:dyDescent="0.25">
      <c r="A587" t="s">
        <v>3382</v>
      </c>
      <c r="B587" t="s">
        <v>3383</v>
      </c>
      <c r="C587" s="27">
        <v>45693</v>
      </c>
      <c r="D587" t="s">
        <v>3372</v>
      </c>
      <c r="E587" t="s">
        <v>11</v>
      </c>
      <c r="F587">
        <v>1078.81</v>
      </c>
      <c r="G587">
        <v>8</v>
      </c>
      <c r="H587" t="s">
        <v>18</v>
      </c>
    </row>
    <row r="588" spans="1:8" x14ac:dyDescent="0.25">
      <c r="A588" t="s">
        <v>1132</v>
      </c>
      <c r="B588" t="s">
        <v>1133</v>
      </c>
      <c r="C588" s="27">
        <v>44991</v>
      </c>
      <c r="D588" t="s">
        <v>14</v>
      </c>
      <c r="E588" t="s">
        <v>3370</v>
      </c>
      <c r="F588">
        <v>264.35000000000002</v>
      </c>
      <c r="G588">
        <v>1</v>
      </c>
      <c r="H588" t="s">
        <v>18</v>
      </c>
    </row>
    <row r="589" spans="1:8" x14ac:dyDescent="0.25">
      <c r="A589" t="s">
        <v>1134</v>
      </c>
      <c r="B589" t="s">
        <v>1135</v>
      </c>
      <c r="C589" s="27">
        <v>45335</v>
      </c>
      <c r="D589" t="s">
        <v>21</v>
      </c>
      <c r="E589" t="s">
        <v>22</v>
      </c>
      <c r="F589">
        <v>1777.15</v>
      </c>
      <c r="G589">
        <v>6</v>
      </c>
      <c r="H589" t="s">
        <v>15</v>
      </c>
    </row>
    <row r="590" spans="1:8" x14ac:dyDescent="0.25">
      <c r="A590" t="s">
        <v>1136</v>
      </c>
      <c r="B590" t="s">
        <v>407</v>
      </c>
      <c r="C590" s="27">
        <v>45162</v>
      </c>
      <c r="D590" t="s">
        <v>14</v>
      </c>
      <c r="E590" t="s">
        <v>3370</v>
      </c>
      <c r="F590">
        <v>1854.35</v>
      </c>
      <c r="G590">
        <v>2</v>
      </c>
      <c r="H590" t="s">
        <v>18</v>
      </c>
    </row>
    <row r="591" spans="1:8" x14ac:dyDescent="0.25">
      <c r="A591" t="s">
        <v>1137</v>
      </c>
      <c r="B591" t="s">
        <v>451</v>
      </c>
      <c r="C591" s="27">
        <v>45497</v>
      </c>
      <c r="D591" t="s">
        <v>21</v>
      </c>
      <c r="E591" t="s">
        <v>3371</v>
      </c>
      <c r="F591">
        <v>1882.97</v>
      </c>
      <c r="G591">
        <v>6</v>
      </c>
      <c r="H591" t="s">
        <v>35</v>
      </c>
    </row>
    <row r="592" spans="1:8" x14ac:dyDescent="0.25">
      <c r="A592" t="s">
        <v>1138</v>
      </c>
      <c r="B592" t="s">
        <v>1139</v>
      </c>
      <c r="C592" s="27">
        <v>45310</v>
      </c>
      <c r="D592" t="s">
        <v>3372</v>
      </c>
      <c r="E592" t="s">
        <v>3371</v>
      </c>
      <c r="F592">
        <v>1595.4</v>
      </c>
      <c r="G592">
        <v>10</v>
      </c>
      <c r="H592" t="s">
        <v>35</v>
      </c>
    </row>
    <row r="593" spans="1:8" x14ac:dyDescent="0.25">
      <c r="A593" t="s">
        <v>1140</v>
      </c>
      <c r="B593" t="s">
        <v>1141</v>
      </c>
      <c r="C593" s="27">
        <v>45631</v>
      </c>
      <c r="D593" t="s">
        <v>10</v>
      </c>
      <c r="E593" t="s">
        <v>11</v>
      </c>
      <c r="F593">
        <v>1893.17</v>
      </c>
      <c r="G593">
        <v>7</v>
      </c>
      <c r="H593" t="s">
        <v>18</v>
      </c>
    </row>
    <row r="594" spans="1:8" x14ac:dyDescent="0.25">
      <c r="A594" t="s">
        <v>1142</v>
      </c>
      <c r="B594" t="s">
        <v>1143</v>
      </c>
      <c r="C594" s="27">
        <v>45340</v>
      </c>
      <c r="D594" t="s">
        <v>21</v>
      </c>
      <c r="E594" t="s">
        <v>11</v>
      </c>
      <c r="F594">
        <v>529.82000000000005</v>
      </c>
      <c r="G594">
        <v>7</v>
      </c>
      <c r="H594" t="s">
        <v>3369</v>
      </c>
    </row>
    <row r="595" spans="1:8" x14ac:dyDescent="0.25">
      <c r="A595" t="s">
        <v>1144</v>
      </c>
      <c r="B595" t="s">
        <v>75</v>
      </c>
      <c r="C595" s="27">
        <v>45766</v>
      </c>
      <c r="D595" t="s">
        <v>3372</v>
      </c>
      <c r="E595" t="s">
        <v>34</v>
      </c>
      <c r="F595">
        <v>634.49</v>
      </c>
      <c r="G595">
        <v>8</v>
      </c>
      <c r="H595" t="s">
        <v>3377</v>
      </c>
    </row>
    <row r="596" spans="1:8" x14ac:dyDescent="0.25">
      <c r="A596" t="s">
        <v>1145</v>
      </c>
      <c r="B596" t="s">
        <v>1146</v>
      </c>
      <c r="C596" s="27">
        <v>45361</v>
      </c>
      <c r="D596" t="s">
        <v>3372</v>
      </c>
      <c r="E596" t="s">
        <v>34</v>
      </c>
      <c r="F596">
        <v>1998.45</v>
      </c>
      <c r="G596">
        <v>6</v>
      </c>
      <c r="H596" t="s">
        <v>3377</v>
      </c>
    </row>
    <row r="597" spans="1:8" x14ac:dyDescent="0.25">
      <c r="A597" t="s">
        <v>1147</v>
      </c>
      <c r="B597" t="s">
        <v>1148</v>
      </c>
      <c r="C597" s="27">
        <v>44939</v>
      </c>
      <c r="D597" t="s">
        <v>3372</v>
      </c>
      <c r="E597" t="s">
        <v>34</v>
      </c>
      <c r="G597">
        <v>3</v>
      </c>
      <c r="H597" t="s">
        <v>3377</v>
      </c>
    </row>
    <row r="598" spans="1:8" x14ac:dyDescent="0.25">
      <c r="A598" t="s">
        <v>1149</v>
      </c>
      <c r="B598" t="s">
        <v>1150</v>
      </c>
      <c r="C598" s="27">
        <v>45145</v>
      </c>
      <c r="D598" t="s">
        <v>14</v>
      </c>
      <c r="E598" t="s">
        <v>3370</v>
      </c>
      <c r="F598">
        <v>1079.8399999999999</v>
      </c>
      <c r="G598">
        <v>1</v>
      </c>
      <c r="H598" t="s">
        <v>3377</v>
      </c>
    </row>
    <row r="599" spans="1:8" x14ac:dyDescent="0.25">
      <c r="A599" t="s">
        <v>1151</v>
      </c>
      <c r="B599" t="s">
        <v>1152</v>
      </c>
      <c r="C599" s="27">
        <v>45748</v>
      </c>
      <c r="D599" t="s">
        <v>21</v>
      </c>
      <c r="E599" t="s">
        <v>22</v>
      </c>
      <c r="F599">
        <v>237.63</v>
      </c>
      <c r="G599">
        <v>3</v>
      </c>
      <c r="H599" t="s">
        <v>3369</v>
      </c>
    </row>
    <row r="600" spans="1:8" x14ac:dyDescent="0.25">
      <c r="A600" t="s">
        <v>1153</v>
      </c>
      <c r="B600" t="s">
        <v>1154</v>
      </c>
      <c r="C600" s="27">
        <v>45943</v>
      </c>
      <c r="D600" t="s">
        <v>14</v>
      </c>
      <c r="E600" t="s">
        <v>11</v>
      </c>
      <c r="F600">
        <v>1469.82</v>
      </c>
      <c r="G600">
        <v>4</v>
      </c>
      <c r="H600" t="s">
        <v>3377</v>
      </c>
    </row>
    <row r="601" spans="1:8" x14ac:dyDescent="0.25">
      <c r="A601" t="s">
        <v>1155</v>
      </c>
      <c r="B601" t="s">
        <v>1156</v>
      </c>
      <c r="C601" s="27">
        <v>45103</v>
      </c>
      <c r="D601" t="s">
        <v>21</v>
      </c>
      <c r="E601" t="s">
        <v>25</v>
      </c>
      <c r="F601">
        <v>1853.66</v>
      </c>
      <c r="G601">
        <v>3</v>
      </c>
      <c r="H601" t="s">
        <v>3377</v>
      </c>
    </row>
    <row r="602" spans="1:8" x14ac:dyDescent="0.25">
      <c r="A602" t="s">
        <v>1157</v>
      </c>
      <c r="B602" t="s">
        <v>1158</v>
      </c>
      <c r="C602" s="27">
        <v>44996</v>
      </c>
      <c r="D602" t="s">
        <v>14</v>
      </c>
      <c r="E602" t="s">
        <v>25</v>
      </c>
      <c r="F602">
        <v>415.87</v>
      </c>
      <c r="G602">
        <v>6</v>
      </c>
      <c r="H602" t="s">
        <v>35</v>
      </c>
    </row>
    <row r="603" spans="1:8" x14ac:dyDescent="0.25">
      <c r="A603" t="s">
        <v>1159</v>
      </c>
      <c r="B603" t="s">
        <v>1160</v>
      </c>
      <c r="C603" s="27">
        <v>45453</v>
      </c>
      <c r="D603" t="s">
        <v>3372</v>
      </c>
      <c r="E603" t="s">
        <v>22</v>
      </c>
      <c r="F603">
        <v>465.9</v>
      </c>
      <c r="G603">
        <v>3</v>
      </c>
      <c r="H603" t="s">
        <v>3377</v>
      </c>
    </row>
    <row r="604" spans="1:8" x14ac:dyDescent="0.25">
      <c r="A604" t="s">
        <v>1161</v>
      </c>
      <c r="B604" t="s">
        <v>1162</v>
      </c>
      <c r="C604" s="27">
        <v>45821</v>
      </c>
      <c r="D604" t="s">
        <v>14</v>
      </c>
      <c r="E604" t="s">
        <v>11</v>
      </c>
      <c r="F604">
        <v>1097.92</v>
      </c>
      <c r="G604">
        <v>5</v>
      </c>
      <c r="H604" t="s">
        <v>35</v>
      </c>
    </row>
    <row r="605" spans="1:8" x14ac:dyDescent="0.25">
      <c r="A605" t="s">
        <v>1163</v>
      </c>
      <c r="B605" t="s">
        <v>1164</v>
      </c>
      <c r="C605" s="27">
        <v>45503</v>
      </c>
      <c r="D605" t="s">
        <v>14</v>
      </c>
      <c r="E605" t="s">
        <v>34</v>
      </c>
      <c r="G605">
        <v>6</v>
      </c>
      <c r="H605" t="s">
        <v>3377</v>
      </c>
    </row>
    <row r="606" spans="1:8" x14ac:dyDescent="0.25">
      <c r="A606" t="s">
        <v>1165</v>
      </c>
      <c r="B606" t="s">
        <v>1166</v>
      </c>
      <c r="C606" s="27">
        <v>45715</v>
      </c>
      <c r="D606" t="s">
        <v>14</v>
      </c>
      <c r="E606" t="s">
        <v>3371</v>
      </c>
      <c r="F606">
        <v>372.66</v>
      </c>
      <c r="G606">
        <v>5</v>
      </c>
      <c r="H606" t="s">
        <v>18</v>
      </c>
    </row>
    <row r="607" spans="1:8" x14ac:dyDescent="0.25">
      <c r="A607" t="s">
        <v>1167</v>
      </c>
      <c r="B607" t="s">
        <v>1168</v>
      </c>
      <c r="C607" s="27">
        <v>45242</v>
      </c>
      <c r="D607" t="s">
        <v>10</v>
      </c>
      <c r="E607" t="s">
        <v>11</v>
      </c>
      <c r="F607">
        <v>1367.49</v>
      </c>
      <c r="G607">
        <v>5</v>
      </c>
      <c r="H607" t="s">
        <v>18</v>
      </c>
    </row>
    <row r="608" spans="1:8" x14ac:dyDescent="0.25">
      <c r="A608" t="s">
        <v>1169</v>
      </c>
      <c r="B608" t="s">
        <v>1170</v>
      </c>
      <c r="C608" s="27">
        <v>45287</v>
      </c>
      <c r="D608" t="s">
        <v>10</v>
      </c>
      <c r="E608" t="s">
        <v>11</v>
      </c>
      <c r="F608">
        <v>718.45</v>
      </c>
      <c r="G608">
        <v>2</v>
      </c>
      <c r="H608" t="s">
        <v>3369</v>
      </c>
    </row>
    <row r="609" spans="1:8" x14ac:dyDescent="0.25">
      <c r="A609" t="s">
        <v>1171</v>
      </c>
      <c r="B609" t="s">
        <v>1172</v>
      </c>
      <c r="C609" s="27">
        <v>45823</v>
      </c>
      <c r="D609" t="s">
        <v>3372</v>
      </c>
      <c r="E609" t="s">
        <v>11</v>
      </c>
      <c r="F609">
        <v>1166.22</v>
      </c>
      <c r="G609">
        <v>3</v>
      </c>
      <c r="H609" t="s">
        <v>15</v>
      </c>
    </row>
    <row r="610" spans="1:8" x14ac:dyDescent="0.25">
      <c r="A610" t="s">
        <v>1173</v>
      </c>
      <c r="B610" t="s">
        <v>1174</v>
      </c>
      <c r="C610" s="27">
        <v>45310</v>
      </c>
      <c r="D610" t="s">
        <v>21</v>
      </c>
      <c r="E610" t="s">
        <v>3371</v>
      </c>
      <c r="G610">
        <v>4</v>
      </c>
      <c r="H610" t="s">
        <v>15</v>
      </c>
    </row>
    <row r="611" spans="1:8" x14ac:dyDescent="0.25">
      <c r="A611" t="s">
        <v>1175</v>
      </c>
      <c r="B611" t="s">
        <v>1176</v>
      </c>
      <c r="C611" s="27">
        <v>44925</v>
      </c>
      <c r="D611" t="s">
        <v>10</v>
      </c>
      <c r="E611" t="s">
        <v>22</v>
      </c>
      <c r="F611">
        <v>1892.6</v>
      </c>
      <c r="G611">
        <v>9</v>
      </c>
      <c r="H611" t="s">
        <v>18</v>
      </c>
    </row>
    <row r="612" spans="1:8" x14ac:dyDescent="0.25">
      <c r="A612" t="s">
        <v>1177</v>
      </c>
      <c r="B612" t="s">
        <v>1178</v>
      </c>
      <c r="C612" s="27">
        <v>45478</v>
      </c>
      <c r="D612" t="s">
        <v>3372</v>
      </c>
      <c r="E612" t="s">
        <v>22</v>
      </c>
      <c r="G612">
        <v>8</v>
      </c>
      <c r="H612" t="s">
        <v>35</v>
      </c>
    </row>
    <row r="613" spans="1:8" x14ac:dyDescent="0.25">
      <c r="A613" t="s">
        <v>1179</v>
      </c>
      <c r="B613" t="s">
        <v>1180</v>
      </c>
      <c r="C613" s="27">
        <v>45487</v>
      </c>
      <c r="D613" t="s">
        <v>10</v>
      </c>
      <c r="E613" t="s">
        <v>3370</v>
      </c>
      <c r="F613">
        <v>1298.1400000000001</v>
      </c>
      <c r="G613">
        <v>1</v>
      </c>
      <c r="H613" t="s">
        <v>35</v>
      </c>
    </row>
    <row r="614" spans="1:8" x14ac:dyDescent="0.25">
      <c r="A614" t="s">
        <v>1181</v>
      </c>
      <c r="B614" t="s">
        <v>1182</v>
      </c>
      <c r="C614" s="27">
        <v>45482</v>
      </c>
      <c r="D614" t="s">
        <v>3372</v>
      </c>
      <c r="E614" t="s">
        <v>3370</v>
      </c>
      <c r="F614">
        <v>47.93</v>
      </c>
      <c r="G614">
        <v>3</v>
      </c>
      <c r="H614" t="s">
        <v>3369</v>
      </c>
    </row>
    <row r="615" spans="1:8" x14ac:dyDescent="0.25">
      <c r="A615" t="s">
        <v>1183</v>
      </c>
      <c r="B615" t="s">
        <v>1184</v>
      </c>
      <c r="C615" s="27">
        <v>44881</v>
      </c>
      <c r="D615" t="s">
        <v>3372</v>
      </c>
      <c r="E615" t="s">
        <v>11</v>
      </c>
      <c r="F615">
        <v>757.96</v>
      </c>
      <c r="G615">
        <v>10</v>
      </c>
      <c r="H615" t="s">
        <v>35</v>
      </c>
    </row>
    <row r="616" spans="1:8" x14ac:dyDescent="0.25">
      <c r="A616" t="s">
        <v>1185</v>
      </c>
      <c r="B616" t="s">
        <v>1186</v>
      </c>
      <c r="C616" s="27">
        <v>45866</v>
      </c>
      <c r="D616" t="s">
        <v>14</v>
      </c>
      <c r="E616" t="s">
        <v>3370</v>
      </c>
      <c r="F616">
        <v>409.59</v>
      </c>
      <c r="G616">
        <v>6</v>
      </c>
      <c r="H616" t="s">
        <v>3369</v>
      </c>
    </row>
    <row r="617" spans="1:8" x14ac:dyDescent="0.25">
      <c r="A617" t="s">
        <v>1187</v>
      </c>
      <c r="B617" t="s">
        <v>1188</v>
      </c>
      <c r="C617" s="27">
        <v>45882</v>
      </c>
      <c r="D617" t="s">
        <v>14</v>
      </c>
      <c r="E617" t="s">
        <v>34</v>
      </c>
      <c r="F617">
        <v>939.83</v>
      </c>
      <c r="H617" t="s">
        <v>3377</v>
      </c>
    </row>
    <row r="618" spans="1:8" x14ac:dyDescent="0.25">
      <c r="A618" t="s">
        <v>1189</v>
      </c>
      <c r="B618" t="s">
        <v>1190</v>
      </c>
      <c r="C618" s="27">
        <v>45580</v>
      </c>
      <c r="D618" t="s">
        <v>14</v>
      </c>
      <c r="E618" t="s">
        <v>3370</v>
      </c>
      <c r="F618">
        <v>1136.8900000000001</v>
      </c>
      <c r="G618">
        <v>3</v>
      </c>
      <c r="H618" t="s">
        <v>15</v>
      </c>
    </row>
    <row r="619" spans="1:8" x14ac:dyDescent="0.25">
      <c r="A619" t="s">
        <v>1191</v>
      </c>
      <c r="B619" t="s">
        <v>1192</v>
      </c>
      <c r="C619" s="27">
        <v>45084</v>
      </c>
      <c r="D619" t="s">
        <v>14</v>
      </c>
      <c r="E619" t="s">
        <v>11</v>
      </c>
      <c r="F619">
        <v>462.9</v>
      </c>
      <c r="G619">
        <v>9</v>
      </c>
      <c r="H619" t="s">
        <v>3377</v>
      </c>
    </row>
    <row r="620" spans="1:8" x14ac:dyDescent="0.25">
      <c r="A620" t="s">
        <v>1193</v>
      </c>
      <c r="B620" t="s">
        <v>1194</v>
      </c>
      <c r="C620" s="27">
        <v>45676</v>
      </c>
      <c r="D620" t="s">
        <v>14</v>
      </c>
      <c r="E620" t="s">
        <v>11</v>
      </c>
      <c r="F620">
        <v>1169.77</v>
      </c>
      <c r="G620">
        <v>2</v>
      </c>
      <c r="H620" t="s">
        <v>3377</v>
      </c>
    </row>
    <row r="621" spans="1:8" x14ac:dyDescent="0.25">
      <c r="A621" t="s">
        <v>1195</v>
      </c>
      <c r="B621" t="s">
        <v>1196</v>
      </c>
      <c r="C621" s="27">
        <v>45823</v>
      </c>
      <c r="D621" t="s">
        <v>3372</v>
      </c>
      <c r="E621" t="s">
        <v>3371</v>
      </c>
      <c r="F621">
        <v>633.51</v>
      </c>
      <c r="G621">
        <v>3</v>
      </c>
      <c r="H621" t="s">
        <v>18</v>
      </c>
    </row>
    <row r="622" spans="1:8" x14ac:dyDescent="0.25">
      <c r="A622" t="s">
        <v>1197</v>
      </c>
      <c r="B622" t="s">
        <v>1198</v>
      </c>
      <c r="C622" s="27">
        <v>45532</v>
      </c>
      <c r="D622" t="s">
        <v>21</v>
      </c>
      <c r="E622" t="s">
        <v>22</v>
      </c>
      <c r="F622">
        <v>1405.92</v>
      </c>
      <c r="G622">
        <v>3</v>
      </c>
      <c r="H622" t="s">
        <v>35</v>
      </c>
    </row>
    <row r="623" spans="1:8" x14ac:dyDescent="0.25">
      <c r="A623" t="s">
        <v>1199</v>
      </c>
      <c r="B623" t="s">
        <v>1200</v>
      </c>
      <c r="C623" s="27">
        <v>45286</v>
      </c>
      <c r="D623" t="s">
        <v>10</v>
      </c>
      <c r="E623" t="s">
        <v>22</v>
      </c>
      <c r="F623">
        <v>1863.46</v>
      </c>
      <c r="G623">
        <v>6</v>
      </c>
      <c r="H623" t="s">
        <v>3369</v>
      </c>
    </row>
    <row r="624" spans="1:8" x14ac:dyDescent="0.25">
      <c r="A624" t="s">
        <v>1201</v>
      </c>
      <c r="B624" t="s">
        <v>1202</v>
      </c>
      <c r="C624" s="27">
        <v>45141</v>
      </c>
      <c r="D624" t="s">
        <v>21</v>
      </c>
      <c r="E624" t="s">
        <v>34</v>
      </c>
      <c r="F624">
        <v>1170.6199999999999</v>
      </c>
      <c r="G624">
        <v>3</v>
      </c>
      <c r="H624" t="s">
        <v>35</v>
      </c>
    </row>
    <row r="625" spans="1:8" x14ac:dyDescent="0.25">
      <c r="A625" t="s">
        <v>1203</v>
      </c>
      <c r="B625" t="s">
        <v>1204</v>
      </c>
      <c r="C625" s="27">
        <v>44867</v>
      </c>
      <c r="D625" t="s">
        <v>21</v>
      </c>
      <c r="E625" t="s">
        <v>3370</v>
      </c>
      <c r="F625">
        <v>1561.27</v>
      </c>
      <c r="H625" t="s">
        <v>15</v>
      </c>
    </row>
    <row r="626" spans="1:8" x14ac:dyDescent="0.25">
      <c r="A626" t="s">
        <v>1205</v>
      </c>
      <c r="B626" t="s">
        <v>1206</v>
      </c>
      <c r="C626" s="27">
        <v>45629</v>
      </c>
      <c r="D626" t="s">
        <v>14</v>
      </c>
      <c r="E626" t="s">
        <v>3370</v>
      </c>
      <c r="F626">
        <v>614.41999999999996</v>
      </c>
      <c r="G626">
        <v>7</v>
      </c>
      <c r="H626" t="s">
        <v>3377</v>
      </c>
    </row>
    <row r="627" spans="1:8" x14ac:dyDescent="0.25">
      <c r="A627" t="s">
        <v>1207</v>
      </c>
      <c r="B627" t="s">
        <v>698</v>
      </c>
      <c r="C627" s="27">
        <v>45667</v>
      </c>
      <c r="D627" t="s">
        <v>10</v>
      </c>
      <c r="E627" t="s">
        <v>3371</v>
      </c>
      <c r="F627">
        <v>1855.91</v>
      </c>
      <c r="G627">
        <v>4</v>
      </c>
      <c r="H627" t="s">
        <v>18</v>
      </c>
    </row>
    <row r="628" spans="1:8" x14ac:dyDescent="0.25">
      <c r="A628" t="s">
        <v>1208</v>
      </c>
      <c r="B628" t="s">
        <v>1209</v>
      </c>
      <c r="C628" s="27">
        <v>45764</v>
      </c>
      <c r="D628" t="s">
        <v>3372</v>
      </c>
      <c r="E628" t="s">
        <v>34</v>
      </c>
      <c r="F628">
        <v>1370.63</v>
      </c>
      <c r="G628">
        <v>10</v>
      </c>
      <c r="H628" t="s">
        <v>3369</v>
      </c>
    </row>
    <row r="629" spans="1:8" x14ac:dyDescent="0.25">
      <c r="A629" t="s">
        <v>1210</v>
      </c>
      <c r="B629" t="s">
        <v>1211</v>
      </c>
      <c r="C629" s="27">
        <v>45304</v>
      </c>
      <c r="D629" t="s">
        <v>10</v>
      </c>
      <c r="E629" t="s">
        <v>25</v>
      </c>
      <c r="F629">
        <v>1913.29</v>
      </c>
      <c r="G629">
        <v>4</v>
      </c>
      <c r="H629" t="s">
        <v>18</v>
      </c>
    </row>
    <row r="630" spans="1:8" x14ac:dyDescent="0.25">
      <c r="A630" t="s">
        <v>1212</v>
      </c>
      <c r="B630" t="s">
        <v>1213</v>
      </c>
      <c r="C630" s="27">
        <v>45443</v>
      </c>
      <c r="D630" t="s">
        <v>10</v>
      </c>
      <c r="E630" t="s">
        <v>3371</v>
      </c>
      <c r="F630">
        <v>65.69</v>
      </c>
      <c r="G630">
        <v>7</v>
      </c>
      <c r="H630" t="s">
        <v>35</v>
      </c>
    </row>
    <row r="631" spans="1:8" x14ac:dyDescent="0.25">
      <c r="A631" t="s">
        <v>1214</v>
      </c>
      <c r="B631" t="s">
        <v>1215</v>
      </c>
      <c r="C631" s="27">
        <v>45171</v>
      </c>
      <c r="D631" t="s">
        <v>21</v>
      </c>
      <c r="E631" t="s">
        <v>11</v>
      </c>
      <c r="F631">
        <v>425.01</v>
      </c>
      <c r="G631">
        <v>9</v>
      </c>
      <c r="H631" t="s">
        <v>3377</v>
      </c>
    </row>
    <row r="632" spans="1:8" x14ac:dyDescent="0.25">
      <c r="A632" t="s">
        <v>1216</v>
      </c>
      <c r="B632" t="s">
        <v>1217</v>
      </c>
      <c r="C632" s="27">
        <v>45031</v>
      </c>
      <c r="D632" t="s">
        <v>3372</v>
      </c>
      <c r="E632" t="s">
        <v>3370</v>
      </c>
      <c r="F632">
        <v>267.89999999999998</v>
      </c>
      <c r="G632">
        <v>9</v>
      </c>
      <c r="H632" t="s">
        <v>35</v>
      </c>
    </row>
    <row r="633" spans="1:8" x14ac:dyDescent="0.25">
      <c r="A633" t="s">
        <v>1218</v>
      </c>
      <c r="B633" t="s">
        <v>1219</v>
      </c>
      <c r="C633" s="27">
        <v>45239</v>
      </c>
      <c r="D633" t="s">
        <v>21</v>
      </c>
      <c r="E633" t="s">
        <v>3370</v>
      </c>
      <c r="F633">
        <v>1368.14</v>
      </c>
      <c r="H633" t="s">
        <v>18</v>
      </c>
    </row>
    <row r="634" spans="1:8" x14ac:dyDescent="0.25">
      <c r="A634" t="s">
        <v>1220</v>
      </c>
      <c r="B634" t="s">
        <v>1221</v>
      </c>
      <c r="C634" s="27">
        <v>45941</v>
      </c>
      <c r="D634" t="s">
        <v>3372</v>
      </c>
      <c r="E634" t="s">
        <v>34</v>
      </c>
      <c r="F634">
        <v>1316.57</v>
      </c>
      <c r="G634">
        <v>2</v>
      </c>
      <c r="H634" t="s">
        <v>18</v>
      </c>
    </row>
    <row r="635" spans="1:8" x14ac:dyDescent="0.25">
      <c r="A635" t="s">
        <v>1222</v>
      </c>
      <c r="B635" t="s">
        <v>1223</v>
      </c>
      <c r="C635" s="27">
        <v>45461</v>
      </c>
      <c r="D635" t="s">
        <v>14</v>
      </c>
      <c r="E635" t="s">
        <v>34</v>
      </c>
      <c r="F635">
        <v>1044.3599999999999</v>
      </c>
      <c r="G635">
        <v>9</v>
      </c>
      <c r="H635" t="s">
        <v>15</v>
      </c>
    </row>
    <row r="636" spans="1:8" x14ac:dyDescent="0.25">
      <c r="A636" t="s">
        <v>1224</v>
      </c>
      <c r="B636" t="s">
        <v>1225</v>
      </c>
      <c r="C636" s="27">
        <v>45039</v>
      </c>
      <c r="D636" t="s">
        <v>10</v>
      </c>
      <c r="E636" t="s">
        <v>3370</v>
      </c>
      <c r="F636">
        <v>574.02</v>
      </c>
      <c r="G636">
        <v>5</v>
      </c>
      <c r="H636" t="s">
        <v>3377</v>
      </c>
    </row>
    <row r="637" spans="1:8" x14ac:dyDescent="0.25">
      <c r="A637" t="s">
        <v>1226</v>
      </c>
      <c r="B637" t="s">
        <v>1227</v>
      </c>
      <c r="C637" s="27">
        <v>45418</v>
      </c>
      <c r="D637" t="s">
        <v>3372</v>
      </c>
      <c r="E637" t="s">
        <v>25</v>
      </c>
      <c r="F637">
        <v>57.13</v>
      </c>
      <c r="G637">
        <v>9</v>
      </c>
      <c r="H637" t="s">
        <v>15</v>
      </c>
    </row>
    <row r="638" spans="1:8" x14ac:dyDescent="0.25">
      <c r="A638" t="s">
        <v>1228</v>
      </c>
      <c r="B638" t="s">
        <v>1229</v>
      </c>
      <c r="C638" s="27">
        <v>45302</v>
      </c>
      <c r="D638" t="s">
        <v>3372</v>
      </c>
      <c r="E638" t="s">
        <v>3371</v>
      </c>
      <c r="F638">
        <v>1853.99</v>
      </c>
      <c r="H638" t="s">
        <v>3369</v>
      </c>
    </row>
    <row r="639" spans="1:8" x14ac:dyDescent="0.25">
      <c r="A639" t="s">
        <v>1230</v>
      </c>
      <c r="B639" t="s">
        <v>1231</v>
      </c>
      <c r="C639" s="27">
        <v>44962</v>
      </c>
      <c r="D639" t="s">
        <v>14</v>
      </c>
      <c r="E639" t="s">
        <v>34</v>
      </c>
      <c r="F639">
        <v>356.03</v>
      </c>
      <c r="H639" t="s">
        <v>3377</v>
      </c>
    </row>
    <row r="640" spans="1:8" x14ac:dyDescent="0.25">
      <c r="A640" t="s">
        <v>1232</v>
      </c>
      <c r="B640" t="s">
        <v>1233</v>
      </c>
      <c r="C640" s="27">
        <v>45643</v>
      </c>
      <c r="D640" t="s">
        <v>3372</v>
      </c>
      <c r="E640" t="s">
        <v>3371</v>
      </c>
      <c r="G640">
        <v>1</v>
      </c>
      <c r="H640" t="s">
        <v>3369</v>
      </c>
    </row>
    <row r="641" spans="1:8" x14ac:dyDescent="0.25">
      <c r="A641" t="s">
        <v>1234</v>
      </c>
      <c r="B641" t="s">
        <v>1037</v>
      </c>
      <c r="C641" s="27">
        <v>45600</v>
      </c>
      <c r="D641" t="s">
        <v>14</v>
      </c>
      <c r="E641" t="s">
        <v>11</v>
      </c>
      <c r="F641">
        <v>1315.24</v>
      </c>
      <c r="G641">
        <v>4</v>
      </c>
      <c r="H641" t="s">
        <v>3369</v>
      </c>
    </row>
    <row r="642" spans="1:8" x14ac:dyDescent="0.25">
      <c r="A642" t="s">
        <v>1235</v>
      </c>
      <c r="B642" t="s">
        <v>1236</v>
      </c>
      <c r="C642" s="27">
        <v>44939</v>
      </c>
      <c r="D642" t="s">
        <v>14</v>
      </c>
      <c r="E642" t="s">
        <v>34</v>
      </c>
      <c r="F642">
        <v>1048.72</v>
      </c>
      <c r="G642">
        <v>5</v>
      </c>
      <c r="H642" t="s">
        <v>3369</v>
      </c>
    </row>
    <row r="643" spans="1:8" x14ac:dyDescent="0.25">
      <c r="A643" t="s">
        <v>1237</v>
      </c>
      <c r="B643" t="s">
        <v>1238</v>
      </c>
      <c r="C643" s="27">
        <v>45289</v>
      </c>
      <c r="D643" t="s">
        <v>14</v>
      </c>
      <c r="E643" t="s">
        <v>22</v>
      </c>
      <c r="F643">
        <v>1224.19</v>
      </c>
      <c r="G643">
        <v>7</v>
      </c>
      <c r="H643" t="s">
        <v>15</v>
      </c>
    </row>
    <row r="644" spans="1:8" x14ac:dyDescent="0.25">
      <c r="A644" t="s">
        <v>1239</v>
      </c>
      <c r="B644" t="s">
        <v>1240</v>
      </c>
      <c r="C644" s="27">
        <v>45358</v>
      </c>
      <c r="D644" t="s">
        <v>14</v>
      </c>
      <c r="E644" t="s">
        <v>3370</v>
      </c>
      <c r="F644">
        <v>408.87</v>
      </c>
      <c r="G644">
        <v>4</v>
      </c>
      <c r="H644" t="s">
        <v>35</v>
      </c>
    </row>
    <row r="645" spans="1:8" x14ac:dyDescent="0.25">
      <c r="A645" t="s">
        <v>1241</v>
      </c>
      <c r="B645" t="s">
        <v>1242</v>
      </c>
      <c r="C645" s="27">
        <v>44898</v>
      </c>
      <c r="D645" t="s">
        <v>14</v>
      </c>
      <c r="E645" t="s">
        <v>3370</v>
      </c>
      <c r="F645">
        <v>500.28</v>
      </c>
      <c r="G645">
        <v>4</v>
      </c>
      <c r="H645" t="s">
        <v>3377</v>
      </c>
    </row>
    <row r="646" spans="1:8" x14ac:dyDescent="0.25">
      <c r="A646" t="s">
        <v>3405</v>
      </c>
      <c r="B646" t="s">
        <v>3406</v>
      </c>
      <c r="C646" s="27">
        <v>44995</v>
      </c>
      <c r="D646" t="s">
        <v>10</v>
      </c>
      <c r="E646" t="s">
        <v>3371</v>
      </c>
      <c r="F646">
        <v>686.36</v>
      </c>
      <c r="G646">
        <v>1</v>
      </c>
      <c r="H646" t="s">
        <v>3377</v>
      </c>
    </row>
    <row r="647" spans="1:8" x14ac:dyDescent="0.25">
      <c r="A647" t="s">
        <v>1243</v>
      </c>
      <c r="B647" t="s">
        <v>1244</v>
      </c>
      <c r="C647" s="27">
        <v>45376</v>
      </c>
      <c r="D647" t="s">
        <v>14</v>
      </c>
      <c r="E647" t="s">
        <v>25</v>
      </c>
      <c r="G647">
        <v>4</v>
      </c>
      <c r="H647" t="s">
        <v>3369</v>
      </c>
    </row>
    <row r="648" spans="1:8" x14ac:dyDescent="0.25">
      <c r="A648" t="s">
        <v>1245</v>
      </c>
      <c r="B648" t="s">
        <v>1246</v>
      </c>
      <c r="C648" s="27">
        <v>45501</v>
      </c>
      <c r="D648" t="s">
        <v>14</v>
      </c>
      <c r="E648" t="s">
        <v>3371</v>
      </c>
      <c r="G648">
        <v>7</v>
      </c>
      <c r="H648" t="s">
        <v>3377</v>
      </c>
    </row>
    <row r="649" spans="1:8" x14ac:dyDescent="0.25">
      <c r="A649" t="s">
        <v>1247</v>
      </c>
      <c r="B649" t="s">
        <v>1084</v>
      </c>
      <c r="C649" s="27">
        <v>45399</v>
      </c>
      <c r="D649" t="s">
        <v>14</v>
      </c>
      <c r="E649" t="s">
        <v>22</v>
      </c>
      <c r="F649">
        <v>441.75</v>
      </c>
      <c r="H649" t="s">
        <v>3369</v>
      </c>
    </row>
    <row r="650" spans="1:8" x14ac:dyDescent="0.25">
      <c r="A650" t="s">
        <v>1248</v>
      </c>
      <c r="B650" t="s">
        <v>1249</v>
      </c>
      <c r="C650" s="27">
        <v>45127</v>
      </c>
      <c r="D650" t="s">
        <v>3372</v>
      </c>
      <c r="E650" t="s">
        <v>25</v>
      </c>
      <c r="F650">
        <v>1794.84</v>
      </c>
      <c r="G650">
        <v>5</v>
      </c>
      <c r="H650" t="s">
        <v>3369</v>
      </c>
    </row>
    <row r="651" spans="1:8" x14ac:dyDescent="0.25">
      <c r="A651" t="s">
        <v>1250</v>
      </c>
      <c r="B651" t="s">
        <v>1251</v>
      </c>
      <c r="C651" s="27">
        <v>45854</v>
      </c>
      <c r="D651" t="s">
        <v>21</v>
      </c>
      <c r="E651" t="s">
        <v>25</v>
      </c>
      <c r="G651">
        <v>8</v>
      </c>
      <c r="H651" t="s">
        <v>18</v>
      </c>
    </row>
    <row r="652" spans="1:8" x14ac:dyDescent="0.25">
      <c r="A652" t="s">
        <v>1252</v>
      </c>
      <c r="B652" t="s">
        <v>241</v>
      </c>
      <c r="C652" s="27">
        <v>45678</v>
      </c>
      <c r="D652" t="s">
        <v>10</v>
      </c>
      <c r="E652" t="s">
        <v>22</v>
      </c>
      <c r="F652">
        <v>740.95</v>
      </c>
      <c r="G652">
        <v>1</v>
      </c>
      <c r="H652" t="s">
        <v>18</v>
      </c>
    </row>
    <row r="653" spans="1:8" x14ac:dyDescent="0.25">
      <c r="A653" t="s">
        <v>1253</v>
      </c>
      <c r="B653" t="s">
        <v>1254</v>
      </c>
      <c r="C653" s="27">
        <v>45908</v>
      </c>
      <c r="D653" t="s">
        <v>21</v>
      </c>
      <c r="E653" t="s">
        <v>22</v>
      </c>
      <c r="F653">
        <v>153.41</v>
      </c>
      <c r="G653">
        <v>7</v>
      </c>
      <c r="H653" t="s">
        <v>3369</v>
      </c>
    </row>
    <row r="654" spans="1:8" x14ac:dyDescent="0.25">
      <c r="A654" t="s">
        <v>1255</v>
      </c>
      <c r="B654" t="s">
        <v>1256</v>
      </c>
      <c r="C654" s="27">
        <v>45305</v>
      </c>
      <c r="D654" t="s">
        <v>10</v>
      </c>
      <c r="E654" t="s">
        <v>3370</v>
      </c>
      <c r="F654">
        <v>325.37</v>
      </c>
      <c r="G654">
        <v>3</v>
      </c>
      <c r="H654" t="s">
        <v>15</v>
      </c>
    </row>
    <row r="655" spans="1:8" x14ac:dyDescent="0.25">
      <c r="A655" t="s">
        <v>1257</v>
      </c>
      <c r="B655" t="s">
        <v>223</v>
      </c>
      <c r="C655" s="27">
        <v>45211</v>
      </c>
      <c r="D655" t="s">
        <v>3372</v>
      </c>
      <c r="E655" t="s">
        <v>22</v>
      </c>
      <c r="F655">
        <v>849.49</v>
      </c>
      <c r="G655">
        <v>7</v>
      </c>
      <c r="H655" t="s">
        <v>18</v>
      </c>
    </row>
    <row r="656" spans="1:8" x14ac:dyDescent="0.25">
      <c r="A656" t="s">
        <v>1258</v>
      </c>
      <c r="B656" t="s">
        <v>1259</v>
      </c>
      <c r="C656" s="27">
        <v>45364</v>
      </c>
      <c r="D656" t="s">
        <v>3372</v>
      </c>
      <c r="E656" t="s">
        <v>25</v>
      </c>
      <c r="F656">
        <v>66.02</v>
      </c>
      <c r="G656">
        <v>6</v>
      </c>
      <c r="H656" t="s">
        <v>18</v>
      </c>
    </row>
    <row r="657" spans="1:8" x14ac:dyDescent="0.25">
      <c r="A657" t="s">
        <v>1260</v>
      </c>
      <c r="B657" t="s">
        <v>1261</v>
      </c>
      <c r="C657" s="27">
        <v>44972</v>
      </c>
      <c r="D657" t="s">
        <v>14</v>
      </c>
      <c r="E657" t="s">
        <v>11</v>
      </c>
      <c r="F657">
        <v>25.85</v>
      </c>
      <c r="G657">
        <v>1</v>
      </c>
      <c r="H657" t="s">
        <v>3377</v>
      </c>
    </row>
    <row r="658" spans="1:8" x14ac:dyDescent="0.25">
      <c r="A658" t="s">
        <v>1262</v>
      </c>
      <c r="B658" t="s">
        <v>1263</v>
      </c>
      <c r="C658" s="27">
        <v>45314</v>
      </c>
      <c r="D658" t="s">
        <v>3372</v>
      </c>
      <c r="E658" t="s">
        <v>11</v>
      </c>
      <c r="F658">
        <v>1218.8</v>
      </c>
      <c r="G658">
        <v>6</v>
      </c>
      <c r="H658" t="s">
        <v>35</v>
      </c>
    </row>
    <row r="659" spans="1:8" x14ac:dyDescent="0.25">
      <c r="A659" t="s">
        <v>1264</v>
      </c>
      <c r="B659" t="s">
        <v>1265</v>
      </c>
      <c r="C659" s="27">
        <v>45143</v>
      </c>
      <c r="D659" t="s">
        <v>10</v>
      </c>
      <c r="E659" t="s">
        <v>11</v>
      </c>
      <c r="F659">
        <v>294.57</v>
      </c>
      <c r="G659">
        <v>4</v>
      </c>
      <c r="H659" t="s">
        <v>3377</v>
      </c>
    </row>
    <row r="660" spans="1:8" x14ac:dyDescent="0.25">
      <c r="A660" t="s">
        <v>1266</v>
      </c>
      <c r="B660" t="s">
        <v>1267</v>
      </c>
      <c r="C660" s="27">
        <v>45934</v>
      </c>
      <c r="D660" t="s">
        <v>14</v>
      </c>
      <c r="E660" t="s">
        <v>3371</v>
      </c>
      <c r="F660">
        <v>719.66</v>
      </c>
      <c r="G660">
        <v>4</v>
      </c>
      <c r="H660" t="s">
        <v>3369</v>
      </c>
    </row>
    <row r="661" spans="1:8" x14ac:dyDescent="0.25">
      <c r="A661" t="s">
        <v>1268</v>
      </c>
      <c r="B661" t="s">
        <v>1269</v>
      </c>
      <c r="C661" s="27">
        <v>45456</v>
      </c>
      <c r="D661" t="s">
        <v>3372</v>
      </c>
      <c r="E661" t="s">
        <v>22</v>
      </c>
      <c r="F661">
        <v>1541.64</v>
      </c>
      <c r="G661">
        <v>3</v>
      </c>
      <c r="H661" t="s">
        <v>3369</v>
      </c>
    </row>
    <row r="662" spans="1:8" x14ac:dyDescent="0.25">
      <c r="A662" t="s">
        <v>1270</v>
      </c>
      <c r="B662" t="s">
        <v>1271</v>
      </c>
      <c r="C662" s="27">
        <v>45227</v>
      </c>
      <c r="D662" t="s">
        <v>21</v>
      </c>
      <c r="E662" t="s">
        <v>3370</v>
      </c>
      <c r="F662">
        <v>1799.03</v>
      </c>
      <c r="G662">
        <v>5</v>
      </c>
      <c r="H662" t="s">
        <v>15</v>
      </c>
    </row>
    <row r="663" spans="1:8" x14ac:dyDescent="0.25">
      <c r="A663" t="s">
        <v>1272</v>
      </c>
      <c r="B663" t="s">
        <v>1273</v>
      </c>
      <c r="C663" s="27">
        <v>45100</v>
      </c>
      <c r="D663" t="s">
        <v>14</v>
      </c>
      <c r="E663" t="s">
        <v>3370</v>
      </c>
      <c r="F663">
        <v>806.24</v>
      </c>
      <c r="G663">
        <v>4</v>
      </c>
      <c r="H663" t="s">
        <v>3369</v>
      </c>
    </row>
    <row r="664" spans="1:8" x14ac:dyDescent="0.25">
      <c r="A664" t="s">
        <v>1274</v>
      </c>
      <c r="B664" t="s">
        <v>133</v>
      </c>
      <c r="C664" s="27">
        <v>45260</v>
      </c>
      <c r="D664" t="s">
        <v>21</v>
      </c>
      <c r="E664" t="s">
        <v>3371</v>
      </c>
      <c r="F664">
        <v>308.39999999999998</v>
      </c>
      <c r="G664">
        <v>7</v>
      </c>
      <c r="H664" t="s">
        <v>15</v>
      </c>
    </row>
    <row r="665" spans="1:8" x14ac:dyDescent="0.25">
      <c r="A665" t="s">
        <v>1275</v>
      </c>
      <c r="B665" t="s">
        <v>1276</v>
      </c>
      <c r="C665" s="27">
        <v>45671</v>
      </c>
      <c r="D665" t="s">
        <v>3372</v>
      </c>
      <c r="E665" t="s">
        <v>3371</v>
      </c>
      <c r="F665">
        <v>344.94</v>
      </c>
      <c r="H665" t="s">
        <v>18</v>
      </c>
    </row>
    <row r="666" spans="1:8" x14ac:dyDescent="0.25">
      <c r="A666" t="s">
        <v>1277</v>
      </c>
      <c r="B666" t="s">
        <v>1278</v>
      </c>
      <c r="C666" s="27">
        <v>45052</v>
      </c>
      <c r="D666" t="s">
        <v>14</v>
      </c>
      <c r="E666" t="s">
        <v>11</v>
      </c>
      <c r="F666">
        <v>1750.18</v>
      </c>
      <c r="G666">
        <v>9</v>
      </c>
      <c r="H666" t="s">
        <v>35</v>
      </c>
    </row>
    <row r="667" spans="1:8" x14ac:dyDescent="0.25">
      <c r="A667" t="s">
        <v>1279</v>
      </c>
      <c r="B667" t="s">
        <v>1280</v>
      </c>
      <c r="C667" s="27">
        <v>45330</v>
      </c>
      <c r="D667" t="s">
        <v>3372</v>
      </c>
      <c r="E667" t="s">
        <v>22</v>
      </c>
      <c r="F667">
        <v>1242.44</v>
      </c>
      <c r="G667">
        <v>9</v>
      </c>
      <c r="H667" t="s">
        <v>15</v>
      </c>
    </row>
    <row r="668" spans="1:8" x14ac:dyDescent="0.25">
      <c r="A668" t="s">
        <v>1281</v>
      </c>
      <c r="B668" t="s">
        <v>1282</v>
      </c>
      <c r="C668" s="27">
        <v>45900</v>
      </c>
      <c r="D668" t="s">
        <v>3372</v>
      </c>
      <c r="E668" t="s">
        <v>34</v>
      </c>
      <c r="F668">
        <v>1575.82</v>
      </c>
      <c r="G668">
        <v>7</v>
      </c>
      <c r="H668" t="s">
        <v>35</v>
      </c>
    </row>
    <row r="669" spans="1:8" x14ac:dyDescent="0.25">
      <c r="A669" t="s">
        <v>1283</v>
      </c>
      <c r="B669" t="s">
        <v>1284</v>
      </c>
      <c r="C669" s="27">
        <v>45466</v>
      </c>
      <c r="D669" t="s">
        <v>3372</v>
      </c>
      <c r="E669" t="s">
        <v>34</v>
      </c>
      <c r="F669">
        <v>1532.48</v>
      </c>
      <c r="G669">
        <v>4</v>
      </c>
      <c r="H669" t="s">
        <v>3377</v>
      </c>
    </row>
    <row r="670" spans="1:8" x14ac:dyDescent="0.25">
      <c r="A670" t="s">
        <v>1285</v>
      </c>
      <c r="B670" t="s">
        <v>1286</v>
      </c>
      <c r="C670" s="27">
        <v>45784</v>
      </c>
      <c r="D670" t="s">
        <v>21</v>
      </c>
      <c r="E670" t="s">
        <v>22</v>
      </c>
      <c r="G670">
        <v>2</v>
      </c>
      <c r="H670" t="s">
        <v>3369</v>
      </c>
    </row>
    <row r="671" spans="1:8" x14ac:dyDescent="0.25">
      <c r="A671" t="s">
        <v>1287</v>
      </c>
      <c r="B671" t="s">
        <v>1288</v>
      </c>
      <c r="C671" s="27">
        <v>45552</v>
      </c>
      <c r="D671" t="s">
        <v>21</v>
      </c>
      <c r="E671" t="s">
        <v>3371</v>
      </c>
      <c r="F671">
        <v>1940.24</v>
      </c>
      <c r="G671">
        <v>2</v>
      </c>
      <c r="H671" t="s">
        <v>18</v>
      </c>
    </row>
    <row r="672" spans="1:8" x14ac:dyDescent="0.25">
      <c r="A672" t="s">
        <v>1289</v>
      </c>
      <c r="B672" t="s">
        <v>1290</v>
      </c>
      <c r="C672" s="27">
        <v>45479</v>
      </c>
      <c r="D672" t="s">
        <v>10</v>
      </c>
      <c r="E672" t="s">
        <v>34</v>
      </c>
      <c r="F672">
        <v>763.93</v>
      </c>
      <c r="G672">
        <v>8</v>
      </c>
      <c r="H672" t="s">
        <v>18</v>
      </c>
    </row>
    <row r="673" spans="1:8" x14ac:dyDescent="0.25">
      <c r="A673" t="s">
        <v>1291</v>
      </c>
      <c r="B673" t="s">
        <v>1292</v>
      </c>
      <c r="C673" s="27">
        <v>45013</v>
      </c>
      <c r="D673" t="s">
        <v>21</v>
      </c>
      <c r="E673" t="s">
        <v>11</v>
      </c>
      <c r="F673">
        <v>909.04</v>
      </c>
      <c r="H673" t="s">
        <v>15</v>
      </c>
    </row>
    <row r="674" spans="1:8" x14ac:dyDescent="0.25">
      <c r="A674" t="s">
        <v>1293</v>
      </c>
      <c r="B674" t="s">
        <v>1294</v>
      </c>
      <c r="C674" s="27">
        <v>45267</v>
      </c>
      <c r="D674" t="s">
        <v>10</v>
      </c>
      <c r="E674" t="s">
        <v>25</v>
      </c>
      <c r="F674">
        <v>75.23</v>
      </c>
      <c r="G674">
        <v>8</v>
      </c>
      <c r="H674" t="s">
        <v>3369</v>
      </c>
    </row>
    <row r="675" spans="1:8" x14ac:dyDescent="0.25">
      <c r="A675" t="s">
        <v>1295</v>
      </c>
      <c r="B675" t="s">
        <v>1296</v>
      </c>
      <c r="C675" s="27">
        <v>45866</v>
      </c>
      <c r="D675" t="s">
        <v>21</v>
      </c>
      <c r="E675" t="s">
        <v>3371</v>
      </c>
      <c r="F675">
        <v>1811.6</v>
      </c>
      <c r="G675">
        <v>3</v>
      </c>
      <c r="H675" t="s">
        <v>3369</v>
      </c>
    </row>
    <row r="676" spans="1:8" x14ac:dyDescent="0.25">
      <c r="A676" t="s">
        <v>1297</v>
      </c>
      <c r="B676" t="s">
        <v>1298</v>
      </c>
      <c r="C676" s="27">
        <v>45517</v>
      </c>
      <c r="D676" t="s">
        <v>10</v>
      </c>
      <c r="E676" t="s">
        <v>34</v>
      </c>
      <c r="F676">
        <v>49.21</v>
      </c>
      <c r="G676">
        <v>2</v>
      </c>
      <c r="H676" t="s">
        <v>3369</v>
      </c>
    </row>
    <row r="677" spans="1:8" x14ac:dyDescent="0.25">
      <c r="A677" t="s">
        <v>1299</v>
      </c>
      <c r="B677" t="s">
        <v>1300</v>
      </c>
      <c r="C677" s="27">
        <v>45788</v>
      </c>
      <c r="D677" t="s">
        <v>14</v>
      </c>
      <c r="E677" t="s">
        <v>3371</v>
      </c>
      <c r="F677">
        <v>1104.3900000000001</v>
      </c>
      <c r="G677">
        <v>7</v>
      </c>
      <c r="H677" t="s">
        <v>18</v>
      </c>
    </row>
    <row r="678" spans="1:8" x14ac:dyDescent="0.25">
      <c r="A678" t="s">
        <v>1301</v>
      </c>
      <c r="B678" t="s">
        <v>1302</v>
      </c>
      <c r="C678" s="27">
        <v>45588</v>
      </c>
      <c r="D678" t="s">
        <v>10</v>
      </c>
      <c r="E678" t="s">
        <v>34</v>
      </c>
      <c r="F678">
        <v>873.49</v>
      </c>
      <c r="G678">
        <v>5</v>
      </c>
      <c r="H678" t="s">
        <v>15</v>
      </c>
    </row>
    <row r="679" spans="1:8" x14ac:dyDescent="0.25">
      <c r="A679" t="s">
        <v>1303</v>
      </c>
      <c r="B679" t="s">
        <v>1304</v>
      </c>
      <c r="C679" s="27">
        <v>44951</v>
      </c>
      <c r="D679" t="s">
        <v>10</v>
      </c>
      <c r="E679" t="s">
        <v>3370</v>
      </c>
      <c r="F679">
        <v>563.48</v>
      </c>
      <c r="G679">
        <v>10</v>
      </c>
      <c r="H679" t="s">
        <v>15</v>
      </c>
    </row>
    <row r="680" spans="1:8" x14ac:dyDescent="0.25">
      <c r="A680" t="s">
        <v>1305</v>
      </c>
      <c r="B680" t="s">
        <v>1306</v>
      </c>
      <c r="C680" s="27">
        <v>45503</v>
      </c>
      <c r="D680" t="s">
        <v>21</v>
      </c>
      <c r="E680" t="s">
        <v>3370</v>
      </c>
      <c r="F680">
        <v>330.8</v>
      </c>
      <c r="G680">
        <v>7</v>
      </c>
      <c r="H680" t="s">
        <v>3369</v>
      </c>
    </row>
    <row r="681" spans="1:8" x14ac:dyDescent="0.25">
      <c r="A681" t="s">
        <v>1307</v>
      </c>
      <c r="B681" t="s">
        <v>1308</v>
      </c>
      <c r="C681" s="27">
        <v>45731</v>
      </c>
      <c r="D681" t="s">
        <v>14</v>
      </c>
      <c r="E681" t="s">
        <v>3370</v>
      </c>
      <c r="F681">
        <v>517.36</v>
      </c>
      <c r="G681">
        <v>1</v>
      </c>
      <c r="H681" t="s">
        <v>35</v>
      </c>
    </row>
    <row r="682" spans="1:8" x14ac:dyDescent="0.25">
      <c r="A682" t="s">
        <v>1309</v>
      </c>
      <c r="B682" t="s">
        <v>1310</v>
      </c>
      <c r="C682" s="27">
        <v>45527</v>
      </c>
      <c r="D682" t="s">
        <v>3372</v>
      </c>
      <c r="E682" t="s">
        <v>3370</v>
      </c>
      <c r="F682">
        <v>700.13</v>
      </c>
      <c r="G682">
        <v>5</v>
      </c>
      <c r="H682" t="s">
        <v>3377</v>
      </c>
    </row>
    <row r="683" spans="1:8" x14ac:dyDescent="0.25">
      <c r="A683" t="s">
        <v>1311</v>
      </c>
      <c r="B683" t="s">
        <v>1312</v>
      </c>
      <c r="C683" s="27">
        <v>45409</v>
      </c>
      <c r="D683" t="s">
        <v>21</v>
      </c>
      <c r="E683" t="s">
        <v>34</v>
      </c>
      <c r="F683">
        <v>1923.43</v>
      </c>
      <c r="G683">
        <v>5</v>
      </c>
      <c r="H683" t="s">
        <v>15</v>
      </c>
    </row>
    <row r="684" spans="1:8" x14ac:dyDescent="0.25">
      <c r="A684" t="s">
        <v>1313</v>
      </c>
      <c r="B684" t="s">
        <v>1314</v>
      </c>
      <c r="C684" s="27">
        <v>45140</v>
      </c>
      <c r="D684" t="s">
        <v>10</v>
      </c>
      <c r="E684" t="s">
        <v>11</v>
      </c>
      <c r="F684">
        <v>1787.71</v>
      </c>
      <c r="G684">
        <v>4</v>
      </c>
      <c r="H684" t="s">
        <v>3377</v>
      </c>
    </row>
    <row r="685" spans="1:8" x14ac:dyDescent="0.25">
      <c r="A685" t="s">
        <v>1315</v>
      </c>
      <c r="B685" t="s">
        <v>461</v>
      </c>
      <c r="C685" s="27">
        <v>45121</v>
      </c>
      <c r="D685" t="s">
        <v>14</v>
      </c>
      <c r="E685" t="s">
        <v>11</v>
      </c>
      <c r="F685">
        <v>1809.88</v>
      </c>
      <c r="G685">
        <v>9</v>
      </c>
      <c r="H685" t="s">
        <v>35</v>
      </c>
    </row>
    <row r="686" spans="1:8" x14ac:dyDescent="0.25">
      <c r="A686" t="s">
        <v>1316</v>
      </c>
      <c r="B686" t="s">
        <v>1317</v>
      </c>
      <c r="C686" s="27">
        <v>45457</v>
      </c>
      <c r="D686" t="s">
        <v>3372</v>
      </c>
      <c r="E686" t="s">
        <v>25</v>
      </c>
      <c r="F686">
        <v>675.99</v>
      </c>
      <c r="G686">
        <v>8</v>
      </c>
      <c r="H686" t="s">
        <v>3369</v>
      </c>
    </row>
    <row r="687" spans="1:8" x14ac:dyDescent="0.25">
      <c r="A687" t="s">
        <v>1318</v>
      </c>
      <c r="B687" t="s">
        <v>1319</v>
      </c>
      <c r="C687" s="27">
        <v>45669</v>
      </c>
      <c r="D687" t="s">
        <v>10</v>
      </c>
      <c r="E687" t="s">
        <v>3370</v>
      </c>
      <c r="F687">
        <v>1211.46</v>
      </c>
      <c r="G687">
        <v>8</v>
      </c>
      <c r="H687" t="s">
        <v>18</v>
      </c>
    </row>
    <row r="688" spans="1:8" x14ac:dyDescent="0.25">
      <c r="A688" t="s">
        <v>1320</v>
      </c>
      <c r="B688" t="s">
        <v>61</v>
      </c>
      <c r="C688" s="27">
        <v>45615</v>
      </c>
      <c r="D688" t="s">
        <v>21</v>
      </c>
      <c r="E688" t="s">
        <v>3371</v>
      </c>
      <c r="F688">
        <v>1651.39</v>
      </c>
      <c r="G688">
        <v>10</v>
      </c>
      <c r="H688" t="s">
        <v>3377</v>
      </c>
    </row>
    <row r="689" spans="1:8" x14ac:dyDescent="0.25">
      <c r="A689" t="s">
        <v>1321</v>
      </c>
      <c r="B689" t="s">
        <v>1322</v>
      </c>
      <c r="C689" s="27">
        <v>45403</v>
      </c>
      <c r="D689" t="s">
        <v>10</v>
      </c>
      <c r="E689" t="s">
        <v>25</v>
      </c>
      <c r="G689">
        <v>8</v>
      </c>
      <c r="H689" t="s">
        <v>18</v>
      </c>
    </row>
    <row r="690" spans="1:8" x14ac:dyDescent="0.25">
      <c r="A690" t="s">
        <v>1323</v>
      </c>
      <c r="B690" t="s">
        <v>1324</v>
      </c>
      <c r="C690" s="27">
        <v>45022</v>
      </c>
      <c r="D690" t="s">
        <v>21</v>
      </c>
      <c r="E690" t="s">
        <v>22</v>
      </c>
      <c r="F690">
        <v>1086.82</v>
      </c>
      <c r="G690">
        <v>8</v>
      </c>
      <c r="H690" t="s">
        <v>18</v>
      </c>
    </row>
    <row r="691" spans="1:8" x14ac:dyDescent="0.25">
      <c r="A691" t="s">
        <v>1325</v>
      </c>
      <c r="B691" t="s">
        <v>1326</v>
      </c>
      <c r="C691" s="27">
        <v>45322</v>
      </c>
      <c r="D691" t="s">
        <v>14</v>
      </c>
      <c r="E691" t="s">
        <v>34</v>
      </c>
      <c r="F691">
        <v>160.51</v>
      </c>
      <c r="H691" t="s">
        <v>15</v>
      </c>
    </row>
    <row r="692" spans="1:8" x14ac:dyDescent="0.25">
      <c r="A692" t="s">
        <v>1327</v>
      </c>
      <c r="B692" t="s">
        <v>1328</v>
      </c>
      <c r="C692" s="27">
        <v>45310</v>
      </c>
      <c r="D692" t="s">
        <v>14</v>
      </c>
      <c r="E692" t="s">
        <v>25</v>
      </c>
      <c r="F692">
        <v>1937.6</v>
      </c>
      <c r="H692" t="s">
        <v>15</v>
      </c>
    </row>
    <row r="693" spans="1:8" x14ac:dyDescent="0.25">
      <c r="A693" t="s">
        <v>1329</v>
      </c>
      <c r="B693" t="s">
        <v>1330</v>
      </c>
      <c r="C693" s="27">
        <v>45136</v>
      </c>
      <c r="D693" t="s">
        <v>3372</v>
      </c>
      <c r="E693" t="s">
        <v>34</v>
      </c>
      <c r="F693">
        <v>488.87</v>
      </c>
      <c r="G693">
        <v>3</v>
      </c>
      <c r="H693" t="s">
        <v>3377</v>
      </c>
    </row>
    <row r="694" spans="1:8" x14ac:dyDescent="0.25">
      <c r="A694" t="s">
        <v>1331</v>
      </c>
      <c r="B694" t="s">
        <v>1332</v>
      </c>
      <c r="C694" s="27">
        <v>45702</v>
      </c>
      <c r="D694" t="s">
        <v>10</v>
      </c>
      <c r="E694" t="s">
        <v>3371</v>
      </c>
      <c r="G694">
        <v>9</v>
      </c>
      <c r="H694" t="s">
        <v>3377</v>
      </c>
    </row>
    <row r="695" spans="1:8" x14ac:dyDescent="0.25">
      <c r="A695" t="s">
        <v>1333</v>
      </c>
      <c r="B695" t="s">
        <v>1334</v>
      </c>
      <c r="C695" s="27">
        <v>45261</v>
      </c>
      <c r="D695" t="s">
        <v>10</v>
      </c>
      <c r="E695" t="s">
        <v>3371</v>
      </c>
      <c r="F695">
        <v>881.91</v>
      </c>
      <c r="G695">
        <v>1</v>
      </c>
      <c r="H695" t="s">
        <v>3377</v>
      </c>
    </row>
    <row r="696" spans="1:8" x14ac:dyDescent="0.25">
      <c r="A696" t="s">
        <v>1335</v>
      </c>
      <c r="B696" t="s">
        <v>1336</v>
      </c>
      <c r="C696" s="27">
        <v>44939</v>
      </c>
      <c r="D696" t="s">
        <v>14</v>
      </c>
      <c r="E696" t="s">
        <v>3371</v>
      </c>
      <c r="F696">
        <v>579.5</v>
      </c>
      <c r="G696">
        <v>3</v>
      </c>
      <c r="H696" t="s">
        <v>3377</v>
      </c>
    </row>
    <row r="697" spans="1:8" x14ac:dyDescent="0.25">
      <c r="A697" t="s">
        <v>1337</v>
      </c>
      <c r="B697" t="s">
        <v>1338</v>
      </c>
      <c r="C697" s="27">
        <v>45611</v>
      </c>
      <c r="D697" t="s">
        <v>21</v>
      </c>
      <c r="E697" t="s">
        <v>11</v>
      </c>
      <c r="F697">
        <v>1136.3800000000001</v>
      </c>
      <c r="G697">
        <v>4</v>
      </c>
      <c r="H697" t="s">
        <v>18</v>
      </c>
    </row>
    <row r="698" spans="1:8" x14ac:dyDescent="0.25">
      <c r="A698" t="s">
        <v>1339</v>
      </c>
      <c r="B698" t="s">
        <v>1340</v>
      </c>
      <c r="C698" s="27">
        <v>45313</v>
      </c>
      <c r="D698" t="s">
        <v>3372</v>
      </c>
      <c r="E698" t="s">
        <v>3371</v>
      </c>
      <c r="G698">
        <v>5</v>
      </c>
      <c r="H698" t="s">
        <v>15</v>
      </c>
    </row>
    <row r="699" spans="1:8" x14ac:dyDescent="0.25">
      <c r="A699" t="s">
        <v>1341</v>
      </c>
      <c r="B699" t="s">
        <v>1342</v>
      </c>
      <c r="C699" s="27">
        <v>45151</v>
      </c>
      <c r="D699" t="s">
        <v>10</v>
      </c>
      <c r="E699" t="s">
        <v>11</v>
      </c>
      <c r="F699">
        <v>805.24</v>
      </c>
      <c r="G699">
        <v>1</v>
      </c>
      <c r="H699" t="s">
        <v>35</v>
      </c>
    </row>
    <row r="700" spans="1:8" x14ac:dyDescent="0.25">
      <c r="A700" t="s">
        <v>1343</v>
      </c>
      <c r="B700" t="s">
        <v>1344</v>
      </c>
      <c r="C700" s="27">
        <v>45921</v>
      </c>
      <c r="D700" t="s">
        <v>14</v>
      </c>
      <c r="E700" t="s">
        <v>25</v>
      </c>
      <c r="F700">
        <v>600.17999999999995</v>
      </c>
      <c r="G700">
        <v>7</v>
      </c>
      <c r="H700" t="s">
        <v>35</v>
      </c>
    </row>
    <row r="701" spans="1:8" x14ac:dyDescent="0.25">
      <c r="A701" t="s">
        <v>1345</v>
      </c>
      <c r="B701" t="s">
        <v>1346</v>
      </c>
      <c r="C701" s="27">
        <v>44948</v>
      </c>
      <c r="D701" t="s">
        <v>3372</v>
      </c>
      <c r="E701" t="s">
        <v>22</v>
      </c>
      <c r="F701">
        <v>371.28</v>
      </c>
      <c r="G701">
        <v>7</v>
      </c>
      <c r="H701" t="s">
        <v>35</v>
      </c>
    </row>
    <row r="702" spans="1:8" x14ac:dyDescent="0.25">
      <c r="A702" t="s">
        <v>1347</v>
      </c>
      <c r="B702" t="s">
        <v>1348</v>
      </c>
      <c r="C702" s="27">
        <v>45381</v>
      </c>
      <c r="D702" t="s">
        <v>21</v>
      </c>
      <c r="E702" t="s">
        <v>3371</v>
      </c>
      <c r="F702">
        <v>96.45</v>
      </c>
      <c r="G702">
        <v>3</v>
      </c>
      <c r="H702" t="s">
        <v>3377</v>
      </c>
    </row>
    <row r="703" spans="1:8" x14ac:dyDescent="0.25">
      <c r="A703" t="s">
        <v>1349</v>
      </c>
      <c r="B703" t="s">
        <v>1350</v>
      </c>
      <c r="C703" s="27">
        <v>45922</v>
      </c>
      <c r="D703" t="s">
        <v>21</v>
      </c>
      <c r="E703" t="s">
        <v>25</v>
      </c>
      <c r="F703">
        <v>658.97</v>
      </c>
      <c r="G703">
        <v>4</v>
      </c>
      <c r="H703" t="s">
        <v>3377</v>
      </c>
    </row>
    <row r="704" spans="1:8" x14ac:dyDescent="0.25">
      <c r="A704" t="s">
        <v>1351</v>
      </c>
      <c r="B704" t="s">
        <v>1352</v>
      </c>
      <c r="C704" s="27">
        <v>45413</v>
      </c>
      <c r="D704" t="s">
        <v>3372</v>
      </c>
      <c r="E704" t="s">
        <v>25</v>
      </c>
      <c r="F704">
        <v>1415.67</v>
      </c>
      <c r="G704">
        <v>4</v>
      </c>
      <c r="H704" t="s">
        <v>3369</v>
      </c>
    </row>
    <row r="705" spans="1:8" x14ac:dyDescent="0.25">
      <c r="A705" t="s">
        <v>1353</v>
      </c>
      <c r="B705" t="s">
        <v>1354</v>
      </c>
      <c r="C705" s="27">
        <v>45414</v>
      </c>
      <c r="D705" t="s">
        <v>21</v>
      </c>
      <c r="E705" t="s">
        <v>11</v>
      </c>
      <c r="G705">
        <v>7</v>
      </c>
      <c r="H705" t="s">
        <v>3369</v>
      </c>
    </row>
    <row r="706" spans="1:8" x14ac:dyDescent="0.25">
      <c r="A706" t="s">
        <v>1355</v>
      </c>
      <c r="B706" t="s">
        <v>1356</v>
      </c>
      <c r="C706" s="27">
        <v>45327</v>
      </c>
      <c r="D706" t="s">
        <v>3372</v>
      </c>
      <c r="E706" t="s">
        <v>3371</v>
      </c>
      <c r="F706">
        <v>14.81</v>
      </c>
      <c r="G706">
        <v>3</v>
      </c>
      <c r="H706" t="s">
        <v>3369</v>
      </c>
    </row>
    <row r="707" spans="1:8" x14ac:dyDescent="0.25">
      <c r="A707" t="s">
        <v>1357</v>
      </c>
      <c r="B707" t="s">
        <v>1358</v>
      </c>
      <c r="C707" s="27">
        <v>45342</v>
      </c>
      <c r="D707" t="s">
        <v>21</v>
      </c>
      <c r="E707" t="s">
        <v>3370</v>
      </c>
      <c r="F707">
        <v>552.04999999999995</v>
      </c>
      <c r="G707">
        <v>4</v>
      </c>
      <c r="H707" t="s">
        <v>18</v>
      </c>
    </row>
    <row r="708" spans="1:8" x14ac:dyDescent="0.25">
      <c r="A708" t="s">
        <v>1359</v>
      </c>
      <c r="B708" t="s">
        <v>1360</v>
      </c>
      <c r="C708" s="27">
        <v>45294</v>
      </c>
      <c r="D708" t="s">
        <v>3372</v>
      </c>
      <c r="E708" t="s">
        <v>34</v>
      </c>
      <c r="F708">
        <v>1336.18</v>
      </c>
      <c r="G708">
        <v>7</v>
      </c>
      <c r="H708" t="s">
        <v>3377</v>
      </c>
    </row>
    <row r="709" spans="1:8" x14ac:dyDescent="0.25">
      <c r="A709" t="s">
        <v>1361</v>
      </c>
      <c r="B709" t="s">
        <v>1362</v>
      </c>
      <c r="C709" s="27">
        <v>45049</v>
      </c>
      <c r="D709" t="s">
        <v>14</v>
      </c>
      <c r="E709" t="s">
        <v>3370</v>
      </c>
      <c r="F709">
        <v>1437.72</v>
      </c>
      <c r="G709">
        <v>3</v>
      </c>
      <c r="H709" t="s">
        <v>15</v>
      </c>
    </row>
    <row r="710" spans="1:8" x14ac:dyDescent="0.25">
      <c r="A710" t="s">
        <v>3407</v>
      </c>
      <c r="B710" t="s">
        <v>3408</v>
      </c>
      <c r="C710" s="27">
        <v>45549</v>
      </c>
      <c r="D710" t="s">
        <v>14</v>
      </c>
      <c r="E710" t="s">
        <v>25</v>
      </c>
      <c r="H710" t="s">
        <v>15</v>
      </c>
    </row>
    <row r="711" spans="1:8" x14ac:dyDescent="0.25">
      <c r="A711" t="s">
        <v>1363</v>
      </c>
      <c r="B711" t="s">
        <v>1364</v>
      </c>
      <c r="C711" s="27">
        <v>45316</v>
      </c>
      <c r="D711" t="s">
        <v>3372</v>
      </c>
      <c r="E711" t="s">
        <v>34</v>
      </c>
      <c r="F711">
        <v>1800.88</v>
      </c>
      <c r="G711">
        <v>5</v>
      </c>
      <c r="H711" t="s">
        <v>35</v>
      </c>
    </row>
    <row r="712" spans="1:8" x14ac:dyDescent="0.25">
      <c r="A712" t="s">
        <v>1365</v>
      </c>
      <c r="B712" t="s">
        <v>1366</v>
      </c>
      <c r="C712" s="27">
        <v>44950</v>
      </c>
      <c r="D712" t="s">
        <v>14</v>
      </c>
      <c r="E712" t="s">
        <v>11</v>
      </c>
      <c r="F712">
        <v>720.78</v>
      </c>
      <c r="G712">
        <v>6</v>
      </c>
      <c r="H712" t="s">
        <v>3369</v>
      </c>
    </row>
    <row r="713" spans="1:8" x14ac:dyDescent="0.25">
      <c r="A713" t="s">
        <v>1367</v>
      </c>
      <c r="B713" t="s">
        <v>1368</v>
      </c>
      <c r="C713" s="27">
        <v>45252</v>
      </c>
      <c r="D713" t="s">
        <v>10</v>
      </c>
      <c r="E713" t="s">
        <v>11</v>
      </c>
      <c r="F713">
        <v>1418.42</v>
      </c>
      <c r="G713">
        <v>5</v>
      </c>
      <c r="H713" t="s">
        <v>3369</v>
      </c>
    </row>
    <row r="714" spans="1:8" x14ac:dyDescent="0.25">
      <c r="A714" t="s">
        <v>1369</v>
      </c>
      <c r="B714" t="s">
        <v>1370</v>
      </c>
      <c r="C714" s="27">
        <v>45903</v>
      </c>
      <c r="D714" t="s">
        <v>21</v>
      </c>
      <c r="E714" t="s">
        <v>3370</v>
      </c>
      <c r="F714">
        <v>1372.69</v>
      </c>
      <c r="G714">
        <v>10</v>
      </c>
      <c r="H714" t="s">
        <v>15</v>
      </c>
    </row>
    <row r="715" spans="1:8" x14ac:dyDescent="0.25">
      <c r="A715" t="s">
        <v>1371</v>
      </c>
      <c r="B715" t="s">
        <v>1372</v>
      </c>
      <c r="C715" s="27">
        <v>45019</v>
      </c>
      <c r="D715" t="s">
        <v>10</v>
      </c>
      <c r="E715" t="s">
        <v>25</v>
      </c>
      <c r="F715">
        <v>1547.52</v>
      </c>
      <c r="G715">
        <v>10</v>
      </c>
      <c r="H715" t="s">
        <v>3377</v>
      </c>
    </row>
    <row r="716" spans="1:8" x14ac:dyDescent="0.25">
      <c r="A716" t="s">
        <v>1373</v>
      </c>
      <c r="B716" t="s">
        <v>1374</v>
      </c>
      <c r="C716" s="27">
        <v>45562</v>
      </c>
      <c r="D716" t="s">
        <v>3372</v>
      </c>
      <c r="E716" t="s">
        <v>3370</v>
      </c>
      <c r="F716">
        <v>410.13</v>
      </c>
      <c r="G716">
        <v>10</v>
      </c>
      <c r="H716" t="s">
        <v>15</v>
      </c>
    </row>
    <row r="717" spans="1:8" x14ac:dyDescent="0.25">
      <c r="A717" t="s">
        <v>1375</v>
      </c>
      <c r="B717" t="s">
        <v>1376</v>
      </c>
      <c r="C717" s="27">
        <v>45751</v>
      </c>
      <c r="D717" t="s">
        <v>3372</v>
      </c>
      <c r="E717" t="s">
        <v>11</v>
      </c>
      <c r="G717">
        <v>2</v>
      </c>
      <c r="H717" t="s">
        <v>35</v>
      </c>
    </row>
    <row r="718" spans="1:8" x14ac:dyDescent="0.25">
      <c r="A718" t="s">
        <v>1377</v>
      </c>
      <c r="B718" t="s">
        <v>1378</v>
      </c>
      <c r="C718" s="27">
        <v>45010</v>
      </c>
      <c r="D718" t="s">
        <v>3372</v>
      </c>
      <c r="E718" t="s">
        <v>11</v>
      </c>
      <c r="F718">
        <v>105.04</v>
      </c>
      <c r="G718">
        <v>7</v>
      </c>
      <c r="H718" t="s">
        <v>35</v>
      </c>
    </row>
    <row r="719" spans="1:8" x14ac:dyDescent="0.25">
      <c r="A719" t="s">
        <v>1379</v>
      </c>
      <c r="B719" t="s">
        <v>1380</v>
      </c>
      <c r="C719" s="27">
        <v>45134</v>
      </c>
      <c r="D719" t="s">
        <v>10</v>
      </c>
      <c r="E719" t="s">
        <v>3370</v>
      </c>
      <c r="F719">
        <v>797.03</v>
      </c>
      <c r="G719">
        <v>3</v>
      </c>
      <c r="H719" t="s">
        <v>35</v>
      </c>
    </row>
    <row r="720" spans="1:8" x14ac:dyDescent="0.25">
      <c r="A720" t="s">
        <v>1381</v>
      </c>
      <c r="B720" t="s">
        <v>1382</v>
      </c>
      <c r="C720" s="27">
        <v>44860</v>
      </c>
      <c r="D720" t="s">
        <v>14</v>
      </c>
      <c r="E720" t="s">
        <v>11</v>
      </c>
      <c r="F720">
        <v>298.33</v>
      </c>
      <c r="G720">
        <v>7</v>
      </c>
      <c r="H720" t="s">
        <v>35</v>
      </c>
    </row>
    <row r="721" spans="1:8" x14ac:dyDescent="0.25">
      <c r="A721" t="s">
        <v>1383</v>
      </c>
      <c r="B721" t="s">
        <v>1384</v>
      </c>
      <c r="C721" s="27">
        <v>45101</v>
      </c>
      <c r="D721" t="s">
        <v>3372</v>
      </c>
      <c r="E721" t="s">
        <v>3371</v>
      </c>
      <c r="F721">
        <v>422.65</v>
      </c>
      <c r="G721">
        <v>8</v>
      </c>
      <c r="H721" t="s">
        <v>18</v>
      </c>
    </row>
    <row r="722" spans="1:8" x14ac:dyDescent="0.25">
      <c r="A722" t="s">
        <v>1385</v>
      </c>
      <c r="B722" t="s">
        <v>1386</v>
      </c>
      <c r="C722" s="27">
        <v>44993</v>
      </c>
      <c r="D722" t="s">
        <v>10</v>
      </c>
      <c r="E722" t="s">
        <v>22</v>
      </c>
      <c r="F722">
        <v>842.99</v>
      </c>
      <c r="G722">
        <v>4</v>
      </c>
      <c r="H722" t="s">
        <v>15</v>
      </c>
    </row>
    <row r="723" spans="1:8" x14ac:dyDescent="0.25">
      <c r="A723" t="s">
        <v>1387</v>
      </c>
      <c r="B723" t="s">
        <v>1388</v>
      </c>
      <c r="C723" s="27">
        <v>45563</v>
      </c>
      <c r="D723" t="s">
        <v>10</v>
      </c>
      <c r="E723" t="s">
        <v>25</v>
      </c>
      <c r="G723">
        <v>6</v>
      </c>
      <c r="H723" t="s">
        <v>15</v>
      </c>
    </row>
    <row r="724" spans="1:8" x14ac:dyDescent="0.25">
      <c r="A724" t="s">
        <v>1389</v>
      </c>
      <c r="B724" t="s">
        <v>1390</v>
      </c>
      <c r="C724" s="27">
        <v>45088</v>
      </c>
      <c r="D724" t="s">
        <v>14</v>
      </c>
      <c r="E724" t="s">
        <v>3371</v>
      </c>
      <c r="F724">
        <v>868.99</v>
      </c>
      <c r="G724">
        <v>7</v>
      </c>
      <c r="H724" t="s">
        <v>35</v>
      </c>
    </row>
    <row r="725" spans="1:8" x14ac:dyDescent="0.25">
      <c r="A725" t="s">
        <v>1391</v>
      </c>
      <c r="B725" t="s">
        <v>1392</v>
      </c>
      <c r="C725" s="27">
        <v>44973</v>
      </c>
      <c r="D725" t="s">
        <v>14</v>
      </c>
      <c r="E725" t="s">
        <v>34</v>
      </c>
      <c r="F725">
        <v>1050.8800000000001</v>
      </c>
      <c r="G725">
        <v>1</v>
      </c>
      <c r="H725" t="s">
        <v>3369</v>
      </c>
    </row>
    <row r="726" spans="1:8" x14ac:dyDescent="0.25">
      <c r="A726" t="s">
        <v>1393</v>
      </c>
      <c r="B726" t="s">
        <v>1394</v>
      </c>
      <c r="C726" s="27">
        <v>45383</v>
      </c>
      <c r="D726" t="s">
        <v>21</v>
      </c>
      <c r="E726" t="s">
        <v>3371</v>
      </c>
      <c r="F726">
        <v>706.82</v>
      </c>
      <c r="G726">
        <v>3</v>
      </c>
      <c r="H726" t="s">
        <v>3377</v>
      </c>
    </row>
    <row r="727" spans="1:8" x14ac:dyDescent="0.25">
      <c r="A727" t="s">
        <v>1395</v>
      </c>
      <c r="B727" t="s">
        <v>1396</v>
      </c>
      <c r="C727" s="27">
        <v>45710</v>
      </c>
      <c r="D727" t="s">
        <v>21</v>
      </c>
      <c r="E727" t="s">
        <v>3371</v>
      </c>
      <c r="F727">
        <v>1888.07</v>
      </c>
      <c r="H727" t="s">
        <v>15</v>
      </c>
    </row>
    <row r="728" spans="1:8" x14ac:dyDescent="0.25">
      <c r="A728" t="s">
        <v>1397</v>
      </c>
      <c r="B728" t="s">
        <v>1398</v>
      </c>
      <c r="C728" s="27">
        <v>45602</v>
      </c>
      <c r="D728" t="s">
        <v>14</v>
      </c>
      <c r="E728" t="s">
        <v>11</v>
      </c>
      <c r="F728">
        <v>1209.79</v>
      </c>
      <c r="G728">
        <v>3</v>
      </c>
      <c r="H728" t="s">
        <v>35</v>
      </c>
    </row>
    <row r="729" spans="1:8" x14ac:dyDescent="0.25">
      <c r="A729" t="s">
        <v>1399</v>
      </c>
      <c r="B729" t="s">
        <v>1400</v>
      </c>
      <c r="C729" s="27">
        <v>45702</v>
      </c>
      <c r="D729" t="s">
        <v>3372</v>
      </c>
      <c r="E729" t="s">
        <v>11</v>
      </c>
      <c r="F729">
        <v>473.17</v>
      </c>
      <c r="G729">
        <v>8</v>
      </c>
      <c r="H729" t="s">
        <v>35</v>
      </c>
    </row>
    <row r="730" spans="1:8" x14ac:dyDescent="0.25">
      <c r="A730" t="s">
        <v>1401</v>
      </c>
      <c r="B730" t="s">
        <v>1150</v>
      </c>
      <c r="C730" s="27">
        <v>45727</v>
      </c>
      <c r="D730" t="s">
        <v>21</v>
      </c>
      <c r="E730" t="s">
        <v>3370</v>
      </c>
      <c r="F730">
        <v>1827.74</v>
      </c>
      <c r="G730">
        <v>9</v>
      </c>
      <c r="H730" t="s">
        <v>35</v>
      </c>
    </row>
    <row r="731" spans="1:8" x14ac:dyDescent="0.25">
      <c r="A731" t="s">
        <v>1402</v>
      </c>
      <c r="B731" t="s">
        <v>1403</v>
      </c>
      <c r="C731" s="27">
        <v>45250</v>
      </c>
      <c r="D731" t="s">
        <v>10</v>
      </c>
      <c r="E731" t="s">
        <v>22</v>
      </c>
      <c r="F731">
        <v>845.37</v>
      </c>
      <c r="H731" t="s">
        <v>3377</v>
      </c>
    </row>
    <row r="732" spans="1:8" x14ac:dyDescent="0.25">
      <c r="A732" t="s">
        <v>1404</v>
      </c>
      <c r="B732" t="s">
        <v>1405</v>
      </c>
      <c r="C732" s="27">
        <v>44943</v>
      </c>
      <c r="D732" t="s">
        <v>21</v>
      </c>
      <c r="E732" t="s">
        <v>3370</v>
      </c>
      <c r="F732">
        <v>83.66</v>
      </c>
      <c r="G732">
        <v>8</v>
      </c>
      <c r="H732" t="s">
        <v>18</v>
      </c>
    </row>
    <row r="733" spans="1:8" x14ac:dyDescent="0.25">
      <c r="A733" t="s">
        <v>1406</v>
      </c>
      <c r="B733" t="s">
        <v>1407</v>
      </c>
      <c r="C733" s="27">
        <v>45222</v>
      </c>
      <c r="D733" t="s">
        <v>21</v>
      </c>
      <c r="E733" t="s">
        <v>25</v>
      </c>
      <c r="F733">
        <v>1419.44</v>
      </c>
      <c r="G733">
        <v>7</v>
      </c>
      <c r="H733" t="s">
        <v>3377</v>
      </c>
    </row>
    <row r="734" spans="1:8" x14ac:dyDescent="0.25">
      <c r="A734" t="s">
        <v>1408</v>
      </c>
      <c r="B734" t="s">
        <v>1409</v>
      </c>
      <c r="C734" s="27">
        <v>45935</v>
      </c>
      <c r="D734" t="s">
        <v>10</v>
      </c>
      <c r="E734" t="s">
        <v>3371</v>
      </c>
      <c r="F734">
        <v>1058.97</v>
      </c>
      <c r="G734">
        <v>5</v>
      </c>
      <c r="H734" t="s">
        <v>3377</v>
      </c>
    </row>
    <row r="735" spans="1:8" x14ac:dyDescent="0.25">
      <c r="A735" t="s">
        <v>1410</v>
      </c>
      <c r="B735" t="s">
        <v>1411</v>
      </c>
      <c r="C735" s="27">
        <v>45844</v>
      </c>
      <c r="D735" t="s">
        <v>21</v>
      </c>
      <c r="E735" t="s">
        <v>3371</v>
      </c>
      <c r="F735">
        <v>1574.37</v>
      </c>
      <c r="G735">
        <v>1</v>
      </c>
      <c r="H735" t="s">
        <v>15</v>
      </c>
    </row>
    <row r="736" spans="1:8" x14ac:dyDescent="0.25">
      <c r="A736" t="s">
        <v>1412</v>
      </c>
      <c r="B736" t="s">
        <v>1413</v>
      </c>
      <c r="C736" s="27">
        <v>45930</v>
      </c>
      <c r="D736" t="s">
        <v>21</v>
      </c>
      <c r="E736" t="s">
        <v>3370</v>
      </c>
      <c r="F736">
        <v>1884.82</v>
      </c>
      <c r="G736">
        <v>4</v>
      </c>
      <c r="H736" t="s">
        <v>3377</v>
      </c>
    </row>
    <row r="737" spans="1:8" x14ac:dyDescent="0.25">
      <c r="A737" t="s">
        <v>1414</v>
      </c>
      <c r="B737" t="s">
        <v>1415</v>
      </c>
      <c r="C737" s="27">
        <v>45145</v>
      </c>
      <c r="D737" t="s">
        <v>10</v>
      </c>
      <c r="E737" t="s">
        <v>3371</v>
      </c>
      <c r="F737">
        <v>31.85</v>
      </c>
      <c r="G737">
        <v>6</v>
      </c>
      <c r="H737" t="s">
        <v>15</v>
      </c>
    </row>
    <row r="738" spans="1:8" x14ac:dyDescent="0.25">
      <c r="A738" t="s">
        <v>1416</v>
      </c>
      <c r="B738" t="s">
        <v>1055</v>
      </c>
      <c r="C738" s="27">
        <v>45318</v>
      </c>
      <c r="D738" t="s">
        <v>10</v>
      </c>
      <c r="E738" t="s">
        <v>22</v>
      </c>
      <c r="F738">
        <v>586.16</v>
      </c>
      <c r="G738">
        <v>2</v>
      </c>
      <c r="H738" t="s">
        <v>18</v>
      </c>
    </row>
    <row r="739" spans="1:8" x14ac:dyDescent="0.25">
      <c r="A739" t="s">
        <v>1417</v>
      </c>
      <c r="B739" t="s">
        <v>1418</v>
      </c>
      <c r="C739" s="27">
        <v>45124</v>
      </c>
      <c r="D739" t="s">
        <v>14</v>
      </c>
      <c r="E739" t="s">
        <v>34</v>
      </c>
      <c r="F739">
        <v>1537.88</v>
      </c>
      <c r="G739">
        <v>4</v>
      </c>
      <c r="H739" t="s">
        <v>35</v>
      </c>
    </row>
    <row r="740" spans="1:8" x14ac:dyDescent="0.25">
      <c r="A740" t="s">
        <v>1419</v>
      </c>
      <c r="B740" t="s">
        <v>1420</v>
      </c>
      <c r="C740" s="27">
        <v>45723</v>
      </c>
      <c r="D740" t="s">
        <v>14</v>
      </c>
      <c r="E740" t="s">
        <v>34</v>
      </c>
      <c r="F740">
        <v>1095.95</v>
      </c>
      <c r="G740">
        <v>6</v>
      </c>
      <c r="H740" t="s">
        <v>15</v>
      </c>
    </row>
    <row r="741" spans="1:8" x14ac:dyDescent="0.25">
      <c r="A741" t="s">
        <v>1421</v>
      </c>
      <c r="B741" t="s">
        <v>1422</v>
      </c>
      <c r="C741" s="27">
        <v>45842</v>
      </c>
      <c r="D741" t="s">
        <v>21</v>
      </c>
      <c r="E741" t="s">
        <v>11</v>
      </c>
      <c r="F741">
        <v>1310.07</v>
      </c>
      <c r="H741" t="s">
        <v>3377</v>
      </c>
    </row>
    <row r="742" spans="1:8" x14ac:dyDescent="0.25">
      <c r="A742" t="s">
        <v>1423</v>
      </c>
      <c r="B742" t="s">
        <v>1424</v>
      </c>
      <c r="C742" s="27">
        <v>45385</v>
      </c>
      <c r="D742" t="s">
        <v>10</v>
      </c>
      <c r="E742" t="s">
        <v>34</v>
      </c>
      <c r="F742">
        <v>311.22000000000003</v>
      </c>
      <c r="G742">
        <v>5</v>
      </c>
      <c r="H742" t="s">
        <v>18</v>
      </c>
    </row>
    <row r="743" spans="1:8" x14ac:dyDescent="0.25">
      <c r="A743" t="s">
        <v>1425</v>
      </c>
      <c r="B743" t="s">
        <v>1426</v>
      </c>
      <c r="C743" s="27">
        <v>45539</v>
      </c>
      <c r="D743" t="s">
        <v>3372</v>
      </c>
      <c r="E743" t="s">
        <v>34</v>
      </c>
      <c r="F743">
        <v>506.54</v>
      </c>
      <c r="G743">
        <v>7</v>
      </c>
      <c r="H743" t="s">
        <v>18</v>
      </c>
    </row>
    <row r="744" spans="1:8" x14ac:dyDescent="0.25">
      <c r="A744" t="s">
        <v>3409</v>
      </c>
      <c r="B744" t="s">
        <v>3410</v>
      </c>
      <c r="C744" s="27">
        <v>45832</v>
      </c>
      <c r="D744" t="s">
        <v>10</v>
      </c>
      <c r="E744" t="s">
        <v>3371</v>
      </c>
      <c r="F744">
        <v>960.72</v>
      </c>
      <c r="G744">
        <v>6</v>
      </c>
      <c r="H744" t="s">
        <v>18</v>
      </c>
    </row>
    <row r="745" spans="1:8" x14ac:dyDescent="0.25">
      <c r="A745" t="s">
        <v>1427</v>
      </c>
      <c r="B745" t="s">
        <v>1428</v>
      </c>
      <c r="C745" s="27">
        <v>44886</v>
      </c>
      <c r="D745" t="s">
        <v>21</v>
      </c>
      <c r="E745" t="s">
        <v>11</v>
      </c>
      <c r="F745">
        <v>1088.94</v>
      </c>
      <c r="G745">
        <v>2</v>
      </c>
      <c r="H745" t="s">
        <v>3377</v>
      </c>
    </row>
    <row r="746" spans="1:8" x14ac:dyDescent="0.25">
      <c r="A746" t="s">
        <v>1429</v>
      </c>
      <c r="B746" t="s">
        <v>1430</v>
      </c>
      <c r="C746" s="27">
        <v>45034</v>
      </c>
      <c r="D746" t="s">
        <v>21</v>
      </c>
      <c r="E746" t="s">
        <v>34</v>
      </c>
      <c r="F746">
        <v>1330.18</v>
      </c>
      <c r="G746">
        <v>7</v>
      </c>
      <c r="H746" t="s">
        <v>3369</v>
      </c>
    </row>
    <row r="747" spans="1:8" x14ac:dyDescent="0.25">
      <c r="A747" t="s">
        <v>1431</v>
      </c>
      <c r="B747" t="s">
        <v>1432</v>
      </c>
      <c r="C747" s="27">
        <v>44883</v>
      </c>
      <c r="D747" t="s">
        <v>3372</v>
      </c>
      <c r="E747" t="s">
        <v>34</v>
      </c>
      <c r="F747">
        <v>41.55</v>
      </c>
      <c r="G747">
        <v>4</v>
      </c>
      <c r="H747" t="s">
        <v>3369</v>
      </c>
    </row>
    <row r="748" spans="1:8" x14ac:dyDescent="0.25">
      <c r="A748" t="s">
        <v>1433</v>
      </c>
      <c r="B748" t="s">
        <v>1434</v>
      </c>
      <c r="C748" s="27">
        <v>45537</v>
      </c>
      <c r="D748" t="s">
        <v>14</v>
      </c>
      <c r="E748" t="s">
        <v>25</v>
      </c>
      <c r="F748">
        <v>1809.1</v>
      </c>
      <c r="G748">
        <v>8</v>
      </c>
      <c r="H748" t="s">
        <v>35</v>
      </c>
    </row>
    <row r="749" spans="1:8" x14ac:dyDescent="0.25">
      <c r="A749" t="s">
        <v>3411</v>
      </c>
      <c r="B749" t="s">
        <v>3412</v>
      </c>
      <c r="C749" s="27">
        <v>45529</v>
      </c>
      <c r="D749" t="s">
        <v>21</v>
      </c>
      <c r="E749" t="s">
        <v>34</v>
      </c>
      <c r="G749">
        <v>5</v>
      </c>
      <c r="H749" t="s">
        <v>18</v>
      </c>
    </row>
    <row r="750" spans="1:8" x14ac:dyDescent="0.25">
      <c r="A750" t="s">
        <v>1435</v>
      </c>
      <c r="B750" t="s">
        <v>1436</v>
      </c>
      <c r="C750" s="27">
        <v>45012</v>
      </c>
      <c r="D750" t="s">
        <v>10</v>
      </c>
      <c r="E750" t="s">
        <v>25</v>
      </c>
      <c r="G750">
        <v>1</v>
      </c>
      <c r="H750" t="s">
        <v>35</v>
      </c>
    </row>
    <row r="751" spans="1:8" x14ac:dyDescent="0.25">
      <c r="A751" t="s">
        <v>1437</v>
      </c>
      <c r="B751" t="s">
        <v>1438</v>
      </c>
      <c r="C751" s="27">
        <v>45696</v>
      </c>
      <c r="D751" t="s">
        <v>10</v>
      </c>
      <c r="E751" t="s">
        <v>25</v>
      </c>
      <c r="F751">
        <v>987.47</v>
      </c>
      <c r="G751">
        <v>8</v>
      </c>
      <c r="H751" t="s">
        <v>15</v>
      </c>
    </row>
    <row r="752" spans="1:8" x14ac:dyDescent="0.25">
      <c r="A752" t="s">
        <v>1439</v>
      </c>
      <c r="B752" t="s">
        <v>1440</v>
      </c>
      <c r="C752" s="27">
        <v>45934</v>
      </c>
      <c r="D752" t="s">
        <v>21</v>
      </c>
      <c r="E752" t="s">
        <v>22</v>
      </c>
      <c r="F752">
        <v>1974.81</v>
      </c>
      <c r="G752">
        <v>2</v>
      </c>
      <c r="H752" t="s">
        <v>3369</v>
      </c>
    </row>
    <row r="753" spans="1:8" x14ac:dyDescent="0.25">
      <c r="A753" t="s">
        <v>1441</v>
      </c>
      <c r="B753" t="s">
        <v>1442</v>
      </c>
      <c r="C753" s="27">
        <v>45787</v>
      </c>
      <c r="D753" t="s">
        <v>21</v>
      </c>
      <c r="E753" t="s">
        <v>3371</v>
      </c>
      <c r="F753">
        <v>678.86</v>
      </c>
      <c r="G753">
        <v>2</v>
      </c>
      <c r="H753" t="s">
        <v>35</v>
      </c>
    </row>
    <row r="754" spans="1:8" x14ac:dyDescent="0.25">
      <c r="A754" t="s">
        <v>1443</v>
      </c>
      <c r="B754" t="s">
        <v>360</v>
      </c>
      <c r="C754" s="27">
        <v>45148</v>
      </c>
      <c r="D754" t="s">
        <v>10</v>
      </c>
      <c r="E754" t="s">
        <v>3370</v>
      </c>
      <c r="F754">
        <v>1330.96</v>
      </c>
      <c r="G754">
        <v>5</v>
      </c>
      <c r="H754" t="s">
        <v>15</v>
      </c>
    </row>
    <row r="755" spans="1:8" x14ac:dyDescent="0.25">
      <c r="A755" t="s">
        <v>1444</v>
      </c>
      <c r="B755" t="s">
        <v>1445</v>
      </c>
      <c r="C755" s="27">
        <v>45902</v>
      </c>
      <c r="D755" t="s">
        <v>21</v>
      </c>
      <c r="E755" t="s">
        <v>34</v>
      </c>
      <c r="F755">
        <v>807.51</v>
      </c>
      <c r="G755">
        <v>4</v>
      </c>
      <c r="H755" t="s">
        <v>3377</v>
      </c>
    </row>
    <row r="756" spans="1:8" x14ac:dyDescent="0.25">
      <c r="A756" t="s">
        <v>1446</v>
      </c>
      <c r="B756" t="s">
        <v>1447</v>
      </c>
      <c r="C756" s="27">
        <v>45338</v>
      </c>
      <c r="D756" t="s">
        <v>14</v>
      </c>
      <c r="E756" t="s">
        <v>3370</v>
      </c>
      <c r="F756">
        <v>527.04</v>
      </c>
      <c r="G756">
        <v>7</v>
      </c>
      <c r="H756" t="s">
        <v>15</v>
      </c>
    </row>
    <row r="757" spans="1:8" x14ac:dyDescent="0.25">
      <c r="A757" t="s">
        <v>1448</v>
      </c>
      <c r="B757" t="s">
        <v>1449</v>
      </c>
      <c r="C757" s="27">
        <v>45209</v>
      </c>
      <c r="D757" t="s">
        <v>14</v>
      </c>
      <c r="E757" t="s">
        <v>22</v>
      </c>
      <c r="G757">
        <v>8</v>
      </c>
      <c r="H757" t="s">
        <v>18</v>
      </c>
    </row>
    <row r="758" spans="1:8" x14ac:dyDescent="0.25">
      <c r="A758" t="s">
        <v>1450</v>
      </c>
      <c r="B758" t="s">
        <v>1451</v>
      </c>
      <c r="C758" s="27">
        <v>45320</v>
      </c>
      <c r="D758" t="s">
        <v>10</v>
      </c>
      <c r="E758" t="s">
        <v>11</v>
      </c>
      <c r="F758">
        <v>834.68</v>
      </c>
      <c r="G758">
        <v>3</v>
      </c>
      <c r="H758" t="s">
        <v>3369</v>
      </c>
    </row>
    <row r="759" spans="1:8" x14ac:dyDescent="0.25">
      <c r="A759" t="s">
        <v>1452</v>
      </c>
      <c r="B759" t="s">
        <v>1170</v>
      </c>
      <c r="C759" s="27">
        <v>45124</v>
      </c>
      <c r="D759" t="s">
        <v>3372</v>
      </c>
      <c r="E759" t="s">
        <v>3371</v>
      </c>
      <c r="F759">
        <v>179.44</v>
      </c>
      <c r="G759">
        <v>2</v>
      </c>
      <c r="H759" t="s">
        <v>15</v>
      </c>
    </row>
    <row r="760" spans="1:8" x14ac:dyDescent="0.25">
      <c r="A760" t="s">
        <v>1453</v>
      </c>
      <c r="B760" t="s">
        <v>1454</v>
      </c>
      <c r="C760" s="27">
        <v>44987</v>
      </c>
      <c r="D760" t="s">
        <v>10</v>
      </c>
      <c r="E760" t="s">
        <v>3371</v>
      </c>
      <c r="F760">
        <v>1610.52</v>
      </c>
      <c r="G760">
        <v>4</v>
      </c>
      <c r="H760" t="s">
        <v>35</v>
      </c>
    </row>
    <row r="761" spans="1:8" x14ac:dyDescent="0.25">
      <c r="A761" t="s">
        <v>1455</v>
      </c>
      <c r="B761" t="s">
        <v>1456</v>
      </c>
      <c r="C761" s="27">
        <v>45094</v>
      </c>
      <c r="D761" t="s">
        <v>14</v>
      </c>
      <c r="E761" t="s">
        <v>3370</v>
      </c>
      <c r="F761">
        <v>1277.25</v>
      </c>
      <c r="H761" t="s">
        <v>35</v>
      </c>
    </row>
    <row r="762" spans="1:8" x14ac:dyDescent="0.25">
      <c r="A762" t="s">
        <v>1457</v>
      </c>
      <c r="B762" t="s">
        <v>1458</v>
      </c>
      <c r="C762" s="27">
        <v>45100</v>
      </c>
      <c r="D762" t="s">
        <v>10</v>
      </c>
      <c r="E762" t="s">
        <v>3371</v>
      </c>
      <c r="F762">
        <v>270.24</v>
      </c>
      <c r="G762">
        <v>4</v>
      </c>
      <c r="H762" t="s">
        <v>15</v>
      </c>
    </row>
    <row r="763" spans="1:8" x14ac:dyDescent="0.25">
      <c r="A763" t="s">
        <v>1459</v>
      </c>
      <c r="B763" t="s">
        <v>1460</v>
      </c>
      <c r="C763" s="27">
        <v>45820</v>
      </c>
      <c r="D763" t="s">
        <v>3372</v>
      </c>
      <c r="E763" t="s">
        <v>11</v>
      </c>
      <c r="G763">
        <v>6</v>
      </c>
      <c r="H763" t="s">
        <v>3369</v>
      </c>
    </row>
    <row r="764" spans="1:8" x14ac:dyDescent="0.25">
      <c r="A764" t="s">
        <v>1461</v>
      </c>
      <c r="B764" t="s">
        <v>1462</v>
      </c>
      <c r="C764" s="27">
        <v>45160</v>
      </c>
      <c r="D764" t="s">
        <v>14</v>
      </c>
      <c r="E764" t="s">
        <v>25</v>
      </c>
      <c r="F764">
        <v>975.31</v>
      </c>
      <c r="G764">
        <v>10</v>
      </c>
      <c r="H764" t="s">
        <v>3369</v>
      </c>
    </row>
    <row r="765" spans="1:8" x14ac:dyDescent="0.25">
      <c r="A765" t="s">
        <v>1463</v>
      </c>
      <c r="B765" t="s">
        <v>1464</v>
      </c>
      <c r="C765" s="27">
        <v>45591</v>
      </c>
      <c r="D765" t="s">
        <v>21</v>
      </c>
      <c r="E765" t="s">
        <v>3370</v>
      </c>
      <c r="F765">
        <v>824.06</v>
      </c>
      <c r="G765">
        <v>7</v>
      </c>
      <c r="H765" t="s">
        <v>35</v>
      </c>
    </row>
    <row r="766" spans="1:8" x14ac:dyDescent="0.25">
      <c r="A766" t="s">
        <v>1465</v>
      </c>
      <c r="B766" t="s">
        <v>1466</v>
      </c>
      <c r="C766" s="27">
        <v>44923</v>
      </c>
      <c r="D766" t="s">
        <v>14</v>
      </c>
      <c r="E766" t="s">
        <v>34</v>
      </c>
      <c r="F766">
        <v>744.37</v>
      </c>
      <c r="H766" t="s">
        <v>35</v>
      </c>
    </row>
    <row r="767" spans="1:8" x14ac:dyDescent="0.25">
      <c r="A767" t="s">
        <v>1467</v>
      </c>
      <c r="B767" t="s">
        <v>1468</v>
      </c>
      <c r="C767" s="27">
        <v>45484</v>
      </c>
      <c r="D767" t="s">
        <v>3372</v>
      </c>
      <c r="E767" t="s">
        <v>3370</v>
      </c>
      <c r="F767">
        <v>1102.5999999999999</v>
      </c>
      <c r="G767">
        <v>2</v>
      </c>
      <c r="H767" t="s">
        <v>3369</v>
      </c>
    </row>
    <row r="768" spans="1:8" x14ac:dyDescent="0.25">
      <c r="A768" t="s">
        <v>1469</v>
      </c>
      <c r="B768" t="s">
        <v>1470</v>
      </c>
      <c r="C768" s="27">
        <v>45654</v>
      </c>
      <c r="D768" t="s">
        <v>3372</v>
      </c>
      <c r="E768" t="s">
        <v>22</v>
      </c>
      <c r="F768">
        <v>1139.08</v>
      </c>
      <c r="G768">
        <v>3</v>
      </c>
      <c r="H768" t="s">
        <v>18</v>
      </c>
    </row>
    <row r="769" spans="1:8" x14ac:dyDescent="0.25">
      <c r="A769" t="s">
        <v>1471</v>
      </c>
      <c r="B769" t="s">
        <v>1472</v>
      </c>
      <c r="C769" s="27">
        <v>45357</v>
      </c>
      <c r="D769" t="s">
        <v>14</v>
      </c>
      <c r="E769" t="s">
        <v>3371</v>
      </c>
      <c r="G769">
        <v>7</v>
      </c>
      <c r="H769" t="s">
        <v>15</v>
      </c>
    </row>
    <row r="770" spans="1:8" x14ac:dyDescent="0.25">
      <c r="A770" t="s">
        <v>1473</v>
      </c>
      <c r="B770" t="s">
        <v>1474</v>
      </c>
      <c r="C770" s="27">
        <v>45239</v>
      </c>
      <c r="D770" t="s">
        <v>10</v>
      </c>
      <c r="E770" t="s">
        <v>22</v>
      </c>
      <c r="F770">
        <v>1046.73</v>
      </c>
      <c r="G770">
        <v>9</v>
      </c>
      <c r="H770" t="s">
        <v>18</v>
      </c>
    </row>
    <row r="771" spans="1:8" x14ac:dyDescent="0.25">
      <c r="A771" t="s">
        <v>1475</v>
      </c>
      <c r="B771" t="s">
        <v>1476</v>
      </c>
      <c r="C771" s="27">
        <v>45780</v>
      </c>
      <c r="D771" t="s">
        <v>14</v>
      </c>
      <c r="E771" t="s">
        <v>11</v>
      </c>
      <c r="F771">
        <v>369.01</v>
      </c>
      <c r="G771">
        <v>3</v>
      </c>
      <c r="H771" t="s">
        <v>35</v>
      </c>
    </row>
    <row r="772" spans="1:8" x14ac:dyDescent="0.25">
      <c r="A772" t="s">
        <v>1477</v>
      </c>
      <c r="B772" t="s">
        <v>1478</v>
      </c>
      <c r="C772" s="27">
        <v>44942</v>
      </c>
      <c r="D772" t="s">
        <v>10</v>
      </c>
      <c r="E772" t="s">
        <v>25</v>
      </c>
      <c r="F772">
        <v>1335.88</v>
      </c>
      <c r="H772" t="s">
        <v>3377</v>
      </c>
    </row>
    <row r="773" spans="1:8" x14ac:dyDescent="0.25">
      <c r="A773" t="s">
        <v>1479</v>
      </c>
      <c r="B773" t="s">
        <v>1480</v>
      </c>
      <c r="C773" s="27">
        <v>45278</v>
      </c>
      <c r="D773" t="s">
        <v>3372</v>
      </c>
      <c r="E773" t="s">
        <v>22</v>
      </c>
      <c r="F773">
        <v>1904.71</v>
      </c>
      <c r="G773">
        <v>2</v>
      </c>
      <c r="H773" t="s">
        <v>35</v>
      </c>
    </row>
    <row r="774" spans="1:8" x14ac:dyDescent="0.25">
      <c r="A774" t="s">
        <v>1481</v>
      </c>
      <c r="B774" t="s">
        <v>1482</v>
      </c>
      <c r="C774" s="27">
        <v>45911</v>
      </c>
      <c r="D774" t="s">
        <v>3372</v>
      </c>
      <c r="E774" t="s">
        <v>3371</v>
      </c>
      <c r="F774">
        <v>340.11</v>
      </c>
      <c r="G774">
        <v>4</v>
      </c>
      <c r="H774" t="s">
        <v>3377</v>
      </c>
    </row>
    <row r="775" spans="1:8" x14ac:dyDescent="0.25">
      <c r="A775" t="s">
        <v>1483</v>
      </c>
      <c r="B775" t="s">
        <v>1484</v>
      </c>
      <c r="C775" s="27">
        <v>45398</v>
      </c>
      <c r="D775" t="s">
        <v>3372</v>
      </c>
      <c r="E775" t="s">
        <v>11</v>
      </c>
      <c r="F775">
        <v>1192.0999999999999</v>
      </c>
      <c r="G775">
        <v>8</v>
      </c>
      <c r="H775" t="s">
        <v>35</v>
      </c>
    </row>
    <row r="776" spans="1:8" x14ac:dyDescent="0.25">
      <c r="A776" t="s">
        <v>1485</v>
      </c>
      <c r="B776" t="s">
        <v>1486</v>
      </c>
      <c r="C776" s="27">
        <v>44893</v>
      </c>
      <c r="D776" t="s">
        <v>10</v>
      </c>
      <c r="E776" t="s">
        <v>34</v>
      </c>
      <c r="F776">
        <v>1760.9</v>
      </c>
      <c r="G776">
        <v>2</v>
      </c>
      <c r="H776" t="s">
        <v>15</v>
      </c>
    </row>
    <row r="777" spans="1:8" x14ac:dyDescent="0.25">
      <c r="A777" t="s">
        <v>1487</v>
      </c>
      <c r="B777" t="s">
        <v>1488</v>
      </c>
      <c r="C777" s="27">
        <v>45848</v>
      </c>
      <c r="D777" t="s">
        <v>14</v>
      </c>
      <c r="E777" t="s">
        <v>22</v>
      </c>
      <c r="F777">
        <v>1716.52</v>
      </c>
      <c r="G777">
        <v>3</v>
      </c>
      <c r="H777" t="s">
        <v>3369</v>
      </c>
    </row>
    <row r="778" spans="1:8" x14ac:dyDescent="0.25">
      <c r="A778" t="s">
        <v>1489</v>
      </c>
      <c r="B778" t="s">
        <v>1490</v>
      </c>
      <c r="C778" s="27">
        <v>44937</v>
      </c>
      <c r="D778" t="s">
        <v>21</v>
      </c>
      <c r="E778" t="s">
        <v>22</v>
      </c>
      <c r="F778">
        <v>1964.07</v>
      </c>
      <c r="G778">
        <v>10</v>
      </c>
      <c r="H778" t="s">
        <v>3369</v>
      </c>
    </row>
    <row r="779" spans="1:8" x14ac:dyDescent="0.25">
      <c r="A779" t="s">
        <v>1491</v>
      </c>
      <c r="B779" t="s">
        <v>1492</v>
      </c>
      <c r="C779" s="27">
        <v>45030</v>
      </c>
      <c r="D779" t="s">
        <v>10</v>
      </c>
      <c r="E779" t="s">
        <v>34</v>
      </c>
      <c r="F779">
        <v>1843.72</v>
      </c>
      <c r="G779">
        <v>7</v>
      </c>
      <c r="H779" t="s">
        <v>18</v>
      </c>
    </row>
    <row r="780" spans="1:8" x14ac:dyDescent="0.25">
      <c r="A780" t="s">
        <v>1493</v>
      </c>
      <c r="B780" t="s">
        <v>1494</v>
      </c>
      <c r="C780" s="27">
        <v>45494</v>
      </c>
      <c r="D780" t="s">
        <v>10</v>
      </c>
      <c r="E780" t="s">
        <v>25</v>
      </c>
      <c r="F780">
        <v>796.37</v>
      </c>
      <c r="G780">
        <v>4</v>
      </c>
      <c r="H780" t="s">
        <v>35</v>
      </c>
    </row>
    <row r="781" spans="1:8" x14ac:dyDescent="0.25">
      <c r="A781" t="s">
        <v>1495</v>
      </c>
      <c r="B781" t="s">
        <v>1496</v>
      </c>
      <c r="C781" s="27">
        <v>45768</v>
      </c>
      <c r="D781" t="s">
        <v>10</v>
      </c>
      <c r="E781" t="s">
        <v>25</v>
      </c>
      <c r="F781">
        <v>614.44000000000005</v>
      </c>
      <c r="G781">
        <v>10</v>
      </c>
      <c r="H781" t="s">
        <v>18</v>
      </c>
    </row>
    <row r="782" spans="1:8" x14ac:dyDescent="0.25">
      <c r="A782" t="s">
        <v>1497</v>
      </c>
      <c r="B782" t="s">
        <v>1498</v>
      </c>
      <c r="C782" s="27">
        <v>45320</v>
      </c>
      <c r="D782" t="s">
        <v>10</v>
      </c>
      <c r="E782" t="s">
        <v>3371</v>
      </c>
      <c r="F782">
        <v>654.41</v>
      </c>
      <c r="G782">
        <v>3</v>
      </c>
      <c r="H782" t="s">
        <v>3369</v>
      </c>
    </row>
    <row r="783" spans="1:8" x14ac:dyDescent="0.25">
      <c r="A783" t="s">
        <v>1499</v>
      </c>
      <c r="B783" t="s">
        <v>1500</v>
      </c>
      <c r="C783" s="27">
        <v>44915</v>
      </c>
      <c r="D783" t="s">
        <v>10</v>
      </c>
      <c r="E783" t="s">
        <v>25</v>
      </c>
      <c r="F783">
        <v>984.36</v>
      </c>
      <c r="G783">
        <v>10</v>
      </c>
      <c r="H783" t="s">
        <v>3369</v>
      </c>
    </row>
    <row r="784" spans="1:8" x14ac:dyDescent="0.25">
      <c r="A784" t="s">
        <v>1501</v>
      </c>
      <c r="B784" t="s">
        <v>1502</v>
      </c>
      <c r="C784" s="27">
        <v>44984</v>
      </c>
      <c r="D784" t="s">
        <v>14</v>
      </c>
      <c r="E784" t="s">
        <v>34</v>
      </c>
      <c r="F784">
        <v>1849.65</v>
      </c>
      <c r="G784">
        <v>8</v>
      </c>
      <c r="H784" t="s">
        <v>15</v>
      </c>
    </row>
    <row r="785" spans="1:8" x14ac:dyDescent="0.25">
      <c r="A785" t="s">
        <v>1503</v>
      </c>
      <c r="B785" t="s">
        <v>1504</v>
      </c>
      <c r="C785" s="27">
        <v>45847</v>
      </c>
      <c r="D785" t="s">
        <v>21</v>
      </c>
      <c r="E785" t="s">
        <v>11</v>
      </c>
      <c r="F785">
        <v>1464.12</v>
      </c>
      <c r="G785">
        <v>10</v>
      </c>
      <c r="H785" t="s">
        <v>18</v>
      </c>
    </row>
    <row r="786" spans="1:8" x14ac:dyDescent="0.25">
      <c r="A786" t="s">
        <v>1505</v>
      </c>
      <c r="B786" t="s">
        <v>1506</v>
      </c>
      <c r="C786" s="27">
        <v>45753</v>
      </c>
      <c r="D786" t="s">
        <v>21</v>
      </c>
      <c r="E786" t="s">
        <v>3370</v>
      </c>
      <c r="F786">
        <v>1699.74</v>
      </c>
      <c r="G786">
        <v>9</v>
      </c>
      <c r="H786" t="s">
        <v>3377</v>
      </c>
    </row>
    <row r="787" spans="1:8" x14ac:dyDescent="0.25">
      <c r="A787" t="s">
        <v>1507</v>
      </c>
      <c r="B787" t="s">
        <v>1508</v>
      </c>
      <c r="C787" s="27">
        <v>45438</v>
      </c>
      <c r="D787" t="s">
        <v>10</v>
      </c>
      <c r="E787" t="s">
        <v>11</v>
      </c>
      <c r="F787">
        <v>1638.89</v>
      </c>
      <c r="G787">
        <v>1</v>
      </c>
      <c r="H787" t="s">
        <v>15</v>
      </c>
    </row>
    <row r="788" spans="1:8" x14ac:dyDescent="0.25">
      <c r="A788" t="s">
        <v>1509</v>
      </c>
      <c r="B788" t="s">
        <v>1510</v>
      </c>
      <c r="C788" s="27">
        <v>45898</v>
      </c>
      <c r="D788" t="s">
        <v>3372</v>
      </c>
      <c r="E788" t="s">
        <v>25</v>
      </c>
      <c r="F788">
        <v>541.11</v>
      </c>
      <c r="G788">
        <v>2</v>
      </c>
      <c r="H788" t="s">
        <v>18</v>
      </c>
    </row>
    <row r="789" spans="1:8" x14ac:dyDescent="0.25">
      <c r="A789" t="s">
        <v>1511</v>
      </c>
      <c r="B789" t="s">
        <v>1512</v>
      </c>
      <c r="C789" s="27">
        <v>45855</v>
      </c>
      <c r="D789" t="s">
        <v>10</v>
      </c>
      <c r="E789" t="s">
        <v>25</v>
      </c>
      <c r="F789">
        <v>933.03</v>
      </c>
      <c r="G789">
        <v>1</v>
      </c>
      <c r="H789" t="s">
        <v>3377</v>
      </c>
    </row>
    <row r="790" spans="1:8" x14ac:dyDescent="0.25">
      <c r="A790" t="s">
        <v>1513</v>
      </c>
      <c r="B790" t="s">
        <v>1514</v>
      </c>
      <c r="C790" s="27">
        <v>45238</v>
      </c>
      <c r="D790" t="s">
        <v>14</v>
      </c>
      <c r="E790" t="s">
        <v>3371</v>
      </c>
      <c r="F790">
        <v>695.6</v>
      </c>
      <c r="G790">
        <v>5</v>
      </c>
      <c r="H790" t="s">
        <v>15</v>
      </c>
    </row>
    <row r="791" spans="1:8" x14ac:dyDescent="0.25">
      <c r="A791" t="s">
        <v>1515</v>
      </c>
      <c r="B791" t="s">
        <v>1516</v>
      </c>
      <c r="C791" s="27">
        <v>45081</v>
      </c>
      <c r="D791" t="s">
        <v>21</v>
      </c>
      <c r="E791" t="s">
        <v>3370</v>
      </c>
      <c r="F791">
        <v>414.73</v>
      </c>
      <c r="G791">
        <v>8</v>
      </c>
      <c r="H791" t="s">
        <v>35</v>
      </c>
    </row>
    <row r="792" spans="1:8" x14ac:dyDescent="0.25">
      <c r="A792" t="s">
        <v>1517</v>
      </c>
      <c r="B792" t="s">
        <v>1518</v>
      </c>
      <c r="C792" s="27">
        <v>45444</v>
      </c>
      <c r="D792" t="s">
        <v>21</v>
      </c>
      <c r="E792" t="s">
        <v>22</v>
      </c>
      <c r="G792">
        <v>3</v>
      </c>
      <c r="H792" t="s">
        <v>3377</v>
      </c>
    </row>
    <row r="793" spans="1:8" x14ac:dyDescent="0.25">
      <c r="A793" t="s">
        <v>1519</v>
      </c>
      <c r="B793" t="s">
        <v>1520</v>
      </c>
      <c r="C793" s="27">
        <v>45189</v>
      </c>
      <c r="D793" t="s">
        <v>3372</v>
      </c>
      <c r="E793" t="s">
        <v>3371</v>
      </c>
      <c r="F793">
        <v>1976.35</v>
      </c>
      <c r="G793">
        <v>2</v>
      </c>
      <c r="H793" t="s">
        <v>3377</v>
      </c>
    </row>
    <row r="794" spans="1:8" x14ac:dyDescent="0.25">
      <c r="A794" t="s">
        <v>3413</v>
      </c>
      <c r="B794" t="s">
        <v>3414</v>
      </c>
      <c r="C794" s="27">
        <v>44877</v>
      </c>
      <c r="D794" t="s">
        <v>14</v>
      </c>
      <c r="E794" t="s">
        <v>3370</v>
      </c>
      <c r="H794" t="s">
        <v>35</v>
      </c>
    </row>
    <row r="795" spans="1:8" x14ac:dyDescent="0.25">
      <c r="A795" t="s">
        <v>1521</v>
      </c>
      <c r="B795" t="s">
        <v>1522</v>
      </c>
      <c r="C795" s="27">
        <v>45238</v>
      </c>
      <c r="D795" t="s">
        <v>14</v>
      </c>
      <c r="E795" t="s">
        <v>34</v>
      </c>
      <c r="F795">
        <v>1738.59</v>
      </c>
      <c r="G795">
        <v>2</v>
      </c>
      <c r="H795" t="s">
        <v>35</v>
      </c>
    </row>
    <row r="796" spans="1:8" x14ac:dyDescent="0.25">
      <c r="A796" t="s">
        <v>1523</v>
      </c>
      <c r="B796" t="s">
        <v>1524</v>
      </c>
      <c r="C796" s="27">
        <v>44949</v>
      </c>
      <c r="D796" t="s">
        <v>14</v>
      </c>
      <c r="E796" t="s">
        <v>22</v>
      </c>
      <c r="F796">
        <v>971.47</v>
      </c>
      <c r="G796">
        <v>1</v>
      </c>
      <c r="H796" t="s">
        <v>3377</v>
      </c>
    </row>
    <row r="797" spans="1:8" x14ac:dyDescent="0.25">
      <c r="A797" t="s">
        <v>1525</v>
      </c>
      <c r="B797" t="s">
        <v>1526</v>
      </c>
      <c r="C797" s="27">
        <v>44982</v>
      </c>
      <c r="D797" t="s">
        <v>10</v>
      </c>
      <c r="E797" t="s">
        <v>34</v>
      </c>
      <c r="F797">
        <v>1405.93</v>
      </c>
      <c r="G797">
        <v>7</v>
      </c>
      <c r="H797" t="s">
        <v>18</v>
      </c>
    </row>
    <row r="798" spans="1:8" x14ac:dyDescent="0.25">
      <c r="A798" t="s">
        <v>1527</v>
      </c>
      <c r="B798" t="s">
        <v>1528</v>
      </c>
      <c r="C798" s="27">
        <v>45290</v>
      </c>
      <c r="D798" t="s">
        <v>14</v>
      </c>
      <c r="E798" t="s">
        <v>25</v>
      </c>
      <c r="F798">
        <v>1752.57</v>
      </c>
      <c r="G798">
        <v>1</v>
      </c>
      <c r="H798" t="s">
        <v>15</v>
      </c>
    </row>
    <row r="799" spans="1:8" x14ac:dyDescent="0.25">
      <c r="A799" t="s">
        <v>1529</v>
      </c>
      <c r="B799" t="s">
        <v>1530</v>
      </c>
      <c r="C799" s="27">
        <v>45081</v>
      </c>
      <c r="D799" t="s">
        <v>14</v>
      </c>
      <c r="E799" t="s">
        <v>25</v>
      </c>
      <c r="F799">
        <v>50.02</v>
      </c>
      <c r="G799">
        <v>9</v>
      </c>
      <c r="H799" t="s">
        <v>3377</v>
      </c>
    </row>
    <row r="800" spans="1:8" x14ac:dyDescent="0.25">
      <c r="A800" t="s">
        <v>1531</v>
      </c>
      <c r="B800" t="s">
        <v>1532</v>
      </c>
      <c r="C800" s="27">
        <v>45049</v>
      </c>
      <c r="D800" t="s">
        <v>14</v>
      </c>
      <c r="E800" t="s">
        <v>11</v>
      </c>
      <c r="F800">
        <v>1698.51</v>
      </c>
      <c r="G800">
        <v>6</v>
      </c>
      <c r="H800" t="s">
        <v>18</v>
      </c>
    </row>
    <row r="801" spans="1:8" x14ac:dyDescent="0.25">
      <c r="A801" t="s">
        <v>1533</v>
      </c>
      <c r="B801" t="s">
        <v>498</v>
      </c>
      <c r="C801" s="27">
        <v>45516</v>
      </c>
      <c r="D801" t="s">
        <v>10</v>
      </c>
      <c r="E801" t="s">
        <v>34</v>
      </c>
      <c r="F801">
        <v>1712.62</v>
      </c>
      <c r="G801">
        <v>2</v>
      </c>
      <c r="H801" t="s">
        <v>18</v>
      </c>
    </row>
    <row r="802" spans="1:8" x14ac:dyDescent="0.25">
      <c r="A802" t="s">
        <v>1534</v>
      </c>
      <c r="B802" t="s">
        <v>1535</v>
      </c>
      <c r="C802" s="27">
        <v>44923</v>
      </c>
      <c r="D802" t="s">
        <v>21</v>
      </c>
      <c r="E802" t="s">
        <v>11</v>
      </c>
      <c r="G802">
        <v>10</v>
      </c>
      <c r="H802" t="s">
        <v>3377</v>
      </c>
    </row>
    <row r="803" spans="1:8" x14ac:dyDescent="0.25">
      <c r="A803" t="s">
        <v>1536</v>
      </c>
      <c r="B803" t="s">
        <v>1537</v>
      </c>
      <c r="C803" s="27">
        <v>45871</v>
      </c>
      <c r="D803" t="s">
        <v>14</v>
      </c>
      <c r="E803" t="s">
        <v>22</v>
      </c>
      <c r="F803">
        <v>1926.64</v>
      </c>
      <c r="G803">
        <v>2</v>
      </c>
      <c r="H803" t="s">
        <v>15</v>
      </c>
    </row>
    <row r="804" spans="1:8" x14ac:dyDescent="0.25">
      <c r="A804" t="s">
        <v>3415</v>
      </c>
      <c r="B804" t="s">
        <v>3416</v>
      </c>
      <c r="C804" s="27">
        <v>45474</v>
      </c>
      <c r="D804" t="s">
        <v>3372</v>
      </c>
      <c r="E804" t="s">
        <v>22</v>
      </c>
      <c r="G804">
        <v>5</v>
      </c>
      <c r="H804" t="s">
        <v>35</v>
      </c>
    </row>
    <row r="805" spans="1:8" x14ac:dyDescent="0.25">
      <c r="A805" t="s">
        <v>1538</v>
      </c>
      <c r="B805" t="s">
        <v>1539</v>
      </c>
      <c r="C805" s="27">
        <v>45343</v>
      </c>
      <c r="D805" t="s">
        <v>14</v>
      </c>
      <c r="E805" t="s">
        <v>3371</v>
      </c>
      <c r="F805">
        <v>772.65</v>
      </c>
      <c r="G805">
        <v>6</v>
      </c>
      <c r="H805" t="s">
        <v>3369</v>
      </c>
    </row>
    <row r="806" spans="1:8" x14ac:dyDescent="0.25">
      <c r="A806" t="s">
        <v>1540</v>
      </c>
      <c r="B806" t="s">
        <v>1541</v>
      </c>
      <c r="C806" s="27">
        <v>44865</v>
      </c>
      <c r="D806" t="s">
        <v>3372</v>
      </c>
      <c r="E806" t="s">
        <v>3370</v>
      </c>
      <c r="F806">
        <v>81.12</v>
      </c>
      <c r="G806">
        <v>9</v>
      </c>
      <c r="H806" t="s">
        <v>3377</v>
      </c>
    </row>
    <row r="807" spans="1:8" x14ac:dyDescent="0.25">
      <c r="A807" t="s">
        <v>1542</v>
      </c>
      <c r="B807" t="s">
        <v>1543</v>
      </c>
      <c r="C807" s="27">
        <v>45631</v>
      </c>
      <c r="D807" t="s">
        <v>10</v>
      </c>
      <c r="E807" t="s">
        <v>3370</v>
      </c>
      <c r="F807">
        <v>5.21</v>
      </c>
      <c r="G807">
        <v>2</v>
      </c>
      <c r="H807" t="s">
        <v>18</v>
      </c>
    </row>
    <row r="808" spans="1:8" x14ac:dyDescent="0.25">
      <c r="A808" t="s">
        <v>1544</v>
      </c>
      <c r="B808" t="s">
        <v>1545</v>
      </c>
      <c r="C808" s="27">
        <v>45536</v>
      </c>
      <c r="D808" t="s">
        <v>21</v>
      </c>
      <c r="E808" t="s">
        <v>11</v>
      </c>
      <c r="F808">
        <v>691.33</v>
      </c>
      <c r="G808">
        <v>9</v>
      </c>
      <c r="H808" t="s">
        <v>15</v>
      </c>
    </row>
    <row r="809" spans="1:8" x14ac:dyDescent="0.25">
      <c r="A809" t="s">
        <v>1546</v>
      </c>
      <c r="B809" t="s">
        <v>1547</v>
      </c>
      <c r="C809" s="27">
        <v>45718</v>
      </c>
      <c r="D809" t="s">
        <v>10</v>
      </c>
      <c r="E809" t="s">
        <v>3370</v>
      </c>
      <c r="F809">
        <v>197.79</v>
      </c>
      <c r="G809">
        <v>9</v>
      </c>
      <c r="H809" t="s">
        <v>3369</v>
      </c>
    </row>
    <row r="810" spans="1:8" x14ac:dyDescent="0.25">
      <c r="A810" t="s">
        <v>1548</v>
      </c>
      <c r="B810" t="s">
        <v>1549</v>
      </c>
      <c r="C810" s="27">
        <v>45684</v>
      </c>
      <c r="D810" t="s">
        <v>21</v>
      </c>
      <c r="E810" t="s">
        <v>34</v>
      </c>
      <c r="F810">
        <v>1676.71</v>
      </c>
      <c r="G810">
        <v>8</v>
      </c>
      <c r="H810" t="s">
        <v>35</v>
      </c>
    </row>
    <row r="811" spans="1:8" x14ac:dyDescent="0.25">
      <c r="A811" t="s">
        <v>1550</v>
      </c>
      <c r="B811" t="s">
        <v>1551</v>
      </c>
      <c r="C811" s="27">
        <v>45050</v>
      </c>
      <c r="D811" t="s">
        <v>21</v>
      </c>
      <c r="E811" t="s">
        <v>3371</v>
      </c>
      <c r="F811">
        <v>374.6</v>
      </c>
      <c r="G811">
        <v>6</v>
      </c>
      <c r="H811" t="s">
        <v>15</v>
      </c>
    </row>
    <row r="812" spans="1:8" x14ac:dyDescent="0.25">
      <c r="A812" t="s">
        <v>1552</v>
      </c>
      <c r="B812" t="s">
        <v>1553</v>
      </c>
      <c r="C812" s="27">
        <v>45611</v>
      </c>
      <c r="D812" t="s">
        <v>21</v>
      </c>
      <c r="E812" t="s">
        <v>11</v>
      </c>
      <c r="F812">
        <v>220.23</v>
      </c>
      <c r="G812">
        <v>6</v>
      </c>
      <c r="H812" t="s">
        <v>3369</v>
      </c>
    </row>
    <row r="813" spans="1:8" x14ac:dyDescent="0.25">
      <c r="A813" t="s">
        <v>1554</v>
      </c>
      <c r="B813" t="s">
        <v>344</v>
      </c>
      <c r="C813" s="27">
        <v>44968</v>
      </c>
      <c r="D813" t="s">
        <v>10</v>
      </c>
      <c r="E813" t="s">
        <v>25</v>
      </c>
      <c r="F813">
        <v>246.91</v>
      </c>
      <c r="G813">
        <v>2</v>
      </c>
      <c r="H813" t="s">
        <v>3377</v>
      </c>
    </row>
    <row r="814" spans="1:8" x14ac:dyDescent="0.25">
      <c r="A814" t="s">
        <v>1555</v>
      </c>
      <c r="B814" t="s">
        <v>1556</v>
      </c>
      <c r="C814" s="27">
        <v>45146</v>
      </c>
      <c r="D814" t="s">
        <v>10</v>
      </c>
      <c r="E814" t="s">
        <v>11</v>
      </c>
      <c r="F814">
        <v>1323.42</v>
      </c>
      <c r="G814">
        <v>8</v>
      </c>
      <c r="H814" t="s">
        <v>3377</v>
      </c>
    </row>
    <row r="815" spans="1:8" x14ac:dyDescent="0.25">
      <c r="A815" t="s">
        <v>1557</v>
      </c>
      <c r="B815" t="s">
        <v>1558</v>
      </c>
      <c r="C815" s="27">
        <v>45661</v>
      </c>
      <c r="D815" t="s">
        <v>14</v>
      </c>
      <c r="E815" t="s">
        <v>22</v>
      </c>
      <c r="G815">
        <v>7</v>
      </c>
      <c r="H815" t="s">
        <v>3377</v>
      </c>
    </row>
    <row r="816" spans="1:8" x14ac:dyDescent="0.25">
      <c r="A816" t="s">
        <v>1559</v>
      </c>
      <c r="B816" t="s">
        <v>1560</v>
      </c>
      <c r="C816" s="27">
        <v>45724</v>
      </c>
      <c r="D816" t="s">
        <v>10</v>
      </c>
      <c r="E816" t="s">
        <v>3370</v>
      </c>
      <c r="F816">
        <v>519.04</v>
      </c>
      <c r="G816">
        <v>8</v>
      </c>
      <c r="H816" t="s">
        <v>18</v>
      </c>
    </row>
    <row r="817" spans="1:8" x14ac:dyDescent="0.25">
      <c r="A817" t="s">
        <v>1561</v>
      </c>
      <c r="B817" t="s">
        <v>1562</v>
      </c>
      <c r="C817" s="27">
        <v>45769</v>
      </c>
      <c r="D817" t="s">
        <v>14</v>
      </c>
      <c r="E817" t="s">
        <v>3371</v>
      </c>
      <c r="F817">
        <v>1926.01</v>
      </c>
      <c r="G817">
        <v>9</v>
      </c>
      <c r="H817" t="s">
        <v>3377</v>
      </c>
    </row>
    <row r="818" spans="1:8" x14ac:dyDescent="0.25">
      <c r="A818" t="s">
        <v>1563</v>
      </c>
      <c r="B818" t="s">
        <v>1564</v>
      </c>
      <c r="C818" s="27">
        <v>44948</v>
      </c>
      <c r="D818" t="s">
        <v>3372</v>
      </c>
      <c r="E818" t="s">
        <v>25</v>
      </c>
      <c r="F818">
        <v>611.1</v>
      </c>
      <c r="G818">
        <v>1</v>
      </c>
      <c r="H818" t="s">
        <v>15</v>
      </c>
    </row>
    <row r="819" spans="1:8" x14ac:dyDescent="0.25">
      <c r="A819" t="s">
        <v>1565</v>
      </c>
      <c r="B819" t="s">
        <v>1566</v>
      </c>
      <c r="C819" s="27">
        <v>45432</v>
      </c>
      <c r="D819" t="s">
        <v>3372</v>
      </c>
      <c r="E819" t="s">
        <v>11</v>
      </c>
      <c r="F819">
        <v>1713.12</v>
      </c>
      <c r="G819">
        <v>5</v>
      </c>
      <c r="H819" t="s">
        <v>3369</v>
      </c>
    </row>
    <row r="820" spans="1:8" x14ac:dyDescent="0.25">
      <c r="A820" t="s">
        <v>1567</v>
      </c>
      <c r="B820" t="s">
        <v>417</v>
      </c>
      <c r="C820" s="27">
        <v>45211</v>
      </c>
      <c r="D820" t="s">
        <v>14</v>
      </c>
      <c r="E820" t="s">
        <v>25</v>
      </c>
      <c r="F820">
        <v>989.88</v>
      </c>
      <c r="G820">
        <v>1</v>
      </c>
      <c r="H820" t="s">
        <v>18</v>
      </c>
    </row>
    <row r="821" spans="1:8" x14ac:dyDescent="0.25">
      <c r="A821" t="s">
        <v>1568</v>
      </c>
      <c r="B821" t="s">
        <v>1569</v>
      </c>
      <c r="C821" s="27">
        <v>45497</v>
      </c>
      <c r="D821" t="s">
        <v>3372</v>
      </c>
      <c r="E821" t="s">
        <v>34</v>
      </c>
      <c r="F821">
        <v>1032.3</v>
      </c>
      <c r="G821">
        <v>5</v>
      </c>
      <c r="H821" t="s">
        <v>35</v>
      </c>
    </row>
    <row r="822" spans="1:8" x14ac:dyDescent="0.25">
      <c r="A822" t="s">
        <v>1570</v>
      </c>
      <c r="B822" t="s">
        <v>1571</v>
      </c>
      <c r="C822" s="27">
        <v>45331</v>
      </c>
      <c r="D822" t="s">
        <v>3372</v>
      </c>
      <c r="E822" t="s">
        <v>11</v>
      </c>
      <c r="F822">
        <v>637.92999999999995</v>
      </c>
      <c r="H822" t="s">
        <v>18</v>
      </c>
    </row>
    <row r="823" spans="1:8" x14ac:dyDescent="0.25">
      <c r="A823" t="s">
        <v>1572</v>
      </c>
      <c r="B823" t="s">
        <v>1573</v>
      </c>
      <c r="C823" s="27">
        <v>45043</v>
      </c>
      <c r="D823" t="s">
        <v>3372</v>
      </c>
      <c r="E823" t="s">
        <v>34</v>
      </c>
      <c r="F823">
        <v>1507.25</v>
      </c>
      <c r="G823">
        <v>3</v>
      </c>
      <c r="H823" t="s">
        <v>3377</v>
      </c>
    </row>
    <row r="824" spans="1:8" x14ac:dyDescent="0.25">
      <c r="A824" t="s">
        <v>1574</v>
      </c>
      <c r="B824" t="s">
        <v>1575</v>
      </c>
      <c r="C824" s="27">
        <v>45789</v>
      </c>
      <c r="D824" t="s">
        <v>14</v>
      </c>
      <c r="E824" t="s">
        <v>22</v>
      </c>
      <c r="F824">
        <v>422.76</v>
      </c>
      <c r="H824" t="s">
        <v>15</v>
      </c>
    </row>
    <row r="825" spans="1:8" x14ac:dyDescent="0.25">
      <c r="A825" t="s">
        <v>1576</v>
      </c>
      <c r="B825" t="s">
        <v>1577</v>
      </c>
      <c r="C825" s="27">
        <v>45497</v>
      </c>
      <c r="D825" t="s">
        <v>10</v>
      </c>
      <c r="E825" t="s">
        <v>25</v>
      </c>
      <c r="F825">
        <v>1852.01</v>
      </c>
      <c r="G825">
        <v>4</v>
      </c>
      <c r="H825" t="s">
        <v>3369</v>
      </c>
    </row>
    <row r="826" spans="1:8" x14ac:dyDescent="0.25">
      <c r="A826" t="s">
        <v>1578</v>
      </c>
      <c r="B826" t="s">
        <v>500</v>
      </c>
      <c r="C826" s="27">
        <v>45824</v>
      </c>
      <c r="D826" t="s">
        <v>21</v>
      </c>
      <c r="E826" t="s">
        <v>22</v>
      </c>
      <c r="G826">
        <v>1</v>
      </c>
      <c r="H826" t="s">
        <v>15</v>
      </c>
    </row>
    <row r="827" spans="1:8" x14ac:dyDescent="0.25">
      <c r="A827" t="s">
        <v>1579</v>
      </c>
      <c r="B827" t="s">
        <v>1580</v>
      </c>
      <c r="C827" s="27">
        <v>44958</v>
      </c>
      <c r="D827" t="s">
        <v>21</v>
      </c>
      <c r="E827" t="s">
        <v>25</v>
      </c>
      <c r="F827">
        <v>1493.73</v>
      </c>
      <c r="G827">
        <v>9</v>
      </c>
      <c r="H827" t="s">
        <v>3369</v>
      </c>
    </row>
    <row r="828" spans="1:8" x14ac:dyDescent="0.25">
      <c r="A828" t="s">
        <v>1581</v>
      </c>
      <c r="B828" t="s">
        <v>1582</v>
      </c>
      <c r="C828" s="27">
        <v>44928</v>
      </c>
      <c r="D828" t="s">
        <v>3372</v>
      </c>
      <c r="E828" t="s">
        <v>25</v>
      </c>
      <c r="F828">
        <v>956.25</v>
      </c>
      <c r="H828" t="s">
        <v>3377</v>
      </c>
    </row>
    <row r="829" spans="1:8" x14ac:dyDescent="0.25">
      <c r="A829" t="s">
        <v>1583</v>
      </c>
      <c r="B829" t="s">
        <v>1584</v>
      </c>
      <c r="C829" s="27">
        <v>45184</v>
      </c>
      <c r="D829" t="s">
        <v>21</v>
      </c>
      <c r="E829" t="s">
        <v>34</v>
      </c>
      <c r="F829">
        <v>684.43</v>
      </c>
      <c r="G829">
        <v>4</v>
      </c>
      <c r="H829" t="s">
        <v>18</v>
      </c>
    </row>
    <row r="830" spans="1:8" x14ac:dyDescent="0.25">
      <c r="A830" t="s">
        <v>1585</v>
      </c>
      <c r="B830" t="s">
        <v>1586</v>
      </c>
      <c r="C830" s="27">
        <v>45880</v>
      </c>
      <c r="D830" t="s">
        <v>3372</v>
      </c>
      <c r="E830" t="s">
        <v>3371</v>
      </c>
      <c r="F830">
        <v>895.96</v>
      </c>
      <c r="G830">
        <v>4</v>
      </c>
      <c r="H830" t="s">
        <v>15</v>
      </c>
    </row>
    <row r="831" spans="1:8" x14ac:dyDescent="0.25">
      <c r="A831" t="s">
        <v>1587</v>
      </c>
      <c r="B831" t="s">
        <v>1588</v>
      </c>
      <c r="C831" s="27">
        <v>45094</v>
      </c>
      <c r="D831" t="s">
        <v>14</v>
      </c>
      <c r="E831" t="s">
        <v>11</v>
      </c>
      <c r="F831">
        <v>1824.68</v>
      </c>
      <c r="G831">
        <v>3</v>
      </c>
      <c r="H831" t="s">
        <v>15</v>
      </c>
    </row>
    <row r="832" spans="1:8" x14ac:dyDescent="0.25">
      <c r="A832" t="s">
        <v>1589</v>
      </c>
      <c r="B832" t="s">
        <v>1590</v>
      </c>
      <c r="C832" s="27">
        <v>45171</v>
      </c>
      <c r="D832" t="s">
        <v>10</v>
      </c>
      <c r="E832" t="s">
        <v>11</v>
      </c>
      <c r="F832">
        <v>656.62</v>
      </c>
      <c r="G832">
        <v>9</v>
      </c>
      <c r="H832" t="s">
        <v>35</v>
      </c>
    </row>
    <row r="833" spans="1:8" x14ac:dyDescent="0.25">
      <c r="A833" t="s">
        <v>1591</v>
      </c>
      <c r="B833" t="s">
        <v>1592</v>
      </c>
      <c r="C833" s="27">
        <v>45900</v>
      </c>
      <c r="D833" t="s">
        <v>3372</v>
      </c>
      <c r="E833" t="s">
        <v>3370</v>
      </c>
      <c r="F833">
        <v>1498.45</v>
      </c>
      <c r="G833">
        <v>8</v>
      </c>
      <c r="H833" t="s">
        <v>15</v>
      </c>
    </row>
    <row r="834" spans="1:8" x14ac:dyDescent="0.25">
      <c r="A834" t="s">
        <v>1593</v>
      </c>
      <c r="B834" t="s">
        <v>1594</v>
      </c>
      <c r="C834" s="27">
        <v>45553</v>
      </c>
      <c r="D834" t="s">
        <v>3372</v>
      </c>
      <c r="E834" t="s">
        <v>3371</v>
      </c>
      <c r="G834">
        <v>1</v>
      </c>
      <c r="H834" t="s">
        <v>3369</v>
      </c>
    </row>
    <row r="835" spans="1:8" x14ac:dyDescent="0.25">
      <c r="A835" t="s">
        <v>1595</v>
      </c>
      <c r="B835" t="s">
        <v>1596</v>
      </c>
      <c r="C835" s="27">
        <v>45035</v>
      </c>
      <c r="D835" t="s">
        <v>14</v>
      </c>
      <c r="E835" t="s">
        <v>3370</v>
      </c>
      <c r="F835">
        <v>1142.7</v>
      </c>
      <c r="G835">
        <v>1</v>
      </c>
      <c r="H835" t="s">
        <v>15</v>
      </c>
    </row>
    <row r="836" spans="1:8" x14ac:dyDescent="0.25">
      <c r="A836" t="s">
        <v>1597</v>
      </c>
      <c r="B836" t="s">
        <v>1598</v>
      </c>
      <c r="C836" s="27">
        <v>45863</v>
      </c>
      <c r="D836" t="s">
        <v>3372</v>
      </c>
      <c r="E836" t="s">
        <v>3371</v>
      </c>
      <c r="F836">
        <v>1295.6400000000001</v>
      </c>
      <c r="G836">
        <v>4</v>
      </c>
      <c r="H836" t="s">
        <v>15</v>
      </c>
    </row>
    <row r="837" spans="1:8" x14ac:dyDescent="0.25">
      <c r="A837" t="s">
        <v>1599</v>
      </c>
      <c r="B837" t="s">
        <v>1600</v>
      </c>
      <c r="C837" s="27">
        <v>45050</v>
      </c>
      <c r="D837" t="s">
        <v>21</v>
      </c>
      <c r="E837" t="s">
        <v>3370</v>
      </c>
      <c r="G837">
        <v>3</v>
      </c>
      <c r="H837" t="s">
        <v>3369</v>
      </c>
    </row>
    <row r="838" spans="1:8" x14ac:dyDescent="0.25">
      <c r="A838" t="s">
        <v>1601</v>
      </c>
      <c r="B838" t="s">
        <v>1602</v>
      </c>
      <c r="C838" s="27">
        <v>45129</v>
      </c>
      <c r="D838" t="s">
        <v>10</v>
      </c>
      <c r="E838" t="s">
        <v>3370</v>
      </c>
      <c r="F838">
        <v>379.19</v>
      </c>
      <c r="G838">
        <v>4</v>
      </c>
      <c r="H838" t="s">
        <v>15</v>
      </c>
    </row>
    <row r="839" spans="1:8" x14ac:dyDescent="0.25">
      <c r="A839" t="s">
        <v>1603</v>
      </c>
      <c r="B839" t="s">
        <v>1604</v>
      </c>
      <c r="C839" s="27">
        <v>45667</v>
      </c>
      <c r="D839" t="s">
        <v>14</v>
      </c>
      <c r="E839" t="s">
        <v>34</v>
      </c>
      <c r="F839">
        <v>241.46</v>
      </c>
      <c r="G839">
        <v>6</v>
      </c>
      <c r="H839" t="s">
        <v>3369</v>
      </c>
    </row>
    <row r="840" spans="1:8" x14ac:dyDescent="0.25">
      <c r="A840" t="s">
        <v>1605</v>
      </c>
      <c r="B840" t="s">
        <v>1606</v>
      </c>
      <c r="C840" s="27">
        <v>45017</v>
      </c>
      <c r="D840" t="s">
        <v>3372</v>
      </c>
      <c r="E840" t="s">
        <v>22</v>
      </c>
      <c r="G840">
        <v>10</v>
      </c>
      <c r="H840" t="s">
        <v>3377</v>
      </c>
    </row>
    <row r="841" spans="1:8" x14ac:dyDescent="0.25">
      <c r="A841" t="s">
        <v>3409</v>
      </c>
      <c r="B841" t="s">
        <v>3410</v>
      </c>
      <c r="C841" s="27">
        <v>45832</v>
      </c>
      <c r="D841" t="s">
        <v>10</v>
      </c>
      <c r="E841" t="s">
        <v>3371</v>
      </c>
      <c r="F841">
        <v>960.72</v>
      </c>
      <c r="G841">
        <v>6</v>
      </c>
      <c r="H841" t="s">
        <v>18</v>
      </c>
    </row>
    <row r="842" spans="1:8" x14ac:dyDescent="0.25">
      <c r="A842" t="s">
        <v>1607</v>
      </c>
      <c r="B842" t="s">
        <v>1608</v>
      </c>
      <c r="C842" s="27">
        <v>45836</v>
      </c>
      <c r="D842" t="s">
        <v>21</v>
      </c>
      <c r="E842" t="s">
        <v>3370</v>
      </c>
      <c r="F842">
        <v>37.869999999999997</v>
      </c>
      <c r="G842">
        <v>3</v>
      </c>
      <c r="H842" t="s">
        <v>3377</v>
      </c>
    </row>
    <row r="843" spans="1:8" x14ac:dyDescent="0.25">
      <c r="A843" t="s">
        <v>1609</v>
      </c>
      <c r="B843" t="s">
        <v>828</v>
      </c>
      <c r="C843" s="27">
        <v>45361</v>
      </c>
      <c r="D843" t="s">
        <v>3372</v>
      </c>
      <c r="E843" t="s">
        <v>25</v>
      </c>
      <c r="F843">
        <v>563.9</v>
      </c>
      <c r="G843">
        <v>8</v>
      </c>
      <c r="H843" t="s">
        <v>15</v>
      </c>
    </row>
    <row r="844" spans="1:8" x14ac:dyDescent="0.25">
      <c r="A844" t="s">
        <v>1610</v>
      </c>
      <c r="B844" t="s">
        <v>1611</v>
      </c>
      <c r="C844" s="27">
        <v>45307</v>
      </c>
      <c r="D844" t="s">
        <v>21</v>
      </c>
      <c r="E844" t="s">
        <v>34</v>
      </c>
      <c r="F844">
        <v>133.06</v>
      </c>
      <c r="G844">
        <v>1</v>
      </c>
      <c r="H844" t="s">
        <v>3377</v>
      </c>
    </row>
    <row r="845" spans="1:8" x14ac:dyDescent="0.25">
      <c r="A845" t="s">
        <v>1612</v>
      </c>
      <c r="B845" t="s">
        <v>1613</v>
      </c>
      <c r="C845" s="27">
        <v>44858</v>
      </c>
      <c r="D845" t="s">
        <v>21</v>
      </c>
      <c r="E845" t="s">
        <v>34</v>
      </c>
      <c r="F845">
        <v>715.74</v>
      </c>
      <c r="G845">
        <v>10</v>
      </c>
      <c r="H845" t="s">
        <v>35</v>
      </c>
    </row>
    <row r="846" spans="1:8" x14ac:dyDescent="0.25">
      <c r="A846" t="s">
        <v>1614</v>
      </c>
      <c r="B846" t="s">
        <v>1615</v>
      </c>
      <c r="C846" s="27">
        <v>45214</v>
      </c>
      <c r="D846" t="s">
        <v>14</v>
      </c>
      <c r="E846" t="s">
        <v>11</v>
      </c>
      <c r="F846">
        <v>570.88</v>
      </c>
      <c r="H846" t="s">
        <v>35</v>
      </c>
    </row>
    <row r="847" spans="1:8" x14ac:dyDescent="0.25">
      <c r="A847" t="s">
        <v>1616</v>
      </c>
      <c r="B847" t="s">
        <v>1617</v>
      </c>
      <c r="C847" s="27">
        <v>44941</v>
      </c>
      <c r="D847" t="s">
        <v>10</v>
      </c>
      <c r="E847" t="s">
        <v>25</v>
      </c>
      <c r="F847">
        <v>1339.33</v>
      </c>
      <c r="G847">
        <v>4</v>
      </c>
      <c r="H847" t="s">
        <v>3377</v>
      </c>
    </row>
    <row r="848" spans="1:8" x14ac:dyDescent="0.25">
      <c r="A848" t="s">
        <v>1618</v>
      </c>
      <c r="B848" t="s">
        <v>1619</v>
      </c>
      <c r="C848" s="27">
        <v>45013</v>
      </c>
      <c r="D848" t="s">
        <v>10</v>
      </c>
      <c r="E848" t="s">
        <v>3371</v>
      </c>
      <c r="F848">
        <v>1489.74</v>
      </c>
      <c r="G848">
        <v>4</v>
      </c>
      <c r="H848" t="s">
        <v>35</v>
      </c>
    </row>
    <row r="849" spans="1:8" x14ac:dyDescent="0.25">
      <c r="A849" t="s">
        <v>1620</v>
      </c>
      <c r="B849" t="s">
        <v>1621</v>
      </c>
      <c r="C849" s="27">
        <v>45119</v>
      </c>
      <c r="D849" t="s">
        <v>10</v>
      </c>
      <c r="E849" t="s">
        <v>11</v>
      </c>
      <c r="F849">
        <v>1698.86</v>
      </c>
      <c r="G849">
        <v>6</v>
      </c>
      <c r="H849" t="s">
        <v>3377</v>
      </c>
    </row>
    <row r="850" spans="1:8" x14ac:dyDescent="0.25">
      <c r="A850" t="s">
        <v>1622</v>
      </c>
      <c r="B850" t="s">
        <v>1623</v>
      </c>
      <c r="C850" s="27">
        <v>45118</v>
      </c>
      <c r="D850" t="s">
        <v>14</v>
      </c>
      <c r="E850" t="s">
        <v>11</v>
      </c>
      <c r="F850">
        <v>1741.67</v>
      </c>
      <c r="G850">
        <v>10</v>
      </c>
      <c r="H850" t="s">
        <v>3377</v>
      </c>
    </row>
    <row r="851" spans="1:8" x14ac:dyDescent="0.25">
      <c r="A851" t="s">
        <v>1624</v>
      </c>
      <c r="B851" t="s">
        <v>1625</v>
      </c>
      <c r="C851" s="27">
        <v>45239</v>
      </c>
      <c r="D851" t="s">
        <v>10</v>
      </c>
      <c r="E851" t="s">
        <v>11</v>
      </c>
      <c r="F851">
        <v>1035.95</v>
      </c>
      <c r="H851" t="s">
        <v>3377</v>
      </c>
    </row>
    <row r="852" spans="1:8" x14ac:dyDescent="0.25">
      <c r="A852" t="s">
        <v>1626</v>
      </c>
      <c r="B852" t="s">
        <v>1627</v>
      </c>
      <c r="C852" s="27">
        <v>45886</v>
      </c>
      <c r="D852" t="s">
        <v>14</v>
      </c>
      <c r="E852" t="s">
        <v>3371</v>
      </c>
      <c r="F852">
        <v>365.3</v>
      </c>
      <c r="G852">
        <v>9</v>
      </c>
      <c r="H852" t="s">
        <v>3369</v>
      </c>
    </row>
    <row r="853" spans="1:8" x14ac:dyDescent="0.25">
      <c r="A853" t="s">
        <v>1628</v>
      </c>
      <c r="B853" t="s">
        <v>1629</v>
      </c>
      <c r="C853" s="27">
        <v>45643</v>
      </c>
      <c r="D853" t="s">
        <v>21</v>
      </c>
      <c r="E853" t="s">
        <v>22</v>
      </c>
      <c r="F853">
        <v>251.88</v>
      </c>
      <c r="G853">
        <v>8</v>
      </c>
      <c r="H853" t="s">
        <v>15</v>
      </c>
    </row>
    <row r="854" spans="1:8" x14ac:dyDescent="0.25">
      <c r="A854" t="s">
        <v>1630</v>
      </c>
      <c r="B854" t="s">
        <v>1631</v>
      </c>
      <c r="C854" s="27">
        <v>45496</v>
      </c>
      <c r="D854" t="s">
        <v>10</v>
      </c>
      <c r="E854" t="s">
        <v>34</v>
      </c>
      <c r="F854">
        <v>182.82</v>
      </c>
      <c r="G854">
        <v>4</v>
      </c>
      <c r="H854" t="s">
        <v>3377</v>
      </c>
    </row>
    <row r="855" spans="1:8" x14ac:dyDescent="0.25">
      <c r="A855" t="s">
        <v>1632</v>
      </c>
      <c r="B855" t="s">
        <v>1633</v>
      </c>
      <c r="C855" s="27">
        <v>44934</v>
      </c>
      <c r="D855" t="s">
        <v>10</v>
      </c>
      <c r="E855" t="s">
        <v>3371</v>
      </c>
      <c r="F855">
        <v>842.61</v>
      </c>
      <c r="G855">
        <v>4</v>
      </c>
      <c r="H855" t="s">
        <v>3369</v>
      </c>
    </row>
    <row r="856" spans="1:8" x14ac:dyDescent="0.25">
      <c r="A856" t="s">
        <v>1634</v>
      </c>
      <c r="B856" t="s">
        <v>1635</v>
      </c>
      <c r="C856" s="27">
        <v>45413</v>
      </c>
      <c r="D856" t="s">
        <v>14</v>
      </c>
      <c r="E856" t="s">
        <v>11</v>
      </c>
      <c r="G856">
        <v>8</v>
      </c>
      <c r="H856" t="s">
        <v>3369</v>
      </c>
    </row>
    <row r="857" spans="1:8" x14ac:dyDescent="0.25">
      <c r="A857" t="s">
        <v>1636</v>
      </c>
      <c r="B857" t="s">
        <v>1637</v>
      </c>
      <c r="C857" s="27">
        <v>45105</v>
      </c>
      <c r="D857" t="s">
        <v>14</v>
      </c>
      <c r="E857" t="s">
        <v>3371</v>
      </c>
      <c r="F857">
        <v>89.64</v>
      </c>
      <c r="G857">
        <v>9</v>
      </c>
      <c r="H857" t="s">
        <v>3377</v>
      </c>
    </row>
    <row r="858" spans="1:8" x14ac:dyDescent="0.25">
      <c r="A858" t="s">
        <v>1638</v>
      </c>
      <c r="B858" t="s">
        <v>1639</v>
      </c>
      <c r="C858" s="27">
        <v>45272</v>
      </c>
      <c r="D858" t="s">
        <v>10</v>
      </c>
      <c r="E858" t="s">
        <v>3371</v>
      </c>
      <c r="F858">
        <v>1476.62</v>
      </c>
      <c r="G858">
        <v>2</v>
      </c>
      <c r="H858" t="s">
        <v>15</v>
      </c>
    </row>
    <row r="859" spans="1:8" x14ac:dyDescent="0.25">
      <c r="A859" t="s">
        <v>1640</v>
      </c>
      <c r="B859" t="s">
        <v>1641</v>
      </c>
      <c r="C859" s="27">
        <v>44971</v>
      </c>
      <c r="D859" t="s">
        <v>3372</v>
      </c>
      <c r="E859" t="s">
        <v>25</v>
      </c>
      <c r="F859">
        <v>947.3</v>
      </c>
      <c r="G859">
        <v>10</v>
      </c>
      <c r="H859" t="s">
        <v>3377</v>
      </c>
    </row>
    <row r="860" spans="1:8" x14ac:dyDescent="0.25">
      <c r="A860" t="s">
        <v>1642</v>
      </c>
      <c r="B860" t="s">
        <v>1269</v>
      </c>
      <c r="C860" s="27">
        <v>45352</v>
      </c>
      <c r="D860" t="s">
        <v>3372</v>
      </c>
      <c r="E860" t="s">
        <v>11</v>
      </c>
      <c r="F860">
        <v>1332</v>
      </c>
      <c r="G860">
        <v>3</v>
      </c>
      <c r="H860" t="s">
        <v>3377</v>
      </c>
    </row>
    <row r="861" spans="1:8" x14ac:dyDescent="0.25">
      <c r="A861" t="s">
        <v>1643</v>
      </c>
      <c r="B861" t="s">
        <v>1644</v>
      </c>
      <c r="C861" s="27">
        <v>45947</v>
      </c>
      <c r="D861" t="s">
        <v>10</v>
      </c>
      <c r="E861" t="s">
        <v>25</v>
      </c>
      <c r="F861">
        <v>1405.99</v>
      </c>
      <c r="G861">
        <v>4</v>
      </c>
      <c r="H861" t="s">
        <v>15</v>
      </c>
    </row>
    <row r="862" spans="1:8" x14ac:dyDescent="0.25">
      <c r="A862" t="s">
        <v>1645</v>
      </c>
      <c r="B862" t="s">
        <v>1646</v>
      </c>
      <c r="C862" s="27">
        <v>45878</v>
      </c>
      <c r="D862" t="s">
        <v>3372</v>
      </c>
      <c r="E862" t="s">
        <v>25</v>
      </c>
      <c r="F862">
        <v>1259.3599999999999</v>
      </c>
      <c r="G862">
        <v>4</v>
      </c>
      <c r="H862" t="s">
        <v>15</v>
      </c>
    </row>
    <row r="863" spans="1:8" x14ac:dyDescent="0.25">
      <c r="A863" t="s">
        <v>1647</v>
      </c>
      <c r="B863" t="s">
        <v>1648</v>
      </c>
      <c r="C863" s="27">
        <v>44932</v>
      </c>
      <c r="D863" t="s">
        <v>14</v>
      </c>
      <c r="E863" t="s">
        <v>3371</v>
      </c>
      <c r="F863">
        <v>1962.98</v>
      </c>
      <c r="G863">
        <v>5</v>
      </c>
      <c r="H863" t="s">
        <v>15</v>
      </c>
    </row>
    <row r="864" spans="1:8" x14ac:dyDescent="0.25">
      <c r="A864" t="s">
        <v>1649</v>
      </c>
      <c r="B864" t="s">
        <v>1650</v>
      </c>
      <c r="C864" s="27">
        <v>45755</v>
      </c>
      <c r="D864" t="s">
        <v>21</v>
      </c>
      <c r="E864" t="s">
        <v>3370</v>
      </c>
      <c r="F864">
        <v>227.39</v>
      </c>
      <c r="H864" t="s">
        <v>35</v>
      </c>
    </row>
    <row r="865" spans="1:8" x14ac:dyDescent="0.25">
      <c r="A865" t="s">
        <v>1651</v>
      </c>
      <c r="B865" t="s">
        <v>1652</v>
      </c>
      <c r="C865" s="27">
        <v>45399</v>
      </c>
      <c r="D865" t="s">
        <v>21</v>
      </c>
      <c r="E865" t="s">
        <v>22</v>
      </c>
      <c r="F865">
        <v>709.15</v>
      </c>
      <c r="G865">
        <v>1</v>
      </c>
      <c r="H865" t="s">
        <v>15</v>
      </c>
    </row>
    <row r="866" spans="1:8" x14ac:dyDescent="0.25">
      <c r="A866" t="s">
        <v>3417</v>
      </c>
      <c r="B866" t="s">
        <v>3418</v>
      </c>
      <c r="C866" s="27">
        <v>45279</v>
      </c>
      <c r="D866" t="s">
        <v>14</v>
      </c>
      <c r="E866" t="s">
        <v>34</v>
      </c>
      <c r="H866" t="s">
        <v>18</v>
      </c>
    </row>
    <row r="867" spans="1:8" x14ac:dyDescent="0.25">
      <c r="A867" t="s">
        <v>1653</v>
      </c>
      <c r="B867" t="s">
        <v>1654</v>
      </c>
      <c r="C867" s="27">
        <v>45300</v>
      </c>
      <c r="D867" t="s">
        <v>3372</v>
      </c>
      <c r="E867" t="s">
        <v>22</v>
      </c>
      <c r="F867">
        <v>1168.48</v>
      </c>
      <c r="G867">
        <v>4</v>
      </c>
      <c r="H867" t="s">
        <v>3369</v>
      </c>
    </row>
    <row r="868" spans="1:8" x14ac:dyDescent="0.25">
      <c r="A868" t="s">
        <v>1655</v>
      </c>
      <c r="B868" t="s">
        <v>321</v>
      </c>
      <c r="C868" s="27">
        <v>45262</v>
      </c>
      <c r="D868" t="s">
        <v>3372</v>
      </c>
      <c r="E868" t="s">
        <v>11</v>
      </c>
      <c r="F868">
        <v>511.25</v>
      </c>
      <c r="G868">
        <v>9</v>
      </c>
      <c r="H868" t="s">
        <v>18</v>
      </c>
    </row>
    <row r="869" spans="1:8" x14ac:dyDescent="0.25">
      <c r="A869" t="s">
        <v>1656</v>
      </c>
      <c r="B869" t="s">
        <v>1657</v>
      </c>
      <c r="C869" s="27">
        <v>45483</v>
      </c>
      <c r="D869" t="s">
        <v>10</v>
      </c>
      <c r="E869" t="s">
        <v>34</v>
      </c>
      <c r="F869">
        <v>989.73</v>
      </c>
      <c r="G869">
        <v>8</v>
      </c>
      <c r="H869" t="s">
        <v>35</v>
      </c>
    </row>
    <row r="870" spans="1:8" x14ac:dyDescent="0.25">
      <c r="A870" t="s">
        <v>1658</v>
      </c>
      <c r="B870" t="s">
        <v>1659</v>
      </c>
      <c r="C870" s="27">
        <v>45792</v>
      </c>
      <c r="D870" t="s">
        <v>21</v>
      </c>
      <c r="E870" t="s">
        <v>3370</v>
      </c>
      <c r="F870">
        <v>1390.1</v>
      </c>
      <c r="G870">
        <v>2</v>
      </c>
      <c r="H870" t="s">
        <v>3377</v>
      </c>
    </row>
    <row r="871" spans="1:8" x14ac:dyDescent="0.25">
      <c r="A871" t="s">
        <v>1660</v>
      </c>
      <c r="B871" t="s">
        <v>1661</v>
      </c>
      <c r="C871" s="27">
        <v>45664</v>
      </c>
      <c r="D871" t="s">
        <v>14</v>
      </c>
      <c r="E871" t="s">
        <v>11</v>
      </c>
      <c r="F871">
        <v>231.17</v>
      </c>
      <c r="G871">
        <v>10</v>
      </c>
      <c r="H871" t="s">
        <v>3377</v>
      </c>
    </row>
    <row r="872" spans="1:8" x14ac:dyDescent="0.25">
      <c r="A872" t="s">
        <v>1662</v>
      </c>
      <c r="B872" t="s">
        <v>1663</v>
      </c>
      <c r="C872" s="27">
        <v>45751</v>
      </c>
      <c r="D872" t="s">
        <v>3372</v>
      </c>
      <c r="E872" t="s">
        <v>34</v>
      </c>
      <c r="F872">
        <v>908.86</v>
      </c>
      <c r="G872">
        <v>4</v>
      </c>
      <c r="H872" t="s">
        <v>15</v>
      </c>
    </row>
    <row r="873" spans="1:8" x14ac:dyDescent="0.25">
      <c r="A873" t="s">
        <v>1664</v>
      </c>
      <c r="B873" t="s">
        <v>1665</v>
      </c>
      <c r="C873" s="27">
        <v>45594</v>
      </c>
      <c r="D873" t="s">
        <v>21</v>
      </c>
      <c r="E873" t="s">
        <v>25</v>
      </c>
      <c r="F873">
        <v>177.06</v>
      </c>
      <c r="G873">
        <v>7</v>
      </c>
      <c r="H873" t="s">
        <v>18</v>
      </c>
    </row>
    <row r="874" spans="1:8" x14ac:dyDescent="0.25">
      <c r="A874" t="s">
        <v>1666</v>
      </c>
      <c r="B874" t="s">
        <v>1667</v>
      </c>
      <c r="C874" s="27">
        <v>45907</v>
      </c>
      <c r="D874" t="s">
        <v>10</v>
      </c>
      <c r="E874" t="s">
        <v>3371</v>
      </c>
      <c r="F874">
        <v>1138.22</v>
      </c>
      <c r="G874">
        <v>9</v>
      </c>
      <c r="H874" t="s">
        <v>15</v>
      </c>
    </row>
    <row r="875" spans="1:8" x14ac:dyDescent="0.25">
      <c r="A875" t="s">
        <v>1668</v>
      </c>
      <c r="B875" t="s">
        <v>1669</v>
      </c>
      <c r="C875" s="27">
        <v>45109</v>
      </c>
      <c r="D875" t="s">
        <v>10</v>
      </c>
      <c r="E875" t="s">
        <v>3371</v>
      </c>
      <c r="F875">
        <v>892.82</v>
      </c>
      <c r="G875">
        <v>6</v>
      </c>
      <c r="H875" t="s">
        <v>35</v>
      </c>
    </row>
    <row r="876" spans="1:8" x14ac:dyDescent="0.25">
      <c r="A876" t="s">
        <v>1670</v>
      </c>
      <c r="B876" t="s">
        <v>1671</v>
      </c>
      <c r="C876" s="27">
        <v>45376</v>
      </c>
      <c r="D876" t="s">
        <v>14</v>
      </c>
      <c r="E876" t="s">
        <v>3370</v>
      </c>
      <c r="F876">
        <v>541.20000000000005</v>
      </c>
      <c r="G876">
        <v>8</v>
      </c>
      <c r="H876" t="s">
        <v>18</v>
      </c>
    </row>
    <row r="877" spans="1:8" x14ac:dyDescent="0.25">
      <c r="A877" t="s">
        <v>1672</v>
      </c>
      <c r="B877" t="s">
        <v>1673</v>
      </c>
      <c r="C877" s="27">
        <v>44881</v>
      </c>
      <c r="D877" t="s">
        <v>10</v>
      </c>
      <c r="E877" t="s">
        <v>3370</v>
      </c>
      <c r="G877">
        <v>4</v>
      </c>
      <c r="H877" t="s">
        <v>35</v>
      </c>
    </row>
    <row r="878" spans="1:8" x14ac:dyDescent="0.25">
      <c r="A878" t="s">
        <v>1674</v>
      </c>
      <c r="B878" t="s">
        <v>1675</v>
      </c>
      <c r="C878" s="27">
        <v>45843</v>
      </c>
      <c r="D878" t="s">
        <v>14</v>
      </c>
      <c r="E878" t="s">
        <v>11</v>
      </c>
      <c r="G878">
        <v>9</v>
      </c>
      <c r="H878" t="s">
        <v>15</v>
      </c>
    </row>
    <row r="879" spans="1:8" x14ac:dyDescent="0.25">
      <c r="A879" t="s">
        <v>1676</v>
      </c>
      <c r="B879" t="s">
        <v>1677</v>
      </c>
      <c r="C879" s="27">
        <v>45391</v>
      </c>
      <c r="D879" t="s">
        <v>3372</v>
      </c>
      <c r="E879" t="s">
        <v>25</v>
      </c>
      <c r="G879">
        <v>3</v>
      </c>
      <c r="H879" t="s">
        <v>15</v>
      </c>
    </row>
    <row r="880" spans="1:8" x14ac:dyDescent="0.25">
      <c r="A880" t="s">
        <v>1678</v>
      </c>
      <c r="B880" t="s">
        <v>1679</v>
      </c>
      <c r="C880" s="27">
        <v>45448</v>
      </c>
      <c r="D880" t="s">
        <v>10</v>
      </c>
      <c r="E880" t="s">
        <v>34</v>
      </c>
      <c r="F880">
        <v>1172.17</v>
      </c>
      <c r="G880">
        <v>6</v>
      </c>
      <c r="H880" t="s">
        <v>35</v>
      </c>
    </row>
    <row r="881" spans="1:8" x14ac:dyDescent="0.25">
      <c r="A881" t="s">
        <v>1680</v>
      </c>
      <c r="B881" t="s">
        <v>773</v>
      </c>
      <c r="C881" s="27">
        <v>45063</v>
      </c>
      <c r="D881" t="s">
        <v>14</v>
      </c>
      <c r="E881" t="s">
        <v>11</v>
      </c>
      <c r="F881">
        <v>1635.2</v>
      </c>
      <c r="G881">
        <v>5</v>
      </c>
      <c r="H881" t="s">
        <v>3369</v>
      </c>
    </row>
    <row r="882" spans="1:8" x14ac:dyDescent="0.25">
      <c r="A882" t="s">
        <v>1681</v>
      </c>
      <c r="B882" t="s">
        <v>1682</v>
      </c>
      <c r="C882" s="27">
        <v>45638</v>
      </c>
      <c r="D882" t="s">
        <v>14</v>
      </c>
      <c r="E882" t="s">
        <v>11</v>
      </c>
      <c r="G882">
        <v>7</v>
      </c>
      <c r="H882" t="s">
        <v>15</v>
      </c>
    </row>
    <row r="883" spans="1:8" x14ac:dyDescent="0.25">
      <c r="A883" t="s">
        <v>1683</v>
      </c>
      <c r="B883" t="s">
        <v>1684</v>
      </c>
      <c r="C883" s="27">
        <v>45434</v>
      </c>
      <c r="D883" t="s">
        <v>14</v>
      </c>
      <c r="E883" t="s">
        <v>25</v>
      </c>
      <c r="F883">
        <v>1118.6600000000001</v>
      </c>
      <c r="H883" t="s">
        <v>35</v>
      </c>
    </row>
    <row r="884" spans="1:8" x14ac:dyDescent="0.25">
      <c r="A884" t="s">
        <v>1685</v>
      </c>
      <c r="B884" t="s">
        <v>1686</v>
      </c>
      <c r="C884" s="27">
        <v>45753</v>
      </c>
      <c r="D884" t="s">
        <v>21</v>
      </c>
      <c r="E884" t="s">
        <v>3371</v>
      </c>
      <c r="F884">
        <v>1695.06</v>
      </c>
      <c r="G884">
        <v>8</v>
      </c>
      <c r="H884" t="s">
        <v>3369</v>
      </c>
    </row>
    <row r="885" spans="1:8" x14ac:dyDescent="0.25">
      <c r="A885" t="s">
        <v>1687</v>
      </c>
      <c r="B885" t="s">
        <v>1688</v>
      </c>
      <c r="C885" s="27">
        <v>45443</v>
      </c>
      <c r="D885" t="s">
        <v>10</v>
      </c>
      <c r="E885" t="s">
        <v>3370</v>
      </c>
      <c r="F885">
        <v>1375.9</v>
      </c>
      <c r="G885">
        <v>10</v>
      </c>
      <c r="H885" t="s">
        <v>35</v>
      </c>
    </row>
    <row r="886" spans="1:8" x14ac:dyDescent="0.25">
      <c r="A886" t="s">
        <v>1689</v>
      </c>
      <c r="B886" t="s">
        <v>1690</v>
      </c>
      <c r="C886" s="27">
        <v>45723</v>
      </c>
      <c r="D886" t="s">
        <v>14</v>
      </c>
      <c r="E886" t="s">
        <v>3370</v>
      </c>
      <c r="F886">
        <v>809.35</v>
      </c>
      <c r="G886">
        <v>9</v>
      </c>
      <c r="H886" t="s">
        <v>3369</v>
      </c>
    </row>
    <row r="887" spans="1:8" x14ac:dyDescent="0.25">
      <c r="A887" t="s">
        <v>1691</v>
      </c>
      <c r="B887" t="s">
        <v>1692</v>
      </c>
      <c r="C887" s="27">
        <v>45935</v>
      </c>
      <c r="D887" t="s">
        <v>3372</v>
      </c>
      <c r="E887" t="s">
        <v>3370</v>
      </c>
      <c r="F887">
        <v>1908.17</v>
      </c>
      <c r="G887">
        <v>1</v>
      </c>
      <c r="H887" t="s">
        <v>18</v>
      </c>
    </row>
    <row r="888" spans="1:8" x14ac:dyDescent="0.25">
      <c r="A888" t="s">
        <v>1693</v>
      </c>
      <c r="B888" t="s">
        <v>1694</v>
      </c>
      <c r="C888" s="27">
        <v>45741</v>
      </c>
      <c r="D888" t="s">
        <v>3372</v>
      </c>
      <c r="E888" t="s">
        <v>25</v>
      </c>
      <c r="G888">
        <v>1</v>
      </c>
      <c r="H888" t="s">
        <v>15</v>
      </c>
    </row>
    <row r="889" spans="1:8" x14ac:dyDescent="0.25">
      <c r="A889" t="s">
        <v>1695</v>
      </c>
      <c r="B889" t="s">
        <v>1306</v>
      </c>
      <c r="C889" s="27">
        <v>45640</v>
      </c>
      <c r="D889" t="s">
        <v>14</v>
      </c>
      <c r="E889" t="s">
        <v>25</v>
      </c>
      <c r="F889">
        <v>1171.6199999999999</v>
      </c>
      <c r="G889">
        <v>7</v>
      </c>
      <c r="H889" t="s">
        <v>15</v>
      </c>
    </row>
    <row r="890" spans="1:8" x14ac:dyDescent="0.25">
      <c r="A890" t="s">
        <v>1696</v>
      </c>
      <c r="B890" t="s">
        <v>1697</v>
      </c>
      <c r="C890" s="27">
        <v>45831</v>
      </c>
      <c r="D890" t="s">
        <v>14</v>
      </c>
      <c r="E890" t="s">
        <v>3370</v>
      </c>
      <c r="F890">
        <v>1714.46</v>
      </c>
      <c r="G890">
        <v>8</v>
      </c>
      <c r="H890" t="s">
        <v>3369</v>
      </c>
    </row>
    <row r="891" spans="1:8" x14ac:dyDescent="0.25">
      <c r="A891" t="s">
        <v>3419</v>
      </c>
      <c r="B891" t="s">
        <v>3420</v>
      </c>
      <c r="C891" s="27">
        <v>45149</v>
      </c>
      <c r="D891" t="s">
        <v>10</v>
      </c>
      <c r="E891" t="s">
        <v>34</v>
      </c>
      <c r="G891">
        <v>2</v>
      </c>
      <c r="H891" t="s">
        <v>15</v>
      </c>
    </row>
    <row r="892" spans="1:8" x14ac:dyDescent="0.25">
      <c r="A892" t="s">
        <v>1698</v>
      </c>
      <c r="B892" t="s">
        <v>1699</v>
      </c>
      <c r="C892" s="27">
        <v>45797</v>
      </c>
      <c r="D892" t="s">
        <v>3372</v>
      </c>
      <c r="E892" t="s">
        <v>25</v>
      </c>
      <c r="F892">
        <v>508</v>
      </c>
      <c r="G892">
        <v>7</v>
      </c>
      <c r="H892" t="s">
        <v>15</v>
      </c>
    </row>
    <row r="893" spans="1:8" x14ac:dyDescent="0.25">
      <c r="A893" t="s">
        <v>1700</v>
      </c>
      <c r="B893" t="s">
        <v>1701</v>
      </c>
      <c r="C893" s="27">
        <v>45307</v>
      </c>
      <c r="D893" t="s">
        <v>14</v>
      </c>
      <c r="E893" t="s">
        <v>3371</v>
      </c>
      <c r="F893">
        <v>1709.73</v>
      </c>
      <c r="G893">
        <v>5</v>
      </c>
      <c r="H893" t="s">
        <v>3377</v>
      </c>
    </row>
    <row r="894" spans="1:8" x14ac:dyDescent="0.25">
      <c r="A894" t="s">
        <v>1702</v>
      </c>
      <c r="B894" t="s">
        <v>1703</v>
      </c>
      <c r="C894" s="27">
        <v>45701</v>
      </c>
      <c r="D894" t="s">
        <v>21</v>
      </c>
      <c r="E894" t="s">
        <v>11</v>
      </c>
      <c r="F894">
        <v>637.77</v>
      </c>
      <c r="H894" t="s">
        <v>35</v>
      </c>
    </row>
    <row r="895" spans="1:8" x14ac:dyDescent="0.25">
      <c r="A895" t="s">
        <v>1704</v>
      </c>
      <c r="B895" t="s">
        <v>1705</v>
      </c>
      <c r="C895" s="27">
        <v>44881</v>
      </c>
      <c r="D895" t="s">
        <v>14</v>
      </c>
      <c r="E895" t="s">
        <v>22</v>
      </c>
      <c r="G895">
        <v>6</v>
      </c>
      <c r="H895" t="s">
        <v>18</v>
      </c>
    </row>
    <row r="896" spans="1:8" x14ac:dyDescent="0.25">
      <c r="A896" t="s">
        <v>1706</v>
      </c>
      <c r="B896" t="s">
        <v>1707</v>
      </c>
      <c r="C896" s="27">
        <v>45736</v>
      </c>
      <c r="D896" t="s">
        <v>10</v>
      </c>
      <c r="E896" t="s">
        <v>22</v>
      </c>
      <c r="F896">
        <v>275.75</v>
      </c>
      <c r="G896">
        <v>4</v>
      </c>
      <c r="H896" t="s">
        <v>18</v>
      </c>
    </row>
    <row r="897" spans="1:8" x14ac:dyDescent="0.25">
      <c r="A897" t="s">
        <v>1708</v>
      </c>
      <c r="B897" t="s">
        <v>1709</v>
      </c>
      <c r="C897" s="27">
        <v>45772</v>
      </c>
      <c r="D897" t="s">
        <v>14</v>
      </c>
      <c r="E897" t="s">
        <v>22</v>
      </c>
      <c r="F897">
        <v>848.14</v>
      </c>
      <c r="G897">
        <v>4</v>
      </c>
      <c r="H897" t="s">
        <v>15</v>
      </c>
    </row>
    <row r="898" spans="1:8" x14ac:dyDescent="0.25">
      <c r="A898" t="s">
        <v>3421</v>
      </c>
      <c r="B898" t="s">
        <v>3422</v>
      </c>
      <c r="C898" s="27">
        <v>45445</v>
      </c>
      <c r="D898" t="s">
        <v>14</v>
      </c>
      <c r="E898" t="s">
        <v>11</v>
      </c>
      <c r="H898" t="s">
        <v>18</v>
      </c>
    </row>
    <row r="899" spans="1:8" x14ac:dyDescent="0.25">
      <c r="A899" t="s">
        <v>1710</v>
      </c>
      <c r="B899" t="s">
        <v>1711</v>
      </c>
      <c r="C899" s="27">
        <v>45553</v>
      </c>
      <c r="D899" t="s">
        <v>3372</v>
      </c>
      <c r="E899" t="s">
        <v>25</v>
      </c>
      <c r="F899">
        <v>487.15</v>
      </c>
      <c r="G899">
        <v>4</v>
      </c>
      <c r="H899" t="s">
        <v>3369</v>
      </c>
    </row>
    <row r="900" spans="1:8" x14ac:dyDescent="0.25">
      <c r="A900" t="s">
        <v>1712</v>
      </c>
      <c r="B900" t="s">
        <v>1713</v>
      </c>
      <c r="C900" s="27">
        <v>45586</v>
      </c>
      <c r="D900" t="s">
        <v>14</v>
      </c>
      <c r="E900" t="s">
        <v>25</v>
      </c>
      <c r="F900">
        <v>1806.62</v>
      </c>
      <c r="H900" t="s">
        <v>18</v>
      </c>
    </row>
    <row r="901" spans="1:8" x14ac:dyDescent="0.25">
      <c r="A901" t="s">
        <v>1714</v>
      </c>
      <c r="B901" t="s">
        <v>1715</v>
      </c>
      <c r="C901" s="27">
        <v>45496</v>
      </c>
      <c r="D901" t="s">
        <v>3372</v>
      </c>
      <c r="E901" t="s">
        <v>22</v>
      </c>
      <c r="F901">
        <v>1688.11</v>
      </c>
      <c r="G901">
        <v>3</v>
      </c>
      <c r="H901" t="s">
        <v>35</v>
      </c>
    </row>
    <row r="902" spans="1:8" x14ac:dyDescent="0.25">
      <c r="A902" t="s">
        <v>1716</v>
      </c>
      <c r="B902" t="s">
        <v>1717</v>
      </c>
      <c r="C902" s="27">
        <v>45091</v>
      </c>
      <c r="D902" t="s">
        <v>3372</v>
      </c>
      <c r="E902" t="s">
        <v>3370</v>
      </c>
      <c r="F902">
        <v>1437.43</v>
      </c>
      <c r="G902">
        <v>8</v>
      </c>
      <c r="H902" t="s">
        <v>3377</v>
      </c>
    </row>
    <row r="903" spans="1:8" x14ac:dyDescent="0.25">
      <c r="A903" t="s">
        <v>1718</v>
      </c>
      <c r="B903" t="s">
        <v>1719</v>
      </c>
      <c r="C903" s="27">
        <v>45290</v>
      </c>
      <c r="D903" t="s">
        <v>14</v>
      </c>
      <c r="E903" t="s">
        <v>25</v>
      </c>
      <c r="F903">
        <v>1794.93</v>
      </c>
      <c r="G903">
        <v>9</v>
      </c>
      <c r="H903" t="s">
        <v>15</v>
      </c>
    </row>
    <row r="904" spans="1:8" x14ac:dyDescent="0.25">
      <c r="A904" t="s">
        <v>1720</v>
      </c>
      <c r="B904" t="s">
        <v>1721</v>
      </c>
      <c r="C904" s="27">
        <v>45095</v>
      </c>
      <c r="D904" t="s">
        <v>14</v>
      </c>
      <c r="E904" t="s">
        <v>3370</v>
      </c>
      <c r="F904">
        <v>299.58</v>
      </c>
      <c r="G904">
        <v>9</v>
      </c>
      <c r="H904" t="s">
        <v>3369</v>
      </c>
    </row>
    <row r="905" spans="1:8" x14ac:dyDescent="0.25">
      <c r="A905" t="s">
        <v>1722</v>
      </c>
      <c r="B905" t="s">
        <v>1723</v>
      </c>
      <c r="C905" s="27">
        <v>45794</v>
      </c>
      <c r="D905" t="s">
        <v>21</v>
      </c>
      <c r="E905" t="s">
        <v>3371</v>
      </c>
      <c r="F905">
        <v>1563.43</v>
      </c>
      <c r="G905">
        <v>8</v>
      </c>
      <c r="H905" t="s">
        <v>3369</v>
      </c>
    </row>
    <row r="906" spans="1:8" x14ac:dyDescent="0.25">
      <c r="A906" t="s">
        <v>1724</v>
      </c>
      <c r="B906" t="s">
        <v>1725</v>
      </c>
      <c r="C906" s="27">
        <v>45149</v>
      </c>
      <c r="D906" t="s">
        <v>3372</v>
      </c>
      <c r="E906" t="s">
        <v>3371</v>
      </c>
      <c r="F906">
        <v>823.58</v>
      </c>
      <c r="H906" t="s">
        <v>18</v>
      </c>
    </row>
    <row r="907" spans="1:8" x14ac:dyDescent="0.25">
      <c r="A907" t="s">
        <v>1726</v>
      </c>
      <c r="B907" t="s">
        <v>1727</v>
      </c>
      <c r="C907" s="27">
        <v>45845</v>
      </c>
      <c r="D907" t="s">
        <v>21</v>
      </c>
      <c r="E907" t="s">
        <v>34</v>
      </c>
      <c r="F907">
        <v>1744.83</v>
      </c>
      <c r="G907">
        <v>8</v>
      </c>
      <c r="H907" t="s">
        <v>35</v>
      </c>
    </row>
    <row r="908" spans="1:8" x14ac:dyDescent="0.25">
      <c r="A908" t="s">
        <v>1728</v>
      </c>
      <c r="B908" t="s">
        <v>1729</v>
      </c>
      <c r="C908" s="27">
        <v>44894</v>
      </c>
      <c r="D908" t="s">
        <v>14</v>
      </c>
      <c r="E908" t="s">
        <v>34</v>
      </c>
      <c r="F908">
        <v>216.2</v>
      </c>
      <c r="G908">
        <v>5</v>
      </c>
      <c r="H908" t="s">
        <v>15</v>
      </c>
    </row>
    <row r="909" spans="1:8" x14ac:dyDescent="0.25">
      <c r="A909" t="s">
        <v>1730</v>
      </c>
      <c r="B909" t="s">
        <v>1731</v>
      </c>
      <c r="C909" s="27">
        <v>45712</v>
      </c>
      <c r="D909" t="s">
        <v>14</v>
      </c>
      <c r="E909" t="s">
        <v>25</v>
      </c>
      <c r="F909">
        <v>790.05</v>
      </c>
      <c r="G909">
        <v>9</v>
      </c>
      <c r="H909" t="s">
        <v>15</v>
      </c>
    </row>
    <row r="910" spans="1:8" x14ac:dyDescent="0.25">
      <c r="A910" t="s">
        <v>1732</v>
      </c>
      <c r="B910" t="s">
        <v>1733</v>
      </c>
      <c r="C910" s="27">
        <v>44976</v>
      </c>
      <c r="D910" t="s">
        <v>14</v>
      </c>
      <c r="E910" t="s">
        <v>11</v>
      </c>
      <c r="F910">
        <v>1943.42</v>
      </c>
      <c r="G910">
        <v>6</v>
      </c>
      <c r="H910" t="s">
        <v>3369</v>
      </c>
    </row>
    <row r="911" spans="1:8" x14ac:dyDescent="0.25">
      <c r="A911" t="s">
        <v>1734</v>
      </c>
      <c r="B911" t="s">
        <v>1735</v>
      </c>
      <c r="C911" s="27">
        <v>45876</v>
      </c>
      <c r="D911" t="s">
        <v>14</v>
      </c>
      <c r="E911" t="s">
        <v>11</v>
      </c>
      <c r="F911">
        <v>408.39</v>
      </c>
      <c r="G911">
        <v>1</v>
      </c>
      <c r="H911" t="s">
        <v>3377</v>
      </c>
    </row>
    <row r="912" spans="1:8" x14ac:dyDescent="0.25">
      <c r="A912" t="s">
        <v>1736</v>
      </c>
      <c r="B912" t="s">
        <v>1737</v>
      </c>
      <c r="C912" s="27">
        <v>45378</v>
      </c>
      <c r="D912" t="s">
        <v>3372</v>
      </c>
      <c r="E912" t="s">
        <v>3370</v>
      </c>
      <c r="F912">
        <v>115.79</v>
      </c>
      <c r="G912">
        <v>1</v>
      </c>
      <c r="H912" t="s">
        <v>3377</v>
      </c>
    </row>
    <row r="913" spans="1:8" x14ac:dyDescent="0.25">
      <c r="A913" t="s">
        <v>1738</v>
      </c>
      <c r="B913" t="s">
        <v>1739</v>
      </c>
      <c r="C913" s="27">
        <v>44989</v>
      </c>
      <c r="D913" t="s">
        <v>14</v>
      </c>
      <c r="E913" t="s">
        <v>11</v>
      </c>
      <c r="F913">
        <v>263.47000000000003</v>
      </c>
      <c r="G913">
        <v>9</v>
      </c>
      <c r="H913" t="s">
        <v>3377</v>
      </c>
    </row>
    <row r="914" spans="1:8" x14ac:dyDescent="0.25">
      <c r="A914" t="s">
        <v>1740</v>
      </c>
      <c r="B914" t="s">
        <v>1741</v>
      </c>
      <c r="C914" s="27">
        <v>45136</v>
      </c>
      <c r="D914" t="s">
        <v>14</v>
      </c>
      <c r="E914" t="s">
        <v>34</v>
      </c>
      <c r="F914">
        <v>1923.52</v>
      </c>
      <c r="G914">
        <v>7</v>
      </c>
      <c r="H914" t="s">
        <v>15</v>
      </c>
    </row>
    <row r="915" spans="1:8" x14ac:dyDescent="0.25">
      <c r="A915" t="s">
        <v>1742</v>
      </c>
      <c r="B915" t="s">
        <v>1743</v>
      </c>
      <c r="C915" s="27">
        <v>45562</v>
      </c>
      <c r="D915" t="s">
        <v>21</v>
      </c>
      <c r="E915" t="s">
        <v>34</v>
      </c>
      <c r="F915">
        <v>709.03</v>
      </c>
      <c r="G915">
        <v>4</v>
      </c>
      <c r="H915" t="s">
        <v>3369</v>
      </c>
    </row>
    <row r="916" spans="1:8" x14ac:dyDescent="0.25">
      <c r="A916" t="s">
        <v>1744</v>
      </c>
      <c r="B916" t="s">
        <v>117</v>
      </c>
      <c r="C916" s="27">
        <v>44915</v>
      </c>
      <c r="D916" t="s">
        <v>3372</v>
      </c>
      <c r="E916" t="s">
        <v>3371</v>
      </c>
      <c r="G916">
        <v>5</v>
      </c>
      <c r="H916" t="s">
        <v>35</v>
      </c>
    </row>
    <row r="917" spans="1:8" x14ac:dyDescent="0.25">
      <c r="A917" t="s">
        <v>1745</v>
      </c>
      <c r="B917" t="s">
        <v>1746</v>
      </c>
      <c r="C917" s="27">
        <v>45694</v>
      </c>
      <c r="D917" t="s">
        <v>21</v>
      </c>
      <c r="E917" t="s">
        <v>3371</v>
      </c>
      <c r="F917">
        <v>988.28</v>
      </c>
      <c r="G917">
        <v>7</v>
      </c>
      <c r="H917" t="s">
        <v>35</v>
      </c>
    </row>
    <row r="918" spans="1:8" x14ac:dyDescent="0.25">
      <c r="A918" t="s">
        <v>1747</v>
      </c>
      <c r="B918" t="s">
        <v>1748</v>
      </c>
      <c r="C918" s="27">
        <v>45854</v>
      </c>
      <c r="D918" t="s">
        <v>10</v>
      </c>
      <c r="E918" t="s">
        <v>25</v>
      </c>
      <c r="F918">
        <v>658.42</v>
      </c>
      <c r="G918">
        <v>3</v>
      </c>
      <c r="H918" t="s">
        <v>18</v>
      </c>
    </row>
    <row r="919" spans="1:8" x14ac:dyDescent="0.25">
      <c r="A919" t="s">
        <v>1749</v>
      </c>
      <c r="B919" t="s">
        <v>1750</v>
      </c>
      <c r="C919" s="27">
        <v>45227</v>
      </c>
      <c r="D919" t="s">
        <v>10</v>
      </c>
      <c r="E919" t="s">
        <v>22</v>
      </c>
      <c r="F919">
        <v>1484.18</v>
      </c>
      <c r="G919">
        <v>2</v>
      </c>
      <c r="H919" t="s">
        <v>18</v>
      </c>
    </row>
    <row r="920" spans="1:8" x14ac:dyDescent="0.25">
      <c r="A920" t="s">
        <v>1751</v>
      </c>
      <c r="B920" t="s">
        <v>1752</v>
      </c>
      <c r="C920" s="27">
        <v>44973</v>
      </c>
      <c r="D920" t="s">
        <v>14</v>
      </c>
      <c r="E920" t="s">
        <v>3371</v>
      </c>
      <c r="F920">
        <v>759.25</v>
      </c>
      <c r="H920" t="s">
        <v>35</v>
      </c>
    </row>
    <row r="921" spans="1:8" x14ac:dyDescent="0.25">
      <c r="A921" t="s">
        <v>1753</v>
      </c>
      <c r="B921" t="s">
        <v>1754</v>
      </c>
      <c r="C921" s="27">
        <v>44905</v>
      </c>
      <c r="D921" t="s">
        <v>10</v>
      </c>
      <c r="E921" t="s">
        <v>11</v>
      </c>
      <c r="F921">
        <v>1186.01</v>
      </c>
      <c r="G921">
        <v>8</v>
      </c>
      <c r="H921" t="s">
        <v>18</v>
      </c>
    </row>
    <row r="922" spans="1:8" x14ac:dyDescent="0.25">
      <c r="A922" t="s">
        <v>1755</v>
      </c>
      <c r="B922" t="s">
        <v>1756</v>
      </c>
      <c r="C922" s="27">
        <v>44916</v>
      </c>
      <c r="D922" t="s">
        <v>10</v>
      </c>
      <c r="E922" t="s">
        <v>11</v>
      </c>
      <c r="F922">
        <v>1217.02</v>
      </c>
      <c r="G922">
        <v>1</v>
      </c>
      <c r="H922" t="s">
        <v>3377</v>
      </c>
    </row>
    <row r="923" spans="1:8" x14ac:dyDescent="0.25">
      <c r="A923" t="s">
        <v>3423</v>
      </c>
      <c r="B923" t="s">
        <v>3424</v>
      </c>
      <c r="C923" s="27">
        <v>45710</v>
      </c>
      <c r="D923" t="s">
        <v>21</v>
      </c>
      <c r="E923" t="s">
        <v>11</v>
      </c>
      <c r="H923" t="s">
        <v>18</v>
      </c>
    </row>
    <row r="924" spans="1:8" x14ac:dyDescent="0.25">
      <c r="A924" t="s">
        <v>3425</v>
      </c>
      <c r="B924" t="s">
        <v>3426</v>
      </c>
      <c r="C924" s="27">
        <v>45072</v>
      </c>
      <c r="D924" t="s">
        <v>10</v>
      </c>
      <c r="E924" t="s">
        <v>22</v>
      </c>
      <c r="F924">
        <v>1337.93</v>
      </c>
      <c r="G924">
        <v>1</v>
      </c>
      <c r="H924" t="s">
        <v>15</v>
      </c>
    </row>
    <row r="925" spans="1:8" x14ac:dyDescent="0.25">
      <c r="A925" t="s">
        <v>1757</v>
      </c>
      <c r="B925" t="s">
        <v>1758</v>
      </c>
      <c r="C925" s="27">
        <v>45640</v>
      </c>
      <c r="D925" t="s">
        <v>14</v>
      </c>
      <c r="E925" t="s">
        <v>25</v>
      </c>
      <c r="F925">
        <v>860.98</v>
      </c>
      <c r="G925">
        <v>7</v>
      </c>
      <c r="H925" t="s">
        <v>3377</v>
      </c>
    </row>
    <row r="926" spans="1:8" x14ac:dyDescent="0.25">
      <c r="A926" t="s">
        <v>1759</v>
      </c>
      <c r="B926" t="s">
        <v>1760</v>
      </c>
      <c r="C926" s="27">
        <v>45228</v>
      </c>
      <c r="D926" t="s">
        <v>10</v>
      </c>
      <c r="E926" t="s">
        <v>25</v>
      </c>
      <c r="F926">
        <v>945.16</v>
      </c>
      <c r="G926">
        <v>4</v>
      </c>
      <c r="H926" t="s">
        <v>15</v>
      </c>
    </row>
    <row r="927" spans="1:8" x14ac:dyDescent="0.25">
      <c r="A927" t="s">
        <v>3427</v>
      </c>
      <c r="B927" t="s">
        <v>3428</v>
      </c>
      <c r="C927" s="27">
        <v>44857</v>
      </c>
      <c r="D927" t="s">
        <v>10</v>
      </c>
      <c r="E927" t="s">
        <v>25</v>
      </c>
      <c r="F927">
        <v>96.07</v>
      </c>
      <c r="G927">
        <v>5</v>
      </c>
      <c r="H927" t="s">
        <v>3377</v>
      </c>
    </row>
    <row r="928" spans="1:8" x14ac:dyDescent="0.25">
      <c r="A928" t="s">
        <v>3429</v>
      </c>
      <c r="B928" t="s">
        <v>3430</v>
      </c>
      <c r="C928" s="27">
        <v>45393</v>
      </c>
      <c r="D928" t="s">
        <v>10</v>
      </c>
      <c r="E928" t="s">
        <v>11</v>
      </c>
      <c r="F928">
        <v>854.51</v>
      </c>
      <c r="G928">
        <v>9</v>
      </c>
      <c r="H928" t="s">
        <v>35</v>
      </c>
    </row>
    <row r="929" spans="1:8" x14ac:dyDescent="0.25">
      <c r="A929" t="s">
        <v>1761</v>
      </c>
      <c r="B929" t="s">
        <v>1762</v>
      </c>
      <c r="C929" s="27">
        <v>45282</v>
      </c>
      <c r="D929" t="s">
        <v>21</v>
      </c>
      <c r="E929" t="s">
        <v>25</v>
      </c>
      <c r="F929">
        <v>1626.69</v>
      </c>
      <c r="G929">
        <v>8</v>
      </c>
      <c r="H929" t="s">
        <v>3369</v>
      </c>
    </row>
    <row r="930" spans="1:8" x14ac:dyDescent="0.25">
      <c r="A930" t="s">
        <v>1763</v>
      </c>
      <c r="B930" t="s">
        <v>1764</v>
      </c>
      <c r="C930" s="27">
        <v>44981</v>
      </c>
      <c r="D930" t="s">
        <v>14</v>
      </c>
      <c r="E930" t="s">
        <v>11</v>
      </c>
      <c r="G930">
        <v>1</v>
      </c>
      <c r="H930" t="s">
        <v>15</v>
      </c>
    </row>
    <row r="931" spans="1:8" x14ac:dyDescent="0.25">
      <c r="A931" t="s">
        <v>1765</v>
      </c>
      <c r="B931" t="s">
        <v>1766</v>
      </c>
      <c r="C931" s="27">
        <v>45250</v>
      </c>
      <c r="D931" t="s">
        <v>3372</v>
      </c>
      <c r="E931" t="s">
        <v>25</v>
      </c>
      <c r="F931">
        <v>1918.64</v>
      </c>
      <c r="G931">
        <v>3</v>
      </c>
      <c r="H931" t="s">
        <v>3369</v>
      </c>
    </row>
    <row r="932" spans="1:8" x14ac:dyDescent="0.25">
      <c r="A932" t="s">
        <v>1767</v>
      </c>
      <c r="B932" t="s">
        <v>1768</v>
      </c>
      <c r="C932" s="27">
        <v>45341</v>
      </c>
      <c r="D932" t="s">
        <v>3372</v>
      </c>
      <c r="E932" t="s">
        <v>11</v>
      </c>
      <c r="F932">
        <v>597.42999999999995</v>
      </c>
      <c r="G932">
        <v>4</v>
      </c>
      <c r="H932" t="s">
        <v>3377</v>
      </c>
    </row>
    <row r="933" spans="1:8" x14ac:dyDescent="0.25">
      <c r="A933" t="s">
        <v>1769</v>
      </c>
      <c r="B933" t="s">
        <v>1770</v>
      </c>
      <c r="C933" s="27">
        <v>45216</v>
      </c>
      <c r="D933" t="s">
        <v>3372</v>
      </c>
      <c r="E933" t="s">
        <v>25</v>
      </c>
      <c r="F933">
        <v>96.75</v>
      </c>
      <c r="G933">
        <v>2</v>
      </c>
      <c r="H933" t="s">
        <v>18</v>
      </c>
    </row>
    <row r="934" spans="1:8" x14ac:dyDescent="0.25">
      <c r="A934" t="s">
        <v>1771</v>
      </c>
      <c r="B934" t="s">
        <v>1772</v>
      </c>
      <c r="C934" s="27">
        <v>45205</v>
      </c>
      <c r="D934" t="s">
        <v>21</v>
      </c>
      <c r="E934" t="s">
        <v>22</v>
      </c>
      <c r="F934">
        <v>1529.33</v>
      </c>
      <c r="G934">
        <v>7</v>
      </c>
      <c r="H934" t="s">
        <v>15</v>
      </c>
    </row>
    <row r="935" spans="1:8" x14ac:dyDescent="0.25">
      <c r="A935" t="s">
        <v>1773</v>
      </c>
      <c r="B935" t="s">
        <v>1623</v>
      </c>
      <c r="C935" s="27">
        <v>45646</v>
      </c>
      <c r="D935" t="s">
        <v>3372</v>
      </c>
      <c r="E935" t="s">
        <v>3370</v>
      </c>
      <c r="F935">
        <v>889.74</v>
      </c>
      <c r="G935">
        <v>4</v>
      </c>
      <c r="H935" t="s">
        <v>3369</v>
      </c>
    </row>
    <row r="936" spans="1:8" x14ac:dyDescent="0.25">
      <c r="A936" t="s">
        <v>1774</v>
      </c>
      <c r="B936" t="s">
        <v>1766</v>
      </c>
      <c r="C936" s="27">
        <v>45543</v>
      </c>
      <c r="D936" t="s">
        <v>3372</v>
      </c>
      <c r="E936" t="s">
        <v>3371</v>
      </c>
      <c r="F936">
        <v>1551.72</v>
      </c>
      <c r="G936">
        <v>9</v>
      </c>
      <c r="H936" t="s">
        <v>18</v>
      </c>
    </row>
    <row r="937" spans="1:8" x14ac:dyDescent="0.25">
      <c r="A937" t="s">
        <v>1775</v>
      </c>
      <c r="B937" t="s">
        <v>1776</v>
      </c>
      <c r="C937" s="27">
        <v>45716</v>
      </c>
      <c r="D937" t="s">
        <v>21</v>
      </c>
      <c r="E937" t="s">
        <v>11</v>
      </c>
      <c r="F937">
        <v>217.59</v>
      </c>
      <c r="G937">
        <v>4</v>
      </c>
      <c r="H937" t="s">
        <v>35</v>
      </c>
    </row>
    <row r="938" spans="1:8" x14ac:dyDescent="0.25">
      <c r="A938" t="s">
        <v>1777</v>
      </c>
      <c r="B938" t="s">
        <v>1778</v>
      </c>
      <c r="C938" s="27">
        <v>45182</v>
      </c>
      <c r="D938" t="s">
        <v>10</v>
      </c>
      <c r="E938" t="s">
        <v>34</v>
      </c>
      <c r="F938">
        <v>866.62</v>
      </c>
      <c r="G938">
        <v>6</v>
      </c>
      <c r="H938" t="s">
        <v>3377</v>
      </c>
    </row>
    <row r="939" spans="1:8" x14ac:dyDescent="0.25">
      <c r="A939" t="s">
        <v>1779</v>
      </c>
      <c r="B939" t="s">
        <v>1780</v>
      </c>
      <c r="C939" s="27">
        <v>45083</v>
      </c>
      <c r="D939" t="s">
        <v>21</v>
      </c>
      <c r="E939" t="s">
        <v>22</v>
      </c>
      <c r="F939">
        <v>1380.5</v>
      </c>
      <c r="G939">
        <v>8</v>
      </c>
      <c r="H939" t="s">
        <v>15</v>
      </c>
    </row>
    <row r="940" spans="1:8" x14ac:dyDescent="0.25">
      <c r="A940" t="s">
        <v>1781</v>
      </c>
      <c r="B940" t="s">
        <v>1782</v>
      </c>
      <c r="C940" s="27">
        <v>45282</v>
      </c>
      <c r="D940" t="s">
        <v>3372</v>
      </c>
      <c r="E940" t="s">
        <v>25</v>
      </c>
      <c r="F940">
        <v>453.77</v>
      </c>
      <c r="G940">
        <v>1</v>
      </c>
      <c r="H940" t="s">
        <v>3377</v>
      </c>
    </row>
    <row r="941" spans="1:8" x14ac:dyDescent="0.25">
      <c r="A941" t="s">
        <v>1783</v>
      </c>
      <c r="B941" t="s">
        <v>1784</v>
      </c>
      <c r="C941" s="27">
        <v>45938</v>
      </c>
      <c r="D941" t="s">
        <v>3372</v>
      </c>
      <c r="E941" t="s">
        <v>11</v>
      </c>
      <c r="F941">
        <v>515.86</v>
      </c>
      <c r="G941">
        <v>8</v>
      </c>
      <c r="H941" t="s">
        <v>15</v>
      </c>
    </row>
    <row r="942" spans="1:8" x14ac:dyDescent="0.25">
      <c r="A942" t="s">
        <v>1785</v>
      </c>
      <c r="B942" t="s">
        <v>1786</v>
      </c>
      <c r="C942" s="27">
        <v>45648</v>
      </c>
      <c r="D942" t="s">
        <v>14</v>
      </c>
      <c r="E942" t="s">
        <v>3371</v>
      </c>
      <c r="F942">
        <v>480.92</v>
      </c>
      <c r="G942">
        <v>5</v>
      </c>
      <c r="H942" t="s">
        <v>35</v>
      </c>
    </row>
    <row r="943" spans="1:8" x14ac:dyDescent="0.25">
      <c r="A943" t="s">
        <v>1787</v>
      </c>
      <c r="B943" t="s">
        <v>634</v>
      </c>
      <c r="C943" s="27">
        <v>45319</v>
      </c>
      <c r="D943" t="s">
        <v>10</v>
      </c>
      <c r="E943" t="s">
        <v>25</v>
      </c>
      <c r="G943">
        <v>10</v>
      </c>
      <c r="H943" t="s">
        <v>18</v>
      </c>
    </row>
    <row r="944" spans="1:8" x14ac:dyDescent="0.25">
      <c r="A944" t="s">
        <v>1788</v>
      </c>
      <c r="B944" t="s">
        <v>1789</v>
      </c>
      <c r="C944" s="27">
        <v>45814</v>
      </c>
      <c r="D944" t="s">
        <v>21</v>
      </c>
      <c r="E944" t="s">
        <v>34</v>
      </c>
      <c r="F944">
        <v>1830.3</v>
      </c>
      <c r="G944">
        <v>1</v>
      </c>
      <c r="H944" t="s">
        <v>35</v>
      </c>
    </row>
    <row r="945" spans="1:8" x14ac:dyDescent="0.25">
      <c r="A945" t="s">
        <v>1790</v>
      </c>
      <c r="B945" t="s">
        <v>1791</v>
      </c>
      <c r="C945" s="27">
        <v>44958</v>
      </c>
      <c r="D945" t="s">
        <v>3372</v>
      </c>
      <c r="E945" t="s">
        <v>25</v>
      </c>
      <c r="F945">
        <v>1224.1400000000001</v>
      </c>
      <c r="G945">
        <v>10</v>
      </c>
      <c r="H945" t="s">
        <v>3369</v>
      </c>
    </row>
    <row r="946" spans="1:8" x14ac:dyDescent="0.25">
      <c r="A946" t="s">
        <v>1792</v>
      </c>
      <c r="B946" t="s">
        <v>1793</v>
      </c>
      <c r="C946" s="27">
        <v>45939</v>
      </c>
      <c r="D946" t="s">
        <v>10</v>
      </c>
      <c r="E946" t="s">
        <v>22</v>
      </c>
      <c r="F946">
        <v>1311.79</v>
      </c>
      <c r="G946">
        <v>5</v>
      </c>
      <c r="H946" t="s">
        <v>18</v>
      </c>
    </row>
    <row r="947" spans="1:8" x14ac:dyDescent="0.25">
      <c r="A947" t="s">
        <v>1794</v>
      </c>
      <c r="B947" t="s">
        <v>1795</v>
      </c>
      <c r="C947" s="27">
        <v>45558</v>
      </c>
      <c r="D947" t="s">
        <v>21</v>
      </c>
      <c r="E947" t="s">
        <v>22</v>
      </c>
      <c r="F947">
        <v>1056.9100000000001</v>
      </c>
      <c r="G947">
        <v>4</v>
      </c>
      <c r="H947" t="s">
        <v>15</v>
      </c>
    </row>
    <row r="948" spans="1:8" x14ac:dyDescent="0.25">
      <c r="A948" t="s">
        <v>1796</v>
      </c>
      <c r="B948" t="s">
        <v>1797</v>
      </c>
      <c r="C948" s="27">
        <v>45315</v>
      </c>
      <c r="D948" t="s">
        <v>10</v>
      </c>
      <c r="E948" t="s">
        <v>3370</v>
      </c>
      <c r="F948">
        <v>858.61</v>
      </c>
      <c r="G948">
        <v>4</v>
      </c>
      <c r="H948" t="s">
        <v>15</v>
      </c>
    </row>
    <row r="949" spans="1:8" x14ac:dyDescent="0.25">
      <c r="A949" t="s">
        <v>1798</v>
      </c>
      <c r="B949" t="s">
        <v>1799</v>
      </c>
      <c r="C949" s="27">
        <v>45353</v>
      </c>
      <c r="D949" t="s">
        <v>10</v>
      </c>
      <c r="E949" t="s">
        <v>22</v>
      </c>
      <c r="G949">
        <v>4</v>
      </c>
      <c r="H949" t="s">
        <v>18</v>
      </c>
    </row>
    <row r="950" spans="1:8" x14ac:dyDescent="0.25">
      <c r="A950" t="s">
        <v>1800</v>
      </c>
      <c r="B950" t="s">
        <v>1801</v>
      </c>
      <c r="C950" s="27">
        <v>44945</v>
      </c>
      <c r="D950" t="s">
        <v>10</v>
      </c>
      <c r="E950" t="s">
        <v>3371</v>
      </c>
      <c r="F950">
        <v>17.850000000000001</v>
      </c>
      <c r="G950">
        <v>9</v>
      </c>
      <c r="H950" t="s">
        <v>35</v>
      </c>
    </row>
    <row r="951" spans="1:8" x14ac:dyDescent="0.25">
      <c r="A951" t="s">
        <v>1802</v>
      </c>
      <c r="B951" t="s">
        <v>1803</v>
      </c>
      <c r="C951" s="27">
        <v>45434</v>
      </c>
      <c r="D951" t="s">
        <v>14</v>
      </c>
      <c r="E951" t="s">
        <v>22</v>
      </c>
      <c r="F951">
        <v>1404.93</v>
      </c>
      <c r="G951">
        <v>2</v>
      </c>
      <c r="H951" t="s">
        <v>15</v>
      </c>
    </row>
    <row r="952" spans="1:8" x14ac:dyDescent="0.25">
      <c r="A952" t="s">
        <v>1804</v>
      </c>
      <c r="B952" t="s">
        <v>799</v>
      </c>
      <c r="C952" s="27">
        <v>45331</v>
      </c>
      <c r="D952" t="s">
        <v>10</v>
      </c>
      <c r="E952" t="s">
        <v>3371</v>
      </c>
      <c r="F952">
        <v>1564.04</v>
      </c>
      <c r="G952">
        <v>10</v>
      </c>
      <c r="H952" t="s">
        <v>18</v>
      </c>
    </row>
    <row r="953" spans="1:8" x14ac:dyDescent="0.25">
      <c r="A953" t="s">
        <v>1805</v>
      </c>
      <c r="B953" t="s">
        <v>1806</v>
      </c>
      <c r="C953" s="27">
        <v>45025</v>
      </c>
      <c r="D953" t="s">
        <v>3372</v>
      </c>
      <c r="E953" t="s">
        <v>34</v>
      </c>
      <c r="F953">
        <v>1846.59</v>
      </c>
      <c r="G953">
        <v>10</v>
      </c>
      <c r="H953" t="s">
        <v>18</v>
      </c>
    </row>
    <row r="954" spans="1:8" x14ac:dyDescent="0.25">
      <c r="A954" t="s">
        <v>1807</v>
      </c>
      <c r="B954" t="s">
        <v>1808</v>
      </c>
      <c r="C954" s="27">
        <v>45622</v>
      </c>
      <c r="D954" t="s">
        <v>21</v>
      </c>
      <c r="E954" t="s">
        <v>3370</v>
      </c>
      <c r="F954">
        <v>371.79</v>
      </c>
      <c r="H954" t="s">
        <v>35</v>
      </c>
    </row>
    <row r="955" spans="1:8" x14ac:dyDescent="0.25">
      <c r="A955" t="s">
        <v>1809</v>
      </c>
      <c r="B955" t="s">
        <v>1231</v>
      </c>
      <c r="C955" s="27">
        <v>44956</v>
      </c>
      <c r="D955" t="s">
        <v>10</v>
      </c>
      <c r="E955" t="s">
        <v>3371</v>
      </c>
      <c r="F955">
        <v>203.08</v>
      </c>
      <c r="G955">
        <v>4</v>
      </c>
      <c r="H955" t="s">
        <v>35</v>
      </c>
    </row>
    <row r="956" spans="1:8" x14ac:dyDescent="0.25">
      <c r="A956" t="s">
        <v>1810</v>
      </c>
      <c r="B956" t="s">
        <v>1811</v>
      </c>
      <c r="C956" s="27">
        <v>45549</v>
      </c>
      <c r="D956" t="s">
        <v>14</v>
      </c>
      <c r="E956" t="s">
        <v>11</v>
      </c>
      <c r="F956">
        <v>322.77999999999997</v>
      </c>
      <c r="G956">
        <v>7</v>
      </c>
      <c r="H956" t="s">
        <v>3369</v>
      </c>
    </row>
    <row r="957" spans="1:8" x14ac:dyDescent="0.25">
      <c r="A957" t="s">
        <v>1812</v>
      </c>
      <c r="B957" t="s">
        <v>1813</v>
      </c>
      <c r="C957" s="27">
        <v>45143</v>
      </c>
      <c r="D957" t="s">
        <v>3372</v>
      </c>
      <c r="E957" t="s">
        <v>3370</v>
      </c>
      <c r="F957">
        <v>746.44</v>
      </c>
      <c r="G957">
        <v>7</v>
      </c>
      <c r="H957" t="s">
        <v>15</v>
      </c>
    </row>
    <row r="958" spans="1:8" x14ac:dyDescent="0.25">
      <c r="A958" t="s">
        <v>1814</v>
      </c>
      <c r="B958" t="s">
        <v>1815</v>
      </c>
      <c r="C958" s="27">
        <v>44929</v>
      </c>
      <c r="D958" t="s">
        <v>21</v>
      </c>
      <c r="E958" t="s">
        <v>25</v>
      </c>
      <c r="F958">
        <v>1209.55</v>
      </c>
      <c r="G958">
        <v>5</v>
      </c>
      <c r="H958" t="s">
        <v>35</v>
      </c>
    </row>
    <row r="959" spans="1:8" x14ac:dyDescent="0.25">
      <c r="A959" t="s">
        <v>1816</v>
      </c>
      <c r="B959" t="s">
        <v>1817</v>
      </c>
      <c r="C959" s="27">
        <v>45919</v>
      </c>
      <c r="D959" t="s">
        <v>3372</v>
      </c>
      <c r="E959" t="s">
        <v>11</v>
      </c>
      <c r="F959">
        <v>485.86</v>
      </c>
      <c r="H959" t="s">
        <v>18</v>
      </c>
    </row>
    <row r="960" spans="1:8" x14ac:dyDescent="0.25">
      <c r="A960" t="s">
        <v>1818</v>
      </c>
      <c r="B960" t="s">
        <v>1819</v>
      </c>
      <c r="C960" s="27">
        <v>45081</v>
      </c>
      <c r="D960" t="s">
        <v>3372</v>
      </c>
      <c r="E960" t="s">
        <v>3371</v>
      </c>
      <c r="F960">
        <v>1091.1400000000001</v>
      </c>
      <c r="G960">
        <v>3</v>
      </c>
      <c r="H960" t="s">
        <v>3369</v>
      </c>
    </row>
    <row r="961" spans="1:8" x14ac:dyDescent="0.25">
      <c r="A961" t="s">
        <v>1820</v>
      </c>
      <c r="B961" t="s">
        <v>1821</v>
      </c>
      <c r="C961" s="27">
        <v>45330</v>
      </c>
      <c r="D961" t="s">
        <v>14</v>
      </c>
      <c r="E961" t="s">
        <v>3370</v>
      </c>
      <c r="F961">
        <v>389.87</v>
      </c>
      <c r="G961">
        <v>2</v>
      </c>
      <c r="H961" t="s">
        <v>35</v>
      </c>
    </row>
    <row r="962" spans="1:8" x14ac:dyDescent="0.25">
      <c r="A962" t="s">
        <v>1822</v>
      </c>
      <c r="B962" t="s">
        <v>1823</v>
      </c>
      <c r="C962" s="27">
        <v>45697</v>
      </c>
      <c r="D962" t="s">
        <v>10</v>
      </c>
      <c r="E962" t="s">
        <v>11</v>
      </c>
      <c r="F962">
        <v>522.04999999999995</v>
      </c>
      <c r="G962">
        <v>3</v>
      </c>
      <c r="H962" t="s">
        <v>3377</v>
      </c>
    </row>
    <row r="963" spans="1:8" x14ac:dyDescent="0.25">
      <c r="A963" t="s">
        <v>1824</v>
      </c>
      <c r="B963" t="s">
        <v>1825</v>
      </c>
      <c r="C963" s="27">
        <v>45732</v>
      </c>
      <c r="D963" t="s">
        <v>21</v>
      </c>
      <c r="E963" t="s">
        <v>34</v>
      </c>
      <c r="G963">
        <v>1</v>
      </c>
      <c r="H963" t="s">
        <v>3369</v>
      </c>
    </row>
    <row r="964" spans="1:8" x14ac:dyDescent="0.25">
      <c r="A964" t="s">
        <v>1826</v>
      </c>
      <c r="B964" t="s">
        <v>1827</v>
      </c>
      <c r="C964" s="27">
        <v>45937</v>
      </c>
      <c r="D964" t="s">
        <v>10</v>
      </c>
      <c r="E964" t="s">
        <v>22</v>
      </c>
      <c r="F964">
        <v>1528.8</v>
      </c>
      <c r="G964">
        <v>8</v>
      </c>
      <c r="H964" t="s">
        <v>35</v>
      </c>
    </row>
    <row r="965" spans="1:8" x14ac:dyDescent="0.25">
      <c r="A965" t="s">
        <v>1828</v>
      </c>
      <c r="B965" t="s">
        <v>726</v>
      </c>
      <c r="C965" s="27">
        <v>44857</v>
      </c>
      <c r="D965" t="s">
        <v>3372</v>
      </c>
      <c r="E965" t="s">
        <v>25</v>
      </c>
      <c r="F965">
        <v>155.52000000000001</v>
      </c>
      <c r="G965">
        <v>1</v>
      </c>
      <c r="H965" t="s">
        <v>35</v>
      </c>
    </row>
    <row r="966" spans="1:8" x14ac:dyDescent="0.25">
      <c r="A966" t="s">
        <v>1829</v>
      </c>
      <c r="B966" t="s">
        <v>1830</v>
      </c>
      <c r="C966" s="27">
        <v>44858</v>
      </c>
      <c r="D966" t="s">
        <v>3372</v>
      </c>
      <c r="E966" t="s">
        <v>22</v>
      </c>
      <c r="F966">
        <v>1625.83</v>
      </c>
      <c r="G966">
        <v>2</v>
      </c>
      <c r="H966" t="s">
        <v>3377</v>
      </c>
    </row>
    <row r="967" spans="1:8" x14ac:dyDescent="0.25">
      <c r="A967" t="s">
        <v>1831</v>
      </c>
      <c r="B967" t="s">
        <v>1832</v>
      </c>
      <c r="C967" s="27">
        <v>45392</v>
      </c>
      <c r="D967" t="s">
        <v>10</v>
      </c>
      <c r="E967" t="s">
        <v>3371</v>
      </c>
      <c r="F967">
        <v>382.53</v>
      </c>
      <c r="G967">
        <v>5</v>
      </c>
      <c r="H967" t="s">
        <v>3369</v>
      </c>
    </row>
    <row r="968" spans="1:8" x14ac:dyDescent="0.25">
      <c r="A968" t="s">
        <v>1833</v>
      </c>
      <c r="B968" t="s">
        <v>1834</v>
      </c>
      <c r="C968" s="27">
        <v>45375</v>
      </c>
      <c r="D968" t="s">
        <v>3372</v>
      </c>
      <c r="E968" t="s">
        <v>11</v>
      </c>
      <c r="F968">
        <v>1299.1600000000001</v>
      </c>
      <c r="G968">
        <v>7</v>
      </c>
      <c r="H968" t="s">
        <v>3377</v>
      </c>
    </row>
    <row r="969" spans="1:8" x14ac:dyDescent="0.25">
      <c r="A969" t="s">
        <v>1835</v>
      </c>
      <c r="B969" t="s">
        <v>1836</v>
      </c>
      <c r="C969" s="27">
        <v>44927</v>
      </c>
      <c r="D969" t="s">
        <v>14</v>
      </c>
      <c r="E969" t="s">
        <v>11</v>
      </c>
      <c r="F969">
        <v>687.13</v>
      </c>
      <c r="G969">
        <v>9</v>
      </c>
      <c r="H969" t="s">
        <v>15</v>
      </c>
    </row>
    <row r="970" spans="1:8" x14ac:dyDescent="0.25">
      <c r="A970" t="s">
        <v>1837</v>
      </c>
      <c r="B970" t="s">
        <v>1838</v>
      </c>
      <c r="C970" s="27">
        <v>44969</v>
      </c>
      <c r="D970" t="s">
        <v>10</v>
      </c>
      <c r="E970" t="s">
        <v>22</v>
      </c>
      <c r="F970">
        <v>975.19</v>
      </c>
      <c r="G970">
        <v>5</v>
      </c>
      <c r="H970" t="s">
        <v>3377</v>
      </c>
    </row>
    <row r="971" spans="1:8" x14ac:dyDescent="0.25">
      <c r="A971" t="s">
        <v>1839</v>
      </c>
      <c r="B971" t="s">
        <v>1840</v>
      </c>
      <c r="C971" s="27">
        <v>45855</v>
      </c>
      <c r="D971" t="s">
        <v>3372</v>
      </c>
      <c r="E971" t="s">
        <v>34</v>
      </c>
      <c r="G971">
        <v>4</v>
      </c>
      <c r="H971" t="s">
        <v>3377</v>
      </c>
    </row>
    <row r="972" spans="1:8" x14ac:dyDescent="0.25">
      <c r="A972" t="s">
        <v>1841</v>
      </c>
      <c r="B972" t="s">
        <v>1842</v>
      </c>
      <c r="C972" s="27">
        <v>45321</v>
      </c>
      <c r="D972" t="s">
        <v>3372</v>
      </c>
      <c r="E972" t="s">
        <v>11</v>
      </c>
      <c r="G972">
        <v>6</v>
      </c>
      <c r="H972" t="s">
        <v>18</v>
      </c>
    </row>
    <row r="973" spans="1:8" x14ac:dyDescent="0.25">
      <c r="A973" t="s">
        <v>1843</v>
      </c>
      <c r="B973" t="s">
        <v>1844</v>
      </c>
      <c r="C973" s="27">
        <v>45006</v>
      </c>
      <c r="D973" t="s">
        <v>21</v>
      </c>
      <c r="E973" t="s">
        <v>3370</v>
      </c>
      <c r="F973">
        <v>443.1</v>
      </c>
      <c r="G973">
        <v>7</v>
      </c>
      <c r="H973" t="s">
        <v>3377</v>
      </c>
    </row>
    <row r="974" spans="1:8" x14ac:dyDescent="0.25">
      <c r="A974" t="s">
        <v>1845</v>
      </c>
      <c r="B974" t="s">
        <v>1846</v>
      </c>
      <c r="C974" s="27">
        <v>45502</v>
      </c>
      <c r="D974" t="s">
        <v>14</v>
      </c>
      <c r="E974" t="s">
        <v>11</v>
      </c>
      <c r="G974">
        <v>9</v>
      </c>
      <c r="H974" t="s">
        <v>18</v>
      </c>
    </row>
    <row r="975" spans="1:8" x14ac:dyDescent="0.25">
      <c r="A975" t="s">
        <v>1847</v>
      </c>
      <c r="B975" t="s">
        <v>1848</v>
      </c>
      <c r="C975" s="27">
        <v>45852</v>
      </c>
      <c r="D975" t="s">
        <v>3372</v>
      </c>
      <c r="E975" t="s">
        <v>25</v>
      </c>
      <c r="F975">
        <v>1470.47</v>
      </c>
      <c r="G975">
        <v>7</v>
      </c>
      <c r="H975" t="s">
        <v>18</v>
      </c>
    </row>
    <row r="976" spans="1:8" x14ac:dyDescent="0.25">
      <c r="A976" t="s">
        <v>1849</v>
      </c>
      <c r="B976" t="s">
        <v>1850</v>
      </c>
      <c r="C976" s="27">
        <v>45058</v>
      </c>
      <c r="D976" t="s">
        <v>10</v>
      </c>
      <c r="E976" t="s">
        <v>3370</v>
      </c>
      <c r="F976">
        <v>242.29</v>
      </c>
      <c r="G976">
        <v>3</v>
      </c>
      <c r="H976" t="s">
        <v>15</v>
      </c>
    </row>
    <row r="977" spans="1:8" x14ac:dyDescent="0.25">
      <c r="A977" t="s">
        <v>1851</v>
      </c>
      <c r="B977" t="s">
        <v>1852</v>
      </c>
      <c r="C977" s="27">
        <v>45797</v>
      </c>
      <c r="D977" t="s">
        <v>21</v>
      </c>
      <c r="E977" t="s">
        <v>3371</v>
      </c>
      <c r="F977">
        <v>1861.59</v>
      </c>
      <c r="G977">
        <v>2</v>
      </c>
      <c r="H977" t="s">
        <v>3369</v>
      </c>
    </row>
    <row r="978" spans="1:8" x14ac:dyDescent="0.25">
      <c r="A978" t="s">
        <v>1853</v>
      </c>
      <c r="B978" t="s">
        <v>1854</v>
      </c>
      <c r="C978" s="27">
        <v>45898</v>
      </c>
      <c r="D978" t="s">
        <v>21</v>
      </c>
      <c r="E978" t="s">
        <v>11</v>
      </c>
      <c r="G978">
        <v>3</v>
      </c>
      <c r="H978" t="s">
        <v>3369</v>
      </c>
    </row>
    <row r="979" spans="1:8" x14ac:dyDescent="0.25">
      <c r="A979" t="s">
        <v>1855</v>
      </c>
      <c r="B979" t="s">
        <v>1856</v>
      </c>
      <c r="C979" s="27">
        <v>45878</v>
      </c>
      <c r="D979" t="s">
        <v>14</v>
      </c>
      <c r="E979" t="s">
        <v>3371</v>
      </c>
      <c r="F979">
        <v>1040.8699999999999</v>
      </c>
      <c r="G979">
        <v>5</v>
      </c>
      <c r="H979" t="s">
        <v>3377</v>
      </c>
    </row>
    <row r="980" spans="1:8" x14ac:dyDescent="0.25">
      <c r="A980" t="s">
        <v>1857</v>
      </c>
      <c r="B980" t="s">
        <v>1858</v>
      </c>
      <c r="C980" s="27">
        <v>45905</v>
      </c>
      <c r="D980" t="s">
        <v>3372</v>
      </c>
      <c r="E980" t="s">
        <v>3371</v>
      </c>
      <c r="F980">
        <v>1627.3</v>
      </c>
      <c r="G980">
        <v>5</v>
      </c>
      <c r="H980" t="s">
        <v>3377</v>
      </c>
    </row>
    <row r="981" spans="1:8" x14ac:dyDescent="0.25">
      <c r="A981" t="s">
        <v>1859</v>
      </c>
      <c r="B981" t="s">
        <v>1860</v>
      </c>
      <c r="C981" s="27">
        <v>45108</v>
      </c>
      <c r="D981" t="s">
        <v>14</v>
      </c>
      <c r="E981" t="s">
        <v>3371</v>
      </c>
      <c r="F981">
        <v>493.98</v>
      </c>
      <c r="G981">
        <v>8</v>
      </c>
      <c r="H981" t="s">
        <v>3377</v>
      </c>
    </row>
    <row r="982" spans="1:8" x14ac:dyDescent="0.25">
      <c r="A982" t="s">
        <v>1861</v>
      </c>
      <c r="B982" t="s">
        <v>1862</v>
      </c>
      <c r="C982" s="27">
        <v>45816</v>
      </c>
      <c r="D982" t="s">
        <v>14</v>
      </c>
      <c r="E982" t="s">
        <v>25</v>
      </c>
      <c r="F982">
        <v>1021.51</v>
      </c>
      <c r="G982">
        <v>5</v>
      </c>
      <c r="H982" t="s">
        <v>15</v>
      </c>
    </row>
    <row r="983" spans="1:8" x14ac:dyDescent="0.25">
      <c r="A983" t="s">
        <v>1863</v>
      </c>
      <c r="B983" t="s">
        <v>1864</v>
      </c>
      <c r="C983" s="27">
        <v>45050</v>
      </c>
      <c r="D983" t="s">
        <v>10</v>
      </c>
      <c r="E983" t="s">
        <v>11</v>
      </c>
      <c r="F983">
        <v>565.1</v>
      </c>
      <c r="G983">
        <v>8</v>
      </c>
      <c r="H983" t="s">
        <v>3369</v>
      </c>
    </row>
    <row r="984" spans="1:8" x14ac:dyDescent="0.25">
      <c r="A984" t="s">
        <v>1865</v>
      </c>
      <c r="B984" t="s">
        <v>1866</v>
      </c>
      <c r="C984" s="27">
        <v>45828</v>
      </c>
      <c r="D984" t="s">
        <v>14</v>
      </c>
      <c r="E984" t="s">
        <v>11</v>
      </c>
      <c r="F984">
        <v>1988.82</v>
      </c>
      <c r="G984">
        <v>9</v>
      </c>
      <c r="H984" t="s">
        <v>35</v>
      </c>
    </row>
    <row r="985" spans="1:8" x14ac:dyDescent="0.25">
      <c r="A985" t="s">
        <v>1867</v>
      </c>
      <c r="B985" t="s">
        <v>1778</v>
      </c>
      <c r="C985" s="27">
        <v>45867</v>
      </c>
      <c r="D985" t="s">
        <v>10</v>
      </c>
      <c r="E985" t="s">
        <v>34</v>
      </c>
      <c r="F985">
        <v>159.55000000000001</v>
      </c>
      <c r="G985">
        <v>1</v>
      </c>
      <c r="H985" t="s">
        <v>18</v>
      </c>
    </row>
    <row r="986" spans="1:8" x14ac:dyDescent="0.25">
      <c r="A986" t="s">
        <v>1868</v>
      </c>
      <c r="B986" t="s">
        <v>1869</v>
      </c>
      <c r="C986" s="27">
        <v>45825</v>
      </c>
      <c r="D986" t="s">
        <v>3372</v>
      </c>
      <c r="E986" t="s">
        <v>34</v>
      </c>
      <c r="F986">
        <v>1695.67</v>
      </c>
      <c r="G986">
        <v>2</v>
      </c>
      <c r="H986" t="s">
        <v>3369</v>
      </c>
    </row>
    <row r="987" spans="1:8" x14ac:dyDescent="0.25">
      <c r="A987" t="s">
        <v>1870</v>
      </c>
      <c r="B987" t="s">
        <v>1871</v>
      </c>
      <c r="C987" s="27">
        <v>45369</v>
      </c>
      <c r="D987" t="s">
        <v>21</v>
      </c>
      <c r="E987" t="s">
        <v>22</v>
      </c>
      <c r="F987">
        <v>626.92999999999995</v>
      </c>
      <c r="G987">
        <v>2</v>
      </c>
      <c r="H987" t="s">
        <v>15</v>
      </c>
    </row>
    <row r="988" spans="1:8" x14ac:dyDescent="0.25">
      <c r="A988" t="s">
        <v>1872</v>
      </c>
      <c r="B988" t="s">
        <v>1873</v>
      </c>
      <c r="C988" s="27">
        <v>45395</v>
      </c>
      <c r="D988" t="s">
        <v>14</v>
      </c>
      <c r="E988" t="s">
        <v>11</v>
      </c>
      <c r="F988">
        <v>1773.39</v>
      </c>
      <c r="G988">
        <v>9</v>
      </c>
      <c r="H988" t="s">
        <v>3369</v>
      </c>
    </row>
    <row r="989" spans="1:8" x14ac:dyDescent="0.25">
      <c r="A989" t="s">
        <v>1874</v>
      </c>
      <c r="B989" t="s">
        <v>1875</v>
      </c>
      <c r="C989" s="27">
        <v>45818</v>
      </c>
      <c r="D989" t="s">
        <v>14</v>
      </c>
      <c r="E989" t="s">
        <v>25</v>
      </c>
      <c r="F989">
        <v>831.59</v>
      </c>
      <c r="G989">
        <v>10</v>
      </c>
      <c r="H989" t="s">
        <v>15</v>
      </c>
    </row>
    <row r="990" spans="1:8" x14ac:dyDescent="0.25">
      <c r="A990" t="s">
        <v>1876</v>
      </c>
      <c r="B990" t="s">
        <v>1877</v>
      </c>
      <c r="C990" s="27">
        <v>45557</v>
      </c>
      <c r="D990" t="s">
        <v>10</v>
      </c>
      <c r="E990" t="s">
        <v>11</v>
      </c>
      <c r="F990">
        <v>795.89</v>
      </c>
      <c r="G990">
        <v>2</v>
      </c>
      <c r="H990" t="s">
        <v>15</v>
      </c>
    </row>
    <row r="991" spans="1:8" x14ac:dyDescent="0.25">
      <c r="A991" t="s">
        <v>1878</v>
      </c>
      <c r="B991" t="s">
        <v>1879</v>
      </c>
      <c r="C991" s="27">
        <v>45858</v>
      </c>
      <c r="D991" t="s">
        <v>14</v>
      </c>
      <c r="E991" t="s">
        <v>22</v>
      </c>
      <c r="F991">
        <v>981.91</v>
      </c>
      <c r="G991">
        <v>4</v>
      </c>
      <c r="H991" t="s">
        <v>18</v>
      </c>
    </row>
    <row r="992" spans="1:8" x14ac:dyDescent="0.25">
      <c r="A992" t="s">
        <v>1880</v>
      </c>
      <c r="B992" t="s">
        <v>1881</v>
      </c>
      <c r="C992" s="27">
        <v>45288</v>
      </c>
      <c r="D992" t="s">
        <v>21</v>
      </c>
      <c r="E992" t="s">
        <v>22</v>
      </c>
      <c r="F992">
        <v>889.59</v>
      </c>
      <c r="G992">
        <v>6</v>
      </c>
      <c r="H992" t="s">
        <v>15</v>
      </c>
    </row>
    <row r="993" spans="1:8" x14ac:dyDescent="0.25">
      <c r="A993" t="s">
        <v>1882</v>
      </c>
      <c r="B993" t="s">
        <v>1883</v>
      </c>
      <c r="C993" s="27">
        <v>45493</v>
      </c>
      <c r="D993" t="s">
        <v>3372</v>
      </c>
      <c r="E993" t="s">
        <v>22</v>
      </c>
      <c r="G993">
        <v>9</v>
      </c>
      <c r="H993" t="s">
        <v>3369</v>
      </c>
    </row>
    <row r="994" spans="1:8" x14ac:dyDescent="0.25">
      <c r="A994" t="s">
        <v>1884</v>
      </c>
      <c r="B994" t="s">
        <v>1885</v>
      </c>
      <c r="C994" s="27">
        <v>45704</v>
      </c>
      <c r="D994" t="s">
        <v>21</v>
      </c>
      <c r="E994" t="s">
        <v>34</v>
      </c>
      <c r="F994">
        <v>466.55</v>
      </c>
      <c r="G994">
        <v>9</v>
      </c>
      <c r="H994" t="s">
        <v>3369</v>
      </c>
    </row>
    <row r="995" spans="1:8" x14ac:dyDescent="0.25">
      <c r="A995" t="s">
        <v>1886</v>
      </c>
      <c r="B995" t="s">
        <v>1532</v>
      </c>
      <c r="C995" s="27">
        <v>44993</v>
      </c>
      <c r="D995" t="s">
        <v>21</v>
      </c>
      <c r="E995" t="s">
        <v>22</v>
      </c>
      <c r="F995">
        <v>756.96</v>
      </c>
      <c r="G995">
        <v>6</v>
      </c>
      <c r="H995" t="s">
        <v>35</v>
      </c>
    </row>
    <row r="996" spans="1:8" x14ac:dyDescent="0.25">
      <c r="A996" t="s">
        <v>1887</v>
      </c>
      <c r="B996" t="s">
        <v>1888</v>
      </c>
      <c r="C996" s="27">
        <v>45750</v>
      </c>
      <c r="D996" t="s">
        <v>10</v>
      </c>
      <c r="E996" t="s">
        <v>25</v>
      </c>
      <c r="F996">
        <v>1189.42</v>
      </c>
      <c r="G996">
        <v>1</v>
      </c>
      <c r="H996" t="s">
        <v>3377</v>
      </c>
    </row>
    <row r="997" spans="1:8" x14ac:dyDescent="0.25">
      <c r="A997" t="s">
        <v>1889</v>
      </c>
      <c r="B997" t="s">
        <v>1890</v>
      </c>
      <c r="C997" s="27">
        <v>45625</v>
      </c>
      <c r="D997" t="s">
        <v>10</v>
      </c>
      <c r="E997" t="s">
        <v>11</v>
      </c>
      <c r="F997">
        <v>292.33999999999997</v>
      </c>
      <c r="G997">
        <v>10</v>
      </c>
      <c r="H997" t="s">
        <v>18</v>
      </c>
    </row>
    <row r="998" spans="1:8" x14ac:dyDescent="0.25">
      <c r="A998" t="s">
        <v>1891</v>
      </c>
      <c r="B998" t="s">
        <v>1892</v>
      </c>
      <c r="C998" s="27">
        <v>45021</v>
      </c>
      <c r="D998" t="s">
        <v>10</v>
      </c>
      <c r="E998" t="s">
        <v>22</v>
      </c>
      <c r="F998">
        <v>1968.2</v>
      </c>
      <c r="G998">
        <v>3</v>
      </c>
      <c r="H998" t="s">
        <v>18</v>
      </c>
    </row>
    <row r="999" spans="1:8" x14ac:dyDescent="0.25">
      <c r="A999" t="s">
        <v>1893</v>
      </c>
      <c r="B999" t="s">
        <v>1894</v>
      </c>
      <c r="C999" s="27">
        <v>45276</v>
      </c>
      <c r="D999" t="s">
        <v>10</v>
      </c>
      <c r="E999" t="s">
        <v>22</v>
      </c>
      <c r="F999">
        <v>1158.8399999999999</v>
      </c>
      <c r="G999">
        <v>4</v>
      </c>
      <c r="H999" t="s">
        <v>15</v>
      </c>
    </row>
    <row r="1000" spans="1:8" x14ac:dyDescent="0.25">
      <c r="A1000" t="s">
        <v>1895</v>
      </c>
      <c r="B1000" t="s">
        <v>1896</v>
      </c>
      <c r="C1000" s="27">
        <v>45684</v>
      </c>
      <c r="D1000" t="s">
        <v>14</v>
      </c>
      <c r="E1000" t="s">
        <v>22</v>
      </c>
      <c r="F1000">
        <v>1019.21</v>
      </c>
      <c r="H1000" t="s">
        <v>18</v>
      </c>
    </row>
    <row r="1001" spans="1:8" x14ac:dyDescent="0.25">
      <c r="A1001" t="s">
        <v>1897</v>
      </c>
      <c r="B1001" t="s">
        <v>1898</v>
      </c>
      <c r="C1001" s="27">
        <v>45504</v>
      </c>
      <c r="D1001" t="s">
        <v>21</v>
      </c>
      <c r="E1001" t="s">
        <v>25</v>
      </c>
      <c r="F1001">
        <v>1343.95</v>
      </c>
      <c r="G1001">
        <v>1</v>
      </c>
      <c r="H1001" t="s">
        <v>3377</v>
      </c>
    </row>
    <row r="1002" spans="1:8" x14ac:dyDescent="0.25">
      <c r="A1002" t="s">
        <v>1899</v>
      </c>
      <c r="B1002" t="s">
        <v>1900</v>
      </c>
      <c r="C1002" s="27">
        <v>44993</v>
      </c>
      <c r="D1002" t="s">
        <v>3372</v>
      </c>
      <c r="E1002" t="s">
        <v>3370</v>
      </c>
      <c r="G1002">
        <v>8</v>
      </c>
      <c r="H1002" t="s">
        <v>3377</v>
      </c>
    </row>
    <row r="1003" spans="1:8" x14ac:dyDescent="0.25">
      <c r="A1003" t="s">
        <v>1901</v>
      </c>
      <c r="B1003" t="s">
        <v>1902</v>
      </c>
      <c r="C1003" s="27">
        <v>45323</v>
      </c>
      <c r="D1003" t="s">
        <v>3372</v>
      </c>
      <c r="E1003" t="s">
        <v>34</v>
      </c>
      <c r="F1003">
        <v>399.41</v>
      </c>
      <c r="G1003">
        <v>5</v>
      </c>
      <c r="H1003" t="s">
        <v>15</v>
      </c>
    </row>
    <row r="1004" spans="1:8" x14ac:dyDescent="0.25">
      <c r="A1004" t="s">
        <v>1903</v>
      </c>
      <c r="B1004" t="s">
        <v>1904</v>
      </c>
      <c r="C1004" s="27">
        <v>45862</v>
      </c>
      <c r="D1004" t="s">
        <v>3372</v>
      </c>
      <c r="E1004" t="s">
        <v>11</v>
      </c>
      <c r="F1004">
        <v>607.42999999999995</v>
      </c>
      <c r="H1004" t="s">
        <v>15</v>
      </c>
    </row>
    <row r="1005" spans="1:8" x14ac:dyDescent="0.25">
      <c r="A1005" t="s">
        <v>1905</v>
      </c>
      <c r="B1005" t="s">
        <v>1906</v>
      </c>
      <c r="C1005" s="27">
        <v>45391</v>
      </c>
      <c r="D1005" t="s">
        <v>3372</v>
      </c>
      <c r="E1005" t="s">
        <v>34</v>
      </c>
      <c r="F1005">
        <v>631.64</v>
      </c>
      <c r="G1005">
        <v>1</v>
      </c>
      <c r="H1005" t="s">
        <v>3369</v>
      </c>
    </row>
    <row r="1006" spans="1:8" x14ac:dyDescent="0.25">
      <c r="A1006" t="s">
        <v>1907</v>
      </c>
      <c r="B1006" t="s">
        <v>1908</v>
      </c>
      <c r="C1006" s="27">
        <v>44869</v>
      </c>
      <c r="D1006" t="s">
        <v>21</v>
      </c>
      <c r="E1006" t="s">
        <v>22</v>
      </c>
      <c r="F1006">
        <v>1545.58</v>
      </c>
      <c r="H1006" t="s">
        <v>15</v>
      </c>
    </row>
    <row r="1007" spans="1:8" x14ac:dyDescent="0.25">
      <c r="A1007" t="s">
        <v>1909</v>
      </c>
      <c r="B1007" t="s">
        <v>1910</v>
      </c>
      <c r="C1007" s="27">
        <v>45933</v>
      </c>
      <c r="D1007" t="s">
        <v>21</v>
      </c>
      <c r="E1007" t="s">
        <v>22</v>
      </c>
      <c r="F1007">
        <v>400.61</v>
      </c>
      <c r="G1007">
        <v>10</v>
      </c>
      <c r="H1007" t="s">
        <v>3369</v>
      </c>
    </row>
    <row r="1008" spans="1:8" x14ac:dyDescent="0.25">
      <c r="A1008" t="s">
        <v>1911</v>
      </c>
      <c r="B1008" t="s">
        <v>1912</v>
      </c>
      <c r="C1008" s="27">
        <v>45316</v>
      </c>
      <c r="D1008" t="s">
        <v>21</v>
      </c>
      <c r="E1008" t="s">
        <v>3371</v>
      </c>
      <c r="F1008">
        <v>1147.8</v>
      </c>
      <c r="G1008">
        <v>1</v>
      </c>
      <c r="H1008" t="s">
        <v>15</v>
      </c>
    </row>
    <row r="1009" spans="1:8" x14ac:dyDescent="0.25">
      <c r="A1009" t="s">
        <v>1913</v>
      </c>
      <c r="B1009" t="s">
        <v>1914</v>
      </c>
      <c r="C1009" s="27">
        <v>45659</v>
      </c>
      <c r="D1009" t="s">
        <v>10</v>
      </c>
      <c r="E1009" t="s">
        <v>3371</v>
      </c>
      <c r="F1009">
        <v>103.38</v>
      </c>
      <c r="G1009">
        <v>5</v>
      </c>
      <c r="H1009" t="s">
        <v>18</v>
      </c>
    </row>
    <row r="1010" spans="1:8" x14ac:dyDescent="0.25">
      <c r="A1010" t="s">
        <v>1915</v>
      </c>
      <c r="B1010" t="s">
        <v>1916</v>
      </c>
      <c r="C1010" s="27">
        <v>44899</v>
      </c>
      <c r="D1010" t="s">
        <v>10</v>
      </c>
      <c r="E1010" t="s">
        <v>3370</v>
      </c>
      <c r="F1010">
        <v>1448.11</v>
      </c>
      <c r="H1010" t="s">
        <v>35</v>
      </c>
    </row>
    <row r="1011" spans="1:8" x14ac:dyDescent="0.25">
      <c r="A1011" t="s">
        <v>1917</v>
      </c>
      <c r="B1011" t="s">
        <v>1918</v>
      </c>
      <c r="C1011" s="27">
        <v>45587</v>
      </c>
      <c r="D1011" t="s">
        <v>21</v>
      </c>
      <c r="E1011" t="s">
        <v>25</v>
      </c>
      <c r="F1011">
        <v>1599.89</v>
      </c>
      <c r="G1011">
        <v>6</v>
      </c>
      <c r="H1011" t="s">
        <v>15</v>
      </c>
    </row>
    <row r="1012" spans="1:8" x14ac:dyDescent="0.25">
      <c r="A1012" t="s">
        <v>1919</v>
      </c>
      <c r="B1012" t="s">
        <v>755</v>
      </c>
      <c r="C1012" s="27">
        <v>45011</v>
      </c>
      <c r="D1012" t="s">
        <v>21</v>
      </c>
      <c r="E1012" t="s">
        <v>25</v>
      </c>
      <c r="F1012">
        <v>383.7</v>
      </c>
      <c r="G1012">
        <v>7</v>
      </c>
      <c r="H1012" t="s">
        <v>3377</v>
      </c>
    </row>
    <row r="1013" spans="1:8" x14ac:dyDescent="0.25">
      <c r="A1013" t="s">
        <v>1920</v>
      </c>
      <c r="B1013" t="s">
        <v>1921</v>
      </c>
      <c r="C1013" s="27">
        <v>44858</v>
      </c>
      <c r="D1013" t="s">
        <v>3372</v>
      </c>
      <c r="E1013" t="s">
        <v>22</v>
      </c>
      <c r="F1013">
        <v>976.08</v>
      </c>
      <c r="G1013">
        <v>3</v>
      </c>
      <c r="H1013" t="s">
        <v>3369</v>
      </c>
    </row>
    <row r="1014" spans="1:8" x14ac:dyDescent="0.25">
      <c r="A1014" t="s">
        <v>3427</v>
      </c>
      <c r="B1014" t="s">
        <v>3428</v>
      </c>
      <c r="C1014" s="27">
        <v>44857</v>
      </c>
      <c r="D1014" t="s">
        <v>10</v>
      </c>
      <c r="E1014" t="s">
        <v>25</v>
      </c>
      <c r="F1014">
        <v>96.07</v>
      </c>
      <c r="G1014">
        <v>5</v>
      </c>
      <c r="H1014" t="s">
        <v>3377</v>
      </c>
    </row>
    <row r="1015" spans="1:8" x14ac:dyDescent="0.25">
      <c r="A1015" t="s">
        <v>1922</v>
      </c>
      <c r="B1015" t="s">
        <v>1923</v>
      </c>
      <c r="C1015" s="27">
        <v>45186</v>
      </c>
      <c r="D1015" t="s">
        <v>10</v>
      </c>
      <c r="E1015" t="s">
        <v>3371</v>
      </c>
      <c r="F1015">
        <v>965.92</v>
      </c>
      <c r="G1015">
        <v>2</v>
      </c>
      <c r="H1015" t="s">
        <v>15</v>
      </c>
    </row>
    <row r="1016" spans="1:8" x14ac:dyDescent="0.25">
      <c r="A1016" t="s">
        <v>1924</v>
      </c>
      <c r="B1016" t="s">
        <v>1925</v>
      </c>
      <c r="C1016" s="27">
        <v>44987</v>
      </c>
      <c r="D1016" t="s">
        <v>21</v>
      </c>
      <c r="E1016" t="s">
        <v>11</v>
      </c>
      <c r="F1016">
        <v>618.61</v>
      </c>
      <c r="G1016">
        <v>7</v>
      </c>
      <c r="H1016" t="s">
        <v>35</v>
      </c>
    </row>
    <row r="1017" spans="1:8" x14ac:dyDescent="0.25">
      <c r="A1017" t="s">
        <v>1926</v>
      </c>
      <c r="B1017" t="s">
        <v>1927</v>
      </c>
      <c r="C1017" s="27">
        <v>45523</v>
      </c>
      <c r="D1017" t="s">
        <v>14</v>
      </c>
      <c r="E1017" t="s">
        <v>34</v>
      </c>
      <c r="F1017">
        <v>1618.04</v>
      </c>
      <c r="H1017" t="s">
        <v>15</v>
      </c>
    </row>
    <row r="1018" spans="1:8" x14ac:dyDescent="0.25">
      <c r="A1018" t="s">
        <v>1928</v>
      </c>
      <c r="B1018" t="s">
        <v>1929</v>
      </c>
      <c r="C1018" s="27">
        <v>45514</v>
      </c>
      <c r="D1018" t="s">
        <v>3372</v>
      </c>
      <c r="E1018" t="s">
        <v>22</v>
      </c>
      <c r="G1018">
        <v>3</v>
      </c>
      <c r="H1018" t="s">
        <v>3377</v>
      </c>
    </row>
    <row r="1019" spans="1:8" x14ac:dyDescent="0.25">
      <c r="A1019" t="s">
        <v>1930</v>
      </c>
      <c r="B1019" t="s">
        <v>1931</v>
      </c>
      <c r="C1019" s="27">
        <v>45391</v>
      </c>
      <c r="D1019" t="s">
        <v>21</v>
      </c>
      <c r="E1019" t="s">
        <v>25</v>
      </c>
      <c r="F1019">
        <v>1537.82</v>
      </c>
      <c r="G1019">
        <v>4</v>
      </c>
      <c r="H1019" t="s">
        <v>15</v>
      </c>
    </row>
    <row r="1020" spans="1:8" x14ac:dyDescent="0.25">
      <c r="A1020" t="s">
        <v>1932</v>
      </c>
      <c r="B1020" t="s">
        <v>1933</v>
      </c>
      <c r="C1020" s="27">
        <v>45466</v>
      </c>
      <c r="D1020" t="s">
        <v>21</v>
      </c>
      <c r="E1020" t="s">
        <v>34</v>
      </c>
      <c r="F1020">
        <v>1392.54</v>
      </c>
      <c r="G1020">
        <v>1</v>
      </c>
      <c r="H1020" t="s">
        <v>3369</v>
      </c>
    </row>
    <row r="1021" spans="1:8" x14ac:dyDescent="0.25">
      <c r="A1021" t="s">
        <v>1934</v>
      </c>
      <c r="B1021" t="s">
        <v>1935</v>
      </c>
      <c r="C1021" s="27">
        <v>45907</v>
      </c>
      <c r="D1021" t="s">
        <v>21</v>
      </c>
      <c r="E1021" t="s">
        <v>22</v>
      </c>
      <c r="F1021">
        <v>1501.28</v>
      </c>
      <c r="G1021">
        <v>7</v>
      </c>
      <c r="H1021" t="s">
        <v>3377</v>
      </c>
    </row>
    <row r="1022" spans="1:8" x14ac:dyDescent="0.25">
      <c r="A1022" t="s">
        <v>3431</v>
      </c>
      <c r="B1022" t="s">
        <v>3432</v>
      </c>
      <c r="C1022" s="27">
        <v>45275</v>
      </c>
      <c r="D1022" t="s">
        <v>3372</v>
      </c>
      <c r="E1022" t="s">
        <v>25</v>
      </c>
      <c r="F1022">
        <v>1453.79</v>
      </c>
      <c r="G1022">
        <v>5</v>
      </c>
      <c r="H1022" t="s">
        <v>3369</v>
      </c>
    </row>
    <row r="1023" spans="1:8" x14ac:dyDescent="0.25">
      <c r="A1023" t="s">
        <v>1936</v>
      </c>
      <c r="B1023" t="s">
        <v>1025</v>
      </c>
      <c r="C1023" s="27">
        <v>45471</v>
      </c>
      <c r="D1023" t="s">
        <v>14</v>
      </c>
      <c r="E1023" t="s">
        <v>3370</v>
      </c>
      <c r="F1023">
        <v>1440.77</v>
      </c>
      <c r="G1023">
        <v>5</v>
      </c>
      <c r="H1023" t="s">
        <v>18</v>
      </c>
    </row>
    <row r="1024" spans="1:8" x14ac:dyDescent="0.25">
      <c r="A1024" t="s">
        <v>3401</v>
      </c>
      <c r="B1024" t="s">
        <v>3402</v>
      </c>
      <c r="C1024" s="27">
        <v>45740</v>
      </c>
      <c r="D1024" t="s">
        <v>10</v>
      </c>
      <c r="E1024" t="s">
        <v>25</v>
      </c>
      <c r="F1024">
        <v>640.54</v>
      </c>
      <c r="G1024">
        <v>7</v>
      </c>
      <c r="H1024" t="s">
        <v>35</v>
      </c>
    </row>
    <row r="1025" spans="1:8" x14ac:dyDescent="0.25">
      <c r="A1025" t="s">
        <v>1937</v>
      </c>
      <c r="B1025" t="s">
        <v>1938</v>
      </c>
      <c r="C1025" s="27">
        <v>45044</v>
      </c>
      <c r="D1025" t="s">
        <v>10</v>
      </c>
      <c r="E1025" t="s">
        <v>25</v>
      </c>
      <c r="F1025">
        <v>669.77</v>
      </c>
      <c r="G1025">
        <v>5</v>
      </c>
      <c r="H1025" t="s">
        <v>15</v>
      </c>
    </row>
    <row r="1026" spans="1:8" x14ac:dyDescent="0.25">
      <c r="A1026" t="s">
        <v>1939</v>
      </c>
      <c r="B1026" t="s">
        <v>1575</v>
      </c>
      <c r="C1026" s="27">
        <v>45952</v>
      </c>
      <c r="D1026" t="s">
        <v>14</v>
      </c>
      <c r="E1026" t="s">
        <v>11</v>
      </c>
      <c r="G1026">
        <v>7</v>
      </c>
      <c r="H1026" t="s">
        <v>3369</v>
      </c>
    </row>
    <row r="1027" spans="1:8" x14ac:dyDescent="0.25">
      <c r="A1027" t="s">
        <v>1940</v>
      </c>
      <c r="B1027" t="s">
        <v>1941</v>
      </c>
      <c r="C1027" s="27">
        <v>45735</v>
      </c>
      <c r="D1027" t="s">
        <v>21</v>
      </c>
      <c r="E1027" t="s">
        <v>11</v>
      </c>
      <c r="F1027">
        <v>260.87</v>
      </c>
      <c r="H1027" t="s">
        <v>3369</v>
      </c>
    </row>
    <row r="1028" spans="1:8" x14ac:dyDescent="0.25">
      <c r="A1028" t="s">
        <v>1942</v>
      </c>
      <c r="B1028" t="s">
        <v>1943</v>
      </c>
      <c r="C1028" s="27">
        <v>45807</v>
      </c>
      <c r="D1028" t="s">
        <v>10</v>
      </c>
      <c r="E1028" t="s">
        <v>22</v>
      </c>
      <c r="F1028">
        <v>1776.21</v>
      </c>
      <c r="G1028">
        <v>7</v>
      </c>
      <c r="H1028" t="s">
        <v>18</v>
      </c>
    </row>
    <row r="1029" spans="1:8" x14ac:dyDescent="0.25">
      <c r="A1029" t="s">
        <v>1944</v>
      </c>
      <c r="B1029" t="s">
        <v>1945</v>
      </c>
      <c r="C1029" s="27">
        <v>45285</v>
      </c>
      <c r="D1029" t="s">
        <v>10</v>
      </c>
      <c r="E1029" t="s">
        <v>25</v>
      </c>
      <c r="F1029">
        <v>463.96</v>
      </c>
      <c r="G1029">
        <v>4</v>
      </c>
      <c r="H1029" t="s">
        <v>18</v>
      </c>
    </row>
    <row r="1030" spans="1:8" x14ac:dyDescent="0.25">
      <c r="A1030" t="s">
        <v>1946</v>
      </c>
      <c r="B1030" t="s">
        <v>1947</v>
      </c>
      <c r="C1030" s="27">
        <v>45158</v>
      </c>
      <c r="D1030" t="s">
        <v>21</v>
      </c>
      <c r="E1030" t="s">
        <v>3370</v>
      </c>
      <c r="F1030">
        <v>936.55</v>
      </c>
      <c r="G1030">
        <v>7</v>
      </c>
      <c r="H1030" t="s">
        <v>35</v>
      </c>
    </row>
    <row r="1031" spans="1:8" x14ac:dyDescent="0.25">
      <c r="A1031" t="s">
        <v>1948</v>
      </c>
      <c r="B1031" t="s">
        <v>1931</v>
      </c>
      <c r="C1031" s="27">
        <v>45054</v>
      </c>
      <c r="D1031" t="s">
        <v>21</v>
      </c>
      <c r="E1031" t="s">
        <v>11</v>
      </c>
      <c r="F1031">
        <v>1158.28</v>
      </c>
      <c r="G1031">
        <v>3</v>
      </c>
      <c r="H1031" t="s">
        <v>3377</v>
      </c>
    </row>
    <row r="1032" spans="1:8" x14ac:dyDescent="0.25">
      <c r="A1032" t="s">
        <v>1949</v>
      </c>
      <c r="B1032" t="s">
        <v>1950</v>
      </c>
      <c r="C1032" s="27">
        <v>44917</v>
      </c>
      <c r="D1032" t="s">
        <v>10</v>
      </c>
      <c r="E1032" t="s">
        <v>11</v>
      </c>
      <c r="F1032">
        <v>1038.68</v>
      </c>
      <c r="G1032">
        <v>3</v>
      </c>
      <c r="H1032" t="s">
        <v>3377</v>
      </c>
    </row>
    <row r="1033" spans="1:8" x14ac:dyDescent="0.25">
      <c r="A1033" t="s">
        <v>1951</v>
      </c>
      <c r="B1033" t="s">
        <v>1952</v>
      </c>
      <c r="C1033" s="27">
        <v>45243</v>
      </c>
      <c r="D1033" t="s">
        <v>21</v>
      </c>
      <c r="E1033" t="s">
        <v>3370</v>
      </c>
      <c r="F1033">
        <v>1068.3</v>
      </c>
      <c r="G1033">
        <v>5</v>
      </c>
      <c r="H1033" t="s">
        <v>15</v>
      </c>
    </row>
    <row r="1034" spans="1:8" x14ac:dyDescent="0.25">
      <c r="A1034" t="s">
        <v>1953</v>
      </c>
      <c r="B1034" t="s">
        <v>51</v>
      </c>
      <c r="C1034" s="27">
        <v>44941</v>
      </c>
      <c r="D1034" t="s">
        <v>3372</v>
      </c>
      <c r="E1034" t="s">
        <v>25</v>
      </c>
      <c r="F1034">
        <v>1628.57</v>
      </c>
      <c r="G1034">
        <v>5</v>
      </c>
      <c r="H1034" t="s">
        <v>18</v>
      </c>
    </row>
    <row r="1035" spans="1:8" x14ac:dyDescent="0.25">
      <c r="A1035" t="s">
        <v>1954</v>
      </c>
      <c r="B1035" t="s">
        <v>1955</v>
      </c>
      <c r="C1035" s="27">
        <v>45607</v>
      </c>
      <c r="D1035" t="s">
        <v>14</v>
      </c>
      <c r="E1035" t="s">
        <v>3371</v>
      </c>
      <c r="F1035">
        <v>1541.45</v>
      </c>
      <c r="G1035">
        <v>5</v>
      </c>
      <c r="H1035" t="s">
        <v>3369</v>
      </c>
    </row>
    <row r="1036" spans="1:8" x14ac:dyDescent="0.25">
      <c r="A1036" t="s">
        <v>1956</v>
      </c>
      <c r="B1036" t="s">
        <v>1957</v>
      </c>
      <c r="C1036" s="27">
        <v>45128</v>
      </c>
      <c r="D1036" t="s">
        <v>10</v>
      </c>
      <c r="E1036" t="s">
        <v>11</v>
      </c>
      <c r="F1036">
        <v>558.92999999999995</v>
      </c>
      <c r="H1036" t="s">
        <v>3377</v>
      </c>
    </row>
    <row r="1037" spans="1:8" x14ac:dyDescent="0.25">
      <c r="A1037" t="s">
        <v>1958</v>
      </c>
      <c r="B1037" t="s">
        <v>1959</v>
      </c>
      <c r="C1037" s="27">
        <v>45311</v>
      </c>
      <c r="D1037" t="s">
        <v>21</v>
      </c>
      <c r="E1037" t="s">
        <v>25</v>
      </c>
      <c r="F1037">
        <v>1662.09</v>
      </c>
      <c r="G1037">
        <v>7</v>
      </c>
      <c r="H1037" t="s">
        <v>35</v>
      </c>
    </row>
    <row r="1038" spans="1:8" x14ac:dyDescent="0.25">
      <c r="A1038" t="s">
        <v>1960</v>
      </c>
      <c r="B1038" t="s">
        <v>111</v>
      </c>
      <c r="C1038" s="27">
        <v>45061</v>
      </c>
      <c r="D1038" t="s">
        <v>3372</v>
      </c>
      <c r="E1038" t="s">
        <v>3370</v>
      </c>
      <c r="G1038">
        <v>6</v>
      </c>
      <c r="H1038" t="s">
        <v>3369</v>
      </c>
    </row>
    <row r="1039" spans="1:8" x14ac:dyDescent="0.25">
      <c r="A1039" t="s">
        <v>1961</v>
      </c>
      <c r="B1039" t="s">
        <v>1962</v>
      </c>
      <c r="C1039" s="27">
        <v>44973</v>
      </c>
      <c r="D1039" t="s">
        <v>3372</v>
      </c>
      <c r="E1039" t="s">
        <v>34</v>
      </c>
      <c r="F1039">
        <v>524.61</v>
      </c>
      <c r="G1039">
        <v>8</v>
      </c>
      <c r="H1039" t="s">
        <v>18</v>
      </c>
    </row>
    <row r="1040" spans="1:8" x14ac:dyDescent="0.25">
      <c r="A1040" t="s">
        <v>1963</v>
      </c>
      <c r="B1040" t="s">
        <v>1964</v>
      </c>
      <c r="C1040" s="27">
        <v>45908</v>
      </c>
      <c r="D1040" t="s">
        <v>21</v>
      </c>
      <c r="E1040" t="s">
        <v>11</v>
      </c>
      <c r="F1040">
        <v>1181.8900000000001</v>
      </c>
      <c r="G1040">
        <v>6</v>
      </c>
      <c r="H1040" t="s">
        <v>15</v>
      </c>
    </row>
    <row r="1041" spans="1:8" x14ac:dyDescent="0.25">
      <c r="A1041" t="s">
        <v>1965</v>
      </c>
      <c r="B1041" t="s">
        <v>1966</v>
      </c>
      <c r="C1041" s="27">
        <v>45849</v>
      </c>
      <c r="D1041" t="s">
        <v>10</v>
      </c>
      <c r="E1041" t="s">
        <v>11</v>
      </c>
      <c r="F1041">
        <v>574.03</v>
      </c>
      <c r="G1041">
        <v>9</v>
      </c>
      <c r="H1041" t="s">
        <v>18</v>
      </c>
    </row>
    <row r="1042" spans="1:8" x14ac:dyDescent="0.25">
      <c r="A1042" t="s">
        <v>1967</v>
      </c>
      <c r="B1042" t="s">
        <v>1968</v>
      </c>
      <c r="C1042" s="27">
        <v>44936</v>
      </c>
      <c r="D1042" t="s">
        <v>10</v>
      </c>
      <c r="E1042" t="s">
        <v>3370</v>
      </c>
      <c r="F1042">
        <v>280.77999999999997</v>
      </c>
      <c r="G1042">
        <v>7</v>
      </c>
      <c r="H1042" t="s">
        <v>35</v>
      </c>
    </row>
    <row r="1043" spans="1:8" x14ac:dyDescent="0.25">
      <c r="A1043" t="s">
        <v>1969</v>
      </c>
      <c r="B1043" t="s">
        <v>1970</v>
      </c>
      <c r="C1043" s="27">
        <v>45614</v>
      </c>
      <c r="D1043" t="s">
        <v>21</v>
      </c>
      <c r="E1043" t="s">
        <v>25</v>
      </c>
      <c r="G1043">
        <v>8</v>
      </c>
      <c r="H1043" t="s">
        <v>35</v>
      </c>
    </row>
    <row r="1044" spans="1:8" x14ac:dyDescent="0.25">
      <c r="A1044" t="s">
        <v>1971</v>
      </c>
      <c r="B1044" t="s">
        <v>1972</v>
      </c>
      <c r="C1044" s="27">
        <v>45036</v>
      </c>
      <c r="D1044" t="s">
        <v>3372</v>
      </c>
      <c r="E1044" t="s">
        <v>3370</v>
      </c>
      <c r="F1044">
        <v>1373.52</v>
      </c>
      <c r="G1044">
        <v>2</v>
      </c>
      <c r="H1044" t="s">
        <v>15</v>
      </c>
    </row>
    <row r="1045" spans="1:8" x14ac:dyDescent="0.25">
      <c r="A1045" t="s">
        <v>1973</v>
      </c>
      <c r="B1045" t="s">
        <v>1974</v>
      </c>
      <c r="C1045" s="27">
        <v>45364</v>
      </c>
      <c r="D1045" t="s">
        <v>14</v>
      </c>
      <c r="E1045" t="s">
        <v>11</v>
      </c>
      <c r="F1045">
        <v>1844.44</v>
      </c>
      <c r="G1045">
        <v>2</v>
      </c>
      <c r="H1045" t="s">
        <v>15</v>
      </c>
    </row>
    <row r="1046" spans="1:8" x14ac:dyDescent="0.25">
      <c r="A1046" t="s">
        <v>1975</v>
      </c>
      <c r="B1046" t="s">
        <v>1976</v>
      </c>
      <c r="C1046" s="27">
        <v>45124</v>
      </c>
      <c r="D1046" t="s">
        <v>14</v>
      </c>
      <c r="E1046" t="s">
        <v>22</v>
      </c>
      <c r="F1046">
        <v>632.22</v>
      </c>
      <c r="G1046">
        <v>1</v>
      </c>
      <c r="H1046" t="s">
        <v>35</v>
      </c>
    </row>
    <row r="1047" spans="1:8" x14ac:dyDescent="0.25">
      <c r="A1047" t="s">
        <v>1977</v>
      </c>
      <c r="B1047" t="s">
        <v>1978</v>
      </c>
      <c r="C1047" s="27">
        <v>45421</v>
      </c>
      <c r="D1047" t="s">
        <v>21</v>
      </c>
      <c r="E1047" t="s">
        <v>3370</v>
      </c>
      <c r="F1047">
        <v>322.42</v>
      </c>
      <c r="G1047">
        <v>3</v>
      </c>
      <c r="H1047" t="s">
        <v>15</v>
      </c>
    </row>
    <row r="1048" spans="1:8" x14ac:dyDescent="0.25">
      <c r="A1048" t="s">
        <v>1979</v>
      </c>
      <c r="B1048" t="s">
        <v>1980</v>
      </c>
      <c r="C1048" s="27">
        <v>45491</v>
      </c>
      <c r="D1048" t="s">
        <v>10</v>
      </c>
      <c r="E1048" t="s">
        <v>22</v>
      </c>
      <c r="F1048">
        <v>39.200000000000003</v>
      </c>
      <c r="G1048">
        <v>4</v>
      </c>
      <c r="H1048" t="s">
        <v>18</v>
      </c>
    </row>
    <row r="1049" spans="1:8" x14ac:dyDescent="0.25">
      <c r="A1049" t="s">
        <v>1981</v>
      </c>
      <c r="B1049" t="s">
        <v>1982</v>
      </c>
      <c r="C1049" s="27">
        <v>44995</v>
      </c>
      <c r="D1049" t="s">
        <v>21</v>
      </c>
      <c r="E1049" t="s">
        <v>25</v>
      </c>
      <c r="F1049">
        <v>1895.69</v>
      </c>
      <c r="G1049">
        <v>5</v>
      </c>
      <c r="H1049" t="s">
        <v>15</v>
      </c>
    </row>
    <row r="1050" spans="1:8" x14ac:dyDescent="0.25">
      <c r="A1050" t="s">
        <v>1983</v>
      </c>
      <c r="B1050" t="s">
        <v>1984</v>
      </c>
      <c r="C1050" s="27">
        <v>45669</v>
      </c>
      <c r="D1050" t="s">
        <v>10</v>
      </c>
      <c r="E1050" t="s">
        <v>25</v>
      </c>
      <c r="F1050">
        <v>1170.02</v>
      </c>
      <c r="G1050">
        <v>6</v>
      </c>
      <c r="H1050" t="s">
        <v>3377</v>
      </c>
    </row>
    <row r="1051" spans="1:8" x14ac:dyDescent="0.25">
      <c r="A1051" t="s">
        <v>1985</v>
      </c>
      <c r="B1051" t="s">
        <v>1986</v>
      </c>
      <c r="C1051" s="27">
        <v>45557</v>
      </c>
      <c r="D1051" t="s">
        <v>14</v>
      </c>
      <c r="E1051" t="s">
        <v>22</v>
      </c>
      <c r="F1051">
        <v>1390.35</v>
      </c>
      <c r="H1051" t="s">
        <v>3377</v>
      </c>
    </row>
    <row r="1052" spans="1:8" x14ac:dyDescent="0.25">
      <c r="A1052" t="s">
        <v>1987</v>
      </c>
      <c r="B1052" t="s">
        <v>1988</v>
      </c>
      <c r="C1052" s="27">
        <v>45229</v>
      </c>
      <c r="D1052" t="s">
        <v>3372</v>
      </c>
      <c r="E1052" t="s">
        <v>3371</v>
      </c>
      <c r="F1052">
        <v>181.24</v>
      </c>
      <c r="G1052">
        <v>2</v>
      </c>
      <c r="H1052" t="s">
        <v>35</v>
      </c>
    </row>
    <row r="1053" spans="1:8" x14ac:dyDescent="0.25">
      <c r="A1053" t="s">
        <v>1989</v>
      </c>
      <c r="B1053" t="s">
        <v>1076</v>
      </c>
      <c r="C1053" s="27">
        <v>45399</v>
      </c>
      <c r="D1053" t="s">
        <v>21</v>
      </c>
      <c r="E1053" t="s">
        <v>25</v>
      </c>
      <c r="F1053">
        <v>375.96</v>
      </c>
      <c r="G1053">
        <v>8</v>
      </c>
      <c r="H1053" t="s">
        <v>35</v>
      </c>
    </row>
    <row r="1054" spans="1:8" x14ac:dyDescent="0.25">
      <c r="A1054" t="s">
        <v>1990</v>
      </c>
      <c r="B1054" t="s">
        <v>1991</v>
      </c>
      <c r="C1054" s="27">
        <v>45914</v>
      </c>
      <c r="D1054" t="s">
        <v>3372</v>
      </c>
      <c r="E1054" t="s">
        <v>3371</v>
      </c>
      <c r="F1054">
        <v>1486.81</v>
      </c>
      <c r="G1054">
        <v>2</v>
      </c>
      <c r="H1054" t="s">
        <v>3377</v>
      </c>
    </row>
    <row r="1055" spans="1:8" x14ac:dyDescent="0.25">
      <c r="A1055" t="s">
        <v>1992</v>
      </c>
      <c r="B1055" t="s">
        <v>1993</v>
      </c>
      <c r="C1055" s="27">
        <v>45860</v>
      </c>
      <c r="D1055" t="s">
        <v>3372</v>
      </c>
      <c r="E1055" t="s">
        <v>3371</v>
      </c>
      <c r="F1055">
        <v>504.11</v>
      </c>
      <c r="G1055">
        <v>1</v>
      </c>
      <c r="H1055" t="s">
        <v>3369</v>
      </c>
    </row>
    <row r="1056" spans="1:8" x14ac:dyDescent="0.25">
      <c r="A1056" t="s">
        <v>1994</v>
      </c>
      <c r="B1056" t="s">
        <v>1995</v>
      </c>
      <c r="C1056" s="27">
        <v>45023</v>
      </c>
      <c r="D1056" t="s">
        <v>21</v>
      </c>
      <c r="E1056" t="s">
        <v>3371</v>
      </c>
      <c r="F1056">
        <v>151.47</v>
      </c>
      <c r="G1056">
        <v>5</v>
      </c>
      <c r="H1056" t="s">
        <v>3369</v>
      </c>
    </row>
    <row r="1057" spans="1:8" x14ac:dyDescent="0.25">
      <c r="A1057" t="s">
        <v>1996</v>
      </c>
      <c r="B1057" t="s">
        <v>1997</v>
      </c>
      <c r="C1057" s="27">
        <v>44933</v>
      </c>
      <c r="D1057" t="s">
        <v>21</v>
      </c>
      <c r="E1057" t="s">
        <v>11</v>
      </c>
      <c r="F1057">
        <v>1823.39</v>
      </c>
      <c r="G1057">
        <v>8</v>
      </c>
      <c r="H1057" t="s">
        <v>18</v>
      </c>
    </row>
    <row r="1058" spans="1:8" x14ac:dyDescent="0.25">
      <c r="A1058" t="s">
        <v>1998</v>
      </c>
      <c r="B1058" t="s">
        <v>1999</v>
      </c>
      <c r="C1058" s="27">
        <v>45014</v>
      </c>
      <c r="D1058" t="s">
        <v>3372</v>
      </c>
      <c r="E1058" t="s">
        <v>11</v>
      </c>
      <c r="F1058">
        <v>1871.97</v>
      </c>
      <c r="H1058" t="s">
        <v>3369</v>
      </c>
    </row>
    <row r="1059" spans="1:8" x14ac:dyDescent="0.25">
      <c r="A1059" t="s">
        <v>2000</v>
      </c>
      <c r="B1059" t="s">
        <v>2001</v>
      </c>
      <c r="C1059" s="27">
        <v>45861</v>
      </c>
      <c r="D1059" t="s">
        <v>3372</v>
      </c>
      <c r="E1059" t="s">
        <v>34</v>
      </c>
      <c r="F1059">
        <v>800.45</v>
      </c>
      <c r="G1059">
        <v>2</v>
      </c>
      <c r="H1059" t="s">
        <v>3369</v>
      </c>
    </row>
    <row r="1060" spans="1:8" x14ac:dyDescent="0.25">
      <c r="A1060" t="s">
        <v>2002</v>
      </c>
      <c r="B1060" t="s">
        <v>2003</v>
      </c>
      <c r="C1060" s="27">
        <v>45671</v>
      </c>
      <c r="D1060" t="s">
        <v>3372</v>
      </c>
      <c r="E1060" t="s">
        <v>3371</v>
      </c>
      <c r="F1060">
        <v>1344.01</v>
      </c>
      <c r="G1060">
        <v>1</v>
      </c>
      <c r="H1060" t="s">
        <v>3369</v>
      </c>
    </row>
    <row r="1061" spans="1:8" x14ac:dyDescent="0.25">
      <c r="A1061" t="s">
        <v>2004</v>
      </c>
      <c r="B1061" t="s">
        <v>1209</v>
      </c>
      <c r="C1061" s="27">
        <v>45935</v>
      </c>
      <c r="D1061" t="s">
        <v>3372</v>
      </c>
      <c r="E1061" t="s">
        <v>25</v>
      </c>
      <c r="F1061">
        <v>1403.89</v>
      </c>
      <c r="G1061">
        <v>8</v>
      </c>
      <c r="H1061" t="s">
        <v>3369</v>
      </c>
    </row>
    <row r="1062" spans="1:8" x14ac:dyDescent="0.25">
      <c r="A1062" t="s">
        <v>2005</v>
      </c>
      <c r="B1062" t="s">
        <v>2006</v>
      </c>
      <c r="C1062" s="27">
        <v>45324</v>
      </c>
      <c r="D1062" t="s">
        <v>10</v>
      </c>
      <c r="E1062" t="s">
        <v>3370</v>
      </c>
      <c r="F1062">
        <v>1246.32</v>
      </c>
      <c r="G1062">
        <v>9</v>
      </c>
      <c r="H1062" t="s">
        <v>3369</v>
      </c>
    </row>
    <row r="1063" spans="1:8" x14ac:dyDescent="0.25">
      <c r="A1063" t="s">
        <v>2007</v>
      </c>
      <c r="B1063" t="s">
        <v>2008</v>
      </c>
      <c r="C1063" s="27">
        <v>45647</v>
      </c>
      <c r="D1063" t="s">
        <v>10</v>
      </c>
      <c r="E1063" t="s">
        <v>3371</v>
      </c>
      <c r="F1063">
        <v>1131.46</v>
      </c>
      <c r="G1063">
        <v>10</v>
      </c>
      <c r="H1063" t="s">
        <v>15</v>
      </c>
    </row>
    <row r="1064" spans="1:8" x14ac:dyDescent="0.25">
      <c r="A1064" t="s">
        <v>2009</v>
      </c>
      <c r="B1064" t="s">
        <v>2010</v>
      </c>
      <c r="C1064" s="27">
        <v>45273</v>
      </c>
      <c r="D1064" t="s">
        <v>14</v>
      </c>
      <c r="E1064" t="s">
        <v>34</v>
      </c>
      <c r="F1064">
        <v>1637.65</v>
      </c>
      <c r="G1064">
        <v>1</v>
      </c>
      <c r="H1064" t="s">
        <v>35</v>
      </c>
    </row>
    <row r="1065" spans="1:8" x14ac:dyDescent="0.25">
      <c r="A1065" t="s">
        <v>2011</v>
      </c>
      <c r="B1065" t="s">
        <v>2012</v>
      </c>
      <c r="C1065" s="27">
        <v>44984</v>
      </c>
      <c r="D1065" t="s">
        <v>21</v>
      </c>
      <c r="E1065" t="s">
        <v>3370</v>
      </c>
      <c r="F1065">
        <v>472.08</v>
      </c>
      <c r="G1065">
        <v>8</v>
      </c>
      <c r="H1065" t="s">
        <v>15</v>
      </c>
    </row>
    <row r="1066" spans="1:8" x14ac:dyDescent="0.25">
      <c r="A1066" t="s">
        <v>2013</v>
      </c>
      <c r="B1066" t="s">
        <v>2014</v>
      </c>
      <c r="C1066" s="27">
        <v>45065</v>
      </c>
      <c r="D1066" t="s">
        <v>10</v>
      </c>
      <c r="E1066" t="s">
        <v>25</v>
      </c>
      <c r="G1066">
        <v>6</v>
      </c>
      <c r="H1066" t="s">
        <v>35</v>
      </c>
    </row>
    <row r="1067" spans="1:8" x14ac:dyDescent="0.25">
      <c r="A1067" t="s">
        <v>2015</v>
      </c>
      <c r="B1067" t="s">
        <v>2016</v>
      </c>
      <c r="C1067" s="27">
        <v>44972</v>
      </c>
      <c r="D1067" t="s">
        <v>14</v>
      </c>
      <c r="E1067" t="s">
        <v>3370</v>
      </c>
      <c r="F1067">
        <v>1090.1400000000001</v>
      </c>
      <c r="G1067">
        <v>4</v>
      </c>
      <c r="H1067" t="s">
        <v>18</v>
      </c>
    </row>
    <row r="1068" spans="1:8" x14ac:dyDescent="0.25">
      <c r="A1068" t="s">
        <v>2017</v>
      </c>
      <c r="B1068" t="s">
        <v>2018</v>
      </c>
      <c r="C1068" s="27">
        <v>45690</v>
      </c>
      <c r="D1068" t="s">
        <v>14</v>
      </c>
      <c r="E1068" t="s">
        <v>3370</v>
      </c>
      <c r="F1068">
        <v>1037.79</v>
      </c>
      <c r="G1068">
        <v>4</v>
      </c>
      <c r="H1068" t="s">
        <v>15</v>
      </c>
    </row>
    <row r="1069" spans="1:8" x14ac:dyDescent="0.25">
      <c r="A1069" t="s">
        <v>2019</v>
      </c>
      <c r="B1069" t="s">
        <v>2020</v>
      </c>
      <c r="C1069" s="27">
        <v>45635</v>
      </c>
      <c r="D1069" t="s">
        <v>3372</v>
      </c>
      <c r="E1069" t="s">
        <v>3371</v>
      </c>
      <c r="F1069">
        <v>529.30999999999995</v>
      </c>
      <c r="G1069">
        <v>10</v>
      </c>
      <c r="H1069" t="s">
        <v>3377</v>
      </c>
    </row>
    <row r="1070" spans="1:8" x14ac:dyDescent="0.25">
      <c r="A1070" t="s">
        <v>2021</v>
      </c>
      <c r="B1070" t="s">
        <v>2022</v>
      </c>
      <c r="C1070" s="27">
        <v>45715</v>
      </c>
      <c r="D1070" t="s">
        <v>10</v>
      </c>
      <c r="E1070" t="s">
        <v>3371</v>
      </c>
      <c r="F1070">
        <v>1181.72</v>
      </c>
      <c r="G1070">
        <v>5</v>
      </c>
      <c r="H1070" t="s">
        <v>15</v>
      </c>
    </row>
    <row r="1071" spans="1:8" x14ac:dyDescent="0.25">
      <c r="A1071" t="s">
        <v>2023</v>
      </c>
      <c r="B1071" t="s">
        <v>441</v>
      </c>
      <c r="C1071" s="27">
        <v>45744</v>
      </c>
      <c r="D1071" t="s">
        <v>3372</v>
      </c>
      <c r="E1071" t="s">
        <v>11</v>
      </c>
      <c r="F1071">
        <v>1787.37</v>
      </c>
      <c r="G1071">
        <v>4</v>
      </c>
      <c r="H1071" t="s">
        <v>18</v>
      </c>
    </row>
    <row r="1072" spans="1:8" x14ac:dyDescent="0.25">
      <c r="A1072" t="s">
        <v>2024</v>
      </c>
      <c r="B1072" t="s">
        <v>2025</v>
      </c>
      <c r="C1072" s="27">
        <v>45651</v>
      </c>
      <c r="D1072" t="s">
        <v>10</v>
      </c>
      <c r="E1072" t="s">
        <v>22</v>
      </c>
      <c r="F1072">
        <v>1552.09</v>
      </c>
      <c r="H1072" t="s">
        <v>3377</v>
      </c>
    </row>
    <row r="1073" spans="1:8" x14ac:dyDescent="0.25">
      <c r="A1073" t="s">
        <v>2026</v>
      </c>
      <c r="B1073" t="s">
        <v>2027</v>
      </c>
      <c r="C1073" s="27">
        <v>45165</v>
      </c>
      <c r="D1073" t="s">
        <v>10</v>
      </c>
      <c r="E1073" t="s">
        <v>3370</v>
      </c>
      <c r="F1073">
        <v>1579.23</v>
      </c>
      <c r="G1073">
        <v>8</v>
      </c>
      <c r="H1073" t="s">
        <v>35</v>
      </c>
    </row>
    <row r="1074" spans="1:8" x14ac:dyDescent="0.25">
      <c r="A1074" t="s">
        <v>2028</v>
      </c>
      <c r="B1074" t="s">
        <v>2029</v>
      </c>
      <c r="C1074" s="27">
        <v>45361</v>
      </c>
      <c r="D1074" t="s">
        <v>10</v>
      </c>
      <c r="E1074" t="s">
        <v>3370</v>
      </c>
      <c r="F1074">
        <v>1755.23</v>
      </c>
      <c r="G1074">
        <v>5</v>
      </c>
      <c r="H1074" t="s">
        <v>15</v>
      </c>
    </row>
    <row r="1075" spans="1:8" x14ac:dyDescent="0.25">
      <c r="A1075" t="s">
        <v>2030</v>
      </c>
      <c r="B1075" t="s">
        <v>2031</v>
      </c>
      <c r="C1075" s="27">
        <v>45660</v>
      </c>
      <c r="D1075" t="s">
        <v>10</v>
      </c>
      <c r="E1075" t="s">
        <v>22</v>
      </c>
      <c r="G1075">
        <v>6</v>
      </c>
      <c r="H1075" t="s">
        <v>3369</v>
      </c>
    </row>
    <row r="1076" spans="1:8" x14ac:dyDescent="0.25">
      <c r="A1076" t="s">
        <v>2032</v>
      </c>
      <c r="B1076" t="s">
        <v>2033</v>
      </c>
      <c r="C1076" s="27">
        <v>45812</v>
      </c>
      <c r="D1076" t="s">
        <v>3372</v>
      </c>
      <c r="E1076" t="s">
        <v>11</v>
      </c>
      <c r="G1076">
        <v>10</v>
      </c>
      <c r="H1076" t="s">
        <v>15</v>
      </c>
    </row>
    <row r="1077" spans="1:8" x14ac:dyDescent="0.25">
      <c r="A1077" t="s">
        <v>2034</v>
      </c>
      <c r="B1077" t="s">
        <v>2035</v>
      </c>
      <c r="C1077" s="27">
        <v>45152</v>
      </c>
      <c r="D1077" t="s">
        <v>21</v>
      </c>
      <c r="E1077" t="s">
        <v>11</v>
      </c>
      <c r="F1077">
        <v>1299.2</v>
      </c>
      <c r="G1077">
        <v>4</v>
      </c>
      <c r="H1077" t="s">
        <v>3377</v>
      </c>
    </row>
    <row r="1078" spans="1:8" x14ac:dyDescent="0.25">
      <c r="A1078" t="s">
        <v>2036</v>
      </c>
      <c r="B1078" t="s">
        <v>2037</v>
      </c>
      <c r="C1078" s="27">
        <v>45626</v>
      </c>
      <c r="D1078" t="s">
        <v>21</v>
      </c>
      <c r="E1078" t="s">
        <v>3371</v>
      </c>
      <c r="F1078">
        <v>954.11</v>
      </c>
      <c r="G1078">
        <v>7</v>
      </c>
      <c r="H1078" t="s">
        <v>15</v>
      </c>
    </row>
    <row r="1079" spans="1:8" x14ac:dyDescent="0.25">
      <c r="A1079" t="s">
        <v>2038</v>
      </c>
      <c r="B1079" t="s">
        <v>2039</v>
      </c>
      <c r="C1079" s="27">
        <v>45424</v>
      </c>
      <c r="D1079" t="s">
        <v>10</v>
      </c>
      <c r="E1079" t="s">
        <v>25</v>
      </c>
      <c r="F1079">
        <v>1807.96</v>
      </c>
      <c r="G1079">
        <v>7</v>
      </c>
      <c r="H1079" t="s">
        <v>3377</v>
      </c>
    </row>
    <row r="1080" spans="1:8" x14ac:dyDescent="0.25">
      <c r="A1080" t="s">
        <v>2040</v>
      </c>
      <c r="B1080" t="s">
        <v>2041</v>
      </c>
      <c r="C1080" s="27">
        <v>45282</v>
      </c>
      <c r="D1080" t="s">
        <v>3372</v>
      </c>
      <c r="E1080" t="s">
        <v>11</v>
      </c>
      <c r="F1080">
        <v>216.78</v>
      </c>
      <c r="G1080">
        <v>3</v>
      </c>
      <c r="H1080" t="s">
        <v>3377</v>
      </c>
    </row>
    <row r="1081" spans="1:8" x14ac:dyDescent="0.25">
      <c r="A1081" t="s">
        <v>2042</v>
      </c>
      <c r="B1081" t="s">
        <v>2043</v>
      </c>
      <c r="C1081" s="27">
        <v>45635</v>
      </c>
      <c r="D1081" t="s">
        <v>21</v>
      </c>
      <c r="E1081" t="s">
        <v>3371</v>
      </c>
      <c r="F1081">
        <v>1042.49</v>
      </c>
      <c r="G1081">
        <v>3</v>
      </c>
      <c r="H1081" t="s">
        <v>15</v>
      </c>
    </row>
    <row r="1082" spans="1:8" x14ac:dyDescent="0.25">
      <c r="A1082" t="s">
        <v>2044</v>
      </c>
      <c r="B1082" t="s">
        <v>767</v>
      </c>
      <c r="C1082" s="27">
        <v>45246</v>
      </c>
      <c r="D1082" t="s">
        <v>14</v>
      </c>
      <c r="E1082" t="s">
        <v>34</v>
      </c>
      <c r="F1082">
        <v>1533.56</v>
      </c>
      <c r="G1082">
        <v>4</v>
      </c>
      <c r="H1082" t="s">
        <v>35</v>
      </c>
    </row>
    <row r="1083" spans="1:8" x14ac:dyDescent="0.25">
      <c r="A1083" t="s">
        <v>2045</v>
      </c>
      <c r="B1083" t="s">
        <v>2046</v>
      </c>
      <c r="C1083" s="27">
        <v>45651</v>
      </c>
      <c r="D1083" t="s">
        <v>14</v>
      </c>
      <c r="E1083" t="s">
        <v>11</v>
      </c>
      <c r="F1083">
        <v>289.60000000000002</v>
      </c>
      <c r="G1083">
        <v>4</v>
      </c>
      <c r="H1083" t="s">
        <v>15</v>
      </c>
    </row>
    <row r="1084" spans="1:8" x14ac:dyDescent="0.25">
      <c r="A1084" t="s">
        <v>2047</v>
      </c>
      <c r="B1084" t="s">
        <v>2048</v>
      </c>
      <c r="C1084" s="27">
        <v>44998</v>
      </c>
      <c r="D1084" t="s">
        <v>10</v>
      </c>
      <c r="E1084" t="s">
        <v>25</v>
      </c>
      <c r="G1084">
        <v>10</v>
      </c>
      <c r="H1084" t="s">
        <v>18</v>
      </c>
    </row>
    <row r="1085" spans="1:8" x14ac:dyDescent="0.25">
      <c r="A1085" t="s">
        <v>2049</v>
      </c>
      <c r="B1085" t="s">
        <v>2050</v>
      </c>
      <c r="C1085" s="27">
        <v>45731</v>
      </c>
      <c r="D1085" t="s">
        <v>21</v>
      </c>
      <c r="E1085" t="s">
        <v>3370</v>
      </c>
      <c r="F1085">
        <v>37.5</v>
      </c>
      <c r="G1085">
        <v>1</v>
      </c>
      <c r="H1085" t="s">
        <v>3377</v>
      </c>
    </row>
    <row r="1086" spans="1:8" x14ac:dyDescent="0.25">
      <c r="A1086" t="s">
        <v>2051</v>
      </c>
      <c r="B1086" t="s">
        <v>2052</v>
      </c>
      <c r="C1086" s="27">
        <v>45558</v>
      </c>
      <c r="D1086" t="s">
        <v>21</v>
      </c>
      <c r="E1086" t="s">
        <v>3370</v>
      </c>
      <c r="G1086">
        <v>8</v>
      </c>
      <c r="H1086" t="s">
        <v>3369</v>
      </c>
    </row>
    <row r="1087" spans="1:8" x14ac:dyDescent="0.25">
      <c r="A1087" t="s">
        <v>2053</v>
      </c>
      <c r="B1087" t="s">
        <v>2054</v>
      </c>
      <c r="C1087" s="27">
        <v>45079</v>
      </c>
      <c r="D1087" t="s">
        <v>14</v>
      </c>
      <c r="E1087" t="s">
        <v>11</v>
      </c>
      <c r="F1087">
        <v>1256.6500000000001</v>
      </c>
      <c r="H1087" t="s">
        <v>18</v>
      </c>
    </row>
    <row r="1088" spans="1:8" x14ac:dyDescent="0.25">
      <c r="A1088" t="s">
        <v>2055</v>
      </c>
      <c r="B1088" t="s">
        <v>2056</v>
      </c>
      <c r="C1088" s="27">
        <v>45579</v>
      </c>
      <c r="D1088" t="s">
        <v>21</v>
      </c>
      <c r="E1088" t="s">
        <v>22</v>
      </c>
      <c r="F1088">
        <v>1561.57</v>
      </c>
      <c r="G1088">
        <v>4</v>
      </c>
      <c r="H1088" t="s">
        <v>3369</v>
      </c>
    </row>
    <row r="1089" spans="1:8" x14ac:dyDescent="0.25">
      <c r="A1089" t="s">
        <v>2057</v>
      </c>
      <c r="B1089" t="s">
        <v>2058</v>
      </c>
      <c r="C1089" s="27">
        <v>44877</v>
      </c>
      <c r="D1089" t="s">
        <v>14</v>
      </c>
      <c r="E1089" t="s">
        <v>3371</v>
      </c>
      <c r="F1089">
        <v>1551.26</v>
      </c>
      <c r="G1089">
        <v>10</v>
      </c>
      <c r="H1089" t="s">
        <v>3369</v>
      </c>
    </row>
    <row r="1090" spans="1:8" x14ac:dyDescent="0.25">
      <c r="A1090" t="s">
        <v>2059</v>
      </c>
      <c r="B1090" t="s">
        <v>2060</v>
      </c>
      <c r="C1090" s="27">
        <v>45370</v>
      </c>
      <c r="D1090" t="s">
        <v>3372</v>
      </c>
      <c r="E1090" t="s">
        <v>3371</v>
      </c>
      <c r="F1090">
        <v>1285.53</v>
      </c>
      <c r="G1090">
        <v>6</v>
      </c>
      <c r="H1090" t="s">
        <v>15</v>
      </c>
    </row>
    <row r="1091" spans="1:8" x14ac:dyDescent="0.25">
      <c r="A1091" t="s">
        <v>2061</v>
      </c>
      <c r="B1091" t="s">
        <v>2062</v>
      </c>
      <c r="C1091" s="27">
        <v>45141</v>
      </c>
      <c r="D1091" t="s">
        <v>10</v>
      </c>
      <c r="E1091" t="s">
        <v>22</v>
      </c>
      <c r="F1091">
        <v>395.61</v>
      </c>
      <c r="G1091">
        <v>10</v>
      </c>
      <c r="H1091" t="s">
        <v>3377</v>
      </c>
    </row>
    <row r="1092" spans="1:8" x14ac:dyDescent="0.25">
      <c r="A1092" t="s">
        <v>2063</v>
      </c>
      <c r="B1092" t="s">
        <v>2064</v>
      </c>
      <c r="C1092" s="27">
        <v>45238</v>
      </c>
      <c r="D1092" t="s">
        <v>10</v>
      </c>
      <c r="E1092" t="s">
        <v>3371</v>
      </c>
      <c r="G1092">
        <v>7</v>
      </c>
      <c r="H1092" t="s">
        <v>3369</v>
      </c>
    </row>
    <row r="1093" spans="1:8" x14ac:dyDescent="0.25">
      <c r="A1093" t="s">
        <v>2065</v>
      </c>
      <c r="B1093" t="s">
        <v>2066</v>
      </c>
      <c r="C1093" s="27">
        <v>45520</v>
      </c>
      <c r="D1093" t="s">
        <v>21</v>
      </c>
      <c r="E1093" t="s">
        <v>3371</v>
      </c>
      <c r="G1093">
        <v>8</v>
      </c>
      <c r="H1093" t="s">
        <v>3377</v>
      </c>
    </row>
    <row r="1094" spans="1:8" x14ac:dyDescent="0.25">
      <c r="A1094" t="s">
        <v>2067</v>
      </c>
      <c r="B1094" t="s">
        <v>2068</v>
      </c>
      <c r="C1094" s="27">
        <v>45871</v>
      </c>
      <c r="D1094" t="s">
        <v>10</v>
      </c>
      <c r="E1094" t="s">
        <v>11</v>
      </c>
      <c r="F1094">
        <v>411.81</v>
      </c>
      <c r="G1094">
        <v>3</v>
      </c>
      <c r="H1094" t="s">
        <v>3377</v>
      </c>
    </row>
    <row r="1095" spans="1:8" x14ac:dyDescent="0.25">
      <c r="A1095" t="s">
        <v>2069</v>
      </c>
      <c r="B1095" t="s">
        <v>2070</v>
      </c>
      <c r="C1095" s="27">
        <v>45379</v>
      </c>
      <c r="D1095" t="s">
        <v>3372</v>
      </c>
      <c r="E1095" t="s">
        <v>11</v>
      </c>
      <c r="F1095">
        <v>1664.88</v>
      </c>
      <c r="G1095">
        <v>1</v>
      </c>
      <c r="H1095" t="s">
        <v>3377</v>
      </c>
    </row>
    <row r="1096" spans="1:8" x14ac:dyDescent="0.25">
      <c r="A1096" t="s">
        <v>2071</v>
      </c>
      <c r="B1096" t="s">
        <v>2072</v>
      </c>
      <c r="C1096" s="27">
        <v>45388</v>
      </c>
      <c r="D1096" t="s">
        <v>3372</v>
      </c>
      <c r="E1096" t="s">
        <v>3370</v>
      </c>
      <c r="F1096">
        <v>238.49</v>
      </c>
      <c r="G1096">
        <v>6</v>
      </c>
      <c r="H1096" t="s">
        <v>3369</v>
      </c>
    </row>
    <row r="1097" spans="1:8" x14ac:dyDescent="0.25">
      <c r="A1097" t="s">
        <v>2073</v>
      </c>
      <c r="B1097" t="s">
        <v>2074</v>
      </c>
      <c r="C1097" s="27">
        <v>45945</v>
      </c>
      <c r="D1097" t="s">
        <v>14</v>
      </c>
      <c r="E1097" t="s">
        <v>11</v>
      </c>
      <c r="F1097">
        <v>1482.77</v>
      </c>
      <c r="G1097">
        <v>9</v>
      </c>
      <c r="H1097" t="s">
        <v>35</v>
      </c>
    </row>
    <row r="1098" spans="1:8" x14ac:dyDescent="0.25">
      <c r="A1098" t="s">
        <v>2075</v>
      </c>
      <c r="B1098" t="s">
        <v>2076</v>
      </c>
      <c r="C1098" s="27">
        <v>45860</v>
      </c>
      <c r="D1098" t="s">
        <v>21</v>
      </c>
      <c r="E1098" t="s">
        <v>3370</v>
      </c>
      <c r="F1098">
        <v>1771.01</v>
      </c>
      <c r="G1098">
        <v>4</v>
      </c>
      <c r="H1098" t="s">
        <v>18</v>
      </c>
    </row>
    <row r="1099" spans="1:8" x14ac:dyDescent="0.25">
      <c r="A1099" t="s">
        <v>2077</v>
      </c>
      <c r="B1099" t="s">
        <v>2078</v>
      </c>
      <c r="C1099" s="27">
        <v>45592</v>
      </c>
      <c r="D1099" t="s">
        <v>21</v>
      </c>
      <c r="E1099" t="s">
        <v>3371</v>
      </c>
      <c r="F1099">
        <v>617.27</v>
      </c>
      <c r="G1099">
        <v>3</v>
      </c>
      <c r="H1099" t="s">
        <v>3377</v>
      </c>
    </row>
    <row r="1100" spans="1:8" x14ac:dyDescent="0.25">
      <c r="A1100" t="s">
        <v>2079</v>
      </c>
      <c r="B1100" t="s">
        <v>2080</v>
      </c>
      <c r="C1100" s="27">
        <v>45682</v>
      </c>
      <c r="D1100" t="s">
        <v>10</v>
      </c>
      <c r="E1100" t="s">
        <v>3371</v>
      </c>
      <c r="F1100">
        <v>1874.96</v>
      </c>
      <c r="H1100" t="s">
        <v>15</v>
      </c>
    </row>
    <row r="1101" spans="1:8" x14ac:dyDescent="0.25">
      <c r="A1101" t="s">
        <v>2081</v>
      </c>
      <c r="B1101" t="s">
        <v>2082</v>
      </c>
      <c r="C1101" s="27">
        <v>44947</v>
      </c>
      <c r="D1101" t="s">
        <v>3372</v>
      </c>
      <c r="E1101" t="s">
        <v>25</v>
      </c>
      <c r="F1101">
        <v>1210.58</v>
      </c>
      <c r="G1101">
        <v>9</v>
      </c>
      <c r="H1101" t="s">
        <v>18</v>
      </c>
    </row>
    <row r="1102" spans="1:8" x14ac:dyDescent="0.25">
      <c r="A1102" t="s">
        <v>2083</v>
      </c>
      <c r="B1102" t="s">
        <v>2084</v>
      </c>
      <c r="C1102" s="27">
        <v>45348</v>
      </c>
      <c r="D1102" t="s">
        <v>10</v>
      </c>
      <c r="E1102" t="s">
        <v>25</v>
      </c>
      <c r="G1102">
        <v>8</v>
      </c>
      <c r="H1102" t="s">
        <v>3377</v>
      </c>
    </row>
    <row r="1103" spans="1:8" x14ac:dyDescent="0.25">
      <c r="A1103" t="s">
        <v>2085</v>
      </c>
      <c r="B1103" t="s">
        <v>2086</v>
      </c>
      <c r="C1103" s="27">
        <v>45564</v>
      </c>
      <c r="D1103" t="s">
        <v>21</v>
      </c>
      <c r="E1103" t="s">
        <v>3370</v>
      </c>
      <c r="F1103">
        <v>755.55</v>
      </c>
      <c r="G1103">
        <v>5</v>
      </c>
      <c r="H1103" t="s">
        <v>3377</v>
      </c>
    </row>
    <row r="1104" spans="1:8" x14ac:dyDescent="0.25">
      <c r="A1104" t="s">
        <v>2087</v>
      </c>
      <c r="B1104" t="s">
        <v>2088</v>
      </c>
      <c r="C1104" s="27">
        <v>44950</v>
      </c>
      <c r="D1104" t="s">
        <v>3372</v>
      </c>
      <c r="E1104" t="s">
        <v>11</v>
      </c>
      <c r="G1104">
        <v>3</v>
      </c>
      <c r="H1104" t="s">
        <v>3377</v>
      </c>
    </row>
    <row r="1105" spans="1:8" x14ac:dyDescent="0.25">
      <c r="A1105" t="s">
        <v>2089</v>
      </c>
      <c r="B1105" t="s">
        <v>1360</v>
      </c>
      <c r="C1105" s="27">
        <v>44868</v>
      </c>
      <c r="D1105" t="s">
        <v>10</v>
      </c>
      <c r="E1105" t="s">
        <v>34</v>
      </c>
      <c r="F1105">
        <v>52.5</v>
      </c>
      <c r="G1105">
        <v>2</v>
      </c>
      <c r="H1105" t="s">
        <v>35</v>
      </c>
    </row>
    <row r="1106" spans="1:8" x14ac:dyDescent="0.25">
      <c r="A1106" t="s">
        <v>2090</v>
      </c>
      <c r="B1106" t="s">
        <v>2091</v>
      </c>
      <c r="C1106" s="27">
        <v>45734</v>
      </c>
      <c r="D1106" t="s">
        <v>10</v>
      </c>
      <c r="E1106" t="s">
        <v>25</v>
      </c>
      <c r="F1106">
        <v>503.77</v>
      </c>
      <c r="G1106">
        <v>3</v>
      </c>
      <c r="H1106" t="s">
        <v>3369</v>
      </c>
    </row>
    <row r="1107" spans="1:8" x14ac:dyDescent="0.25">
      <c r="A1107" t="s">
        <v>2092</v>
      </c>
      <c r="B1107" t="s">
        <v>804</v>
      </c>
      <c r="C1107" s="27">
        <v>45464</v>
      </c>
      <c r="D1107" t="s">
        <v>21</v>
      </c>
      <c r="E1107" t="s">
        <v>25</v>
      </c>
      <c r="G1107">
        <v>2</v>
      </c>
      <c r="H1107" t="s">
        <v>35</v>
      </c>
    </row>
    <row r="1108" spans="1:8" x14ac:dyDescent="0.25">
      <c r="A1108" t="s">
        <v>2093</v>
      </c>
      <c r="B1108" t="s">
        <v>2094</v>
      </c>
      <c r="C1108" s="27">
        <v>44896</v>
      </c>
      <c r="D1108" t="s">
        <v>14</v>
      </c>
      <c r="E1108" t="s">
        <v>25</v>
      </c>
      <c r="F1108">
        <v>1242.82</v>
      </c>
      <c r="H1108" t="s">
        <v>3369</v>
      </c>
    </row>
    <row r="1109" spans="1:8" x14ac:dyDescent="0.25">
      <c r="A1109" t="s">
        <v>2095</v>
      </c>
      <c r="B1109" t="s">
        <v>2096</v>
      </c>
      <c r="C1109" s="27">
        <v>45024</v>
      </c>
      <c r="D1109" t="s">
        <v>14</v>
      </c>
      <c r="E1109" t="s">
        <v>25</v>
      </c>
      <c r="G1109">
        <v>6</v>
      </c>
      <c r="H1109" t="s">
        <v>15</v>
      </c>
    </row>
    <row r="1110" spans="1:8" x14ac:dyDescent="0.25">
      <c r="A1110" t="s">
        <v>2097</v>
      </c>
      <c r="B1110" t="s">
        <v>2098</v>
      </c>
      <c r="C1110" s="27">
        <v>45202</v>
      </c>
      <c r="D1110" t="s">
        <v>10</v>
      </c>
      <c r="E1110" t="s">
        <v>25</v>
      </c>
      <c r="F1110">
        <v>426.54</v>
      </c>
      <c r="G1110">
        <v>4</v>
      </c>
      <c r="H1110" t="s">
        <v>3369</v>
      </c>
    </row>
    <row r="1111" spans="1:8" x14ac:dyDescent="0.25">
      <c r="A1111" t="s">
        <v>2099</v>
      </c>
      <c r="B1111" t="s">
        <v>2100</v>
      </c>
      <c r="C1111" s="27">
        <v>45726</v>
      </c>
      <c r="D1111" t="s">
        <v>14</v>
      </c>
      <c r="E1111" t="s">
        <v>3371</v>
      </c>
      <c r="F1111">
        <v>824.98</v>
      </c>
      <c r="G1111">
        <v>7</v>
      </c>
      <c r="H1111" t="s">
        <v>3369</v>
      </c>
    </row>
    <row r="1112" spans="1:8" x14ac:dyDescent="0.25">
      <c r="A1112" t="s">
        <v>2101</v>
      </c>
      <c r="B1112" t="s">
        <v>2102</v>
      </c>
      <c r="C1112" s="27">
        <v>45138</v>
      </c>
      <c r="D1112" t="s">
        <v>3372</v>
      </c>
      <c r="E1112" t="s">
        <v>3370</v>
      </c>
      <c r="F1112">
        <v>442.05</v>
      </c>
      <c r="H1112" t="s">
        <v>18</v>
      </c>
    </row>
    <row r="1113" spans="1:8" x14ac:dyDescent="0.25">
      <c r="A1113" t="s">
        <v>2103</v>
      </c>
      <c r="B1113" t="s">
        <v>2104</v>
      </c>
      <c r="C1113" s="27">
        <v>44957</v>
      </c>
      <c r="D1113" t="s">
        <v>21</v>
      </c>
      <c r="E1113" t="s">
        <v>11</v>
      </c>
      <c r="G1113">
        <v>2</v>
      </c>
      <c r="H1113" t="s">
        <v>18</v>
      </c>
    </row>
    <row r="1114" spans="1:8" x14ac:dyDescent="0.25">
      <c r="A1114" t="s">
        <v>2105</v>
      </c>
      <c r="B1114" t="s">
        <v>1588</v>
      </c>
      <c r="C1114" s="27">
        <v>45480</v>
      </c>
      <c r="D1114" t="s">
        <v>3372</v>
      </c>
      <c r="E1114" t="s">
        <v>11</v>
      </c>
      <c r="F1114">
        <v>1845.77</v>
      </c>
      <c r="H1114" t="s">
        <v>15</v>
      </c>
    </row>
    <row r="1115" spans="1:8" x14ac:dyDescent="0.25">
      <c r="A1115" t="s">
        <v>2106</v>
      </c>
      <c r="B1115" t="s">
        <v>2107</v>
      </c>
      <c r="C1115" s="27">
        <v>45118</v>
      </c>
      <c r="D1115" t="s">
        <v>14</v>
      </c>
      <c r="E1115" t="s">
        <v>22</v>
      </c>
      <c r="F1115">
        <v>1392.1</v>
      </c>
      <c r="G1115">
        <v>7</v>
      </c>
      <c r="H1115" t="s">
        <v>35</v>
      </c>
    </row>
    <row r="1116" spans="1:8" x14ac:dyDescent="0.25">
      <c r="A1116" t="s">
        <v>2108</v>
      </c>
      <c r="B1116" t="s">
        <v>2109</v>
      </c>
      <c r="C1116" s="27">
        <v>45894</v>
      </c>
      <c r="D1116" t="s">
        <v>10</v>
      </c>
      <c r="E1116" t="s">
        <v>11</v>
      </c>
      <c r="F1116">
        <v>1030.82</v>
      </c>
      <c r="H1116" t="s">
        <v>18</v>
      </c>
    </row>
    <row r="1117" spans="1:8" x14ac:dyDescent="0.25">
      <c r="A1117" t="s">
        <v>2110</v>
      </c>
      <c r="B1117" t="s">
        <v>2111</v>
      </c>
      <c r="C1117" s="27">
        <v>45513</v>
      </c>
      <c r="D1117" t="s">
        <v>21</v>
      </c>
      <c r="E1117" t="s">
        <v>25</v>
      </c>
      <c r="F1117">
        <v>1163.22</v>
      </c>
      <c r="G1117">
        <v>6</v>
      </c>
      <c r="H1117" t="s">
        <v>15</v>
      </c>
    </row>
    <row r="1118" spans="1:8" x14ac:dyDescent="0.25">
      <c r="A1118" t="s">
        <v>2112</v>
      </c>
      <c r="B1118" t="s">
        <v>2113</v>
      </c>
      <c r="C1118" s="27">
        <v>45809</v>
      </c>
      <c r="D1118" t="s">
        <v>14</v>
      </c>
      <c r="E1118" t="s">
        <v>34</v>
      </c>
      <c r="F1118">
        <v>1502.06</v>
      </c>
      <c r="G1118">
        <v>8</v>
      </c>
      <c r="H1118" t="s">
        <v>3377</v>
      </c>
    </row>
    <row r="1119" spans="1:8" x14ac:dyDescent="0.25">
      <c r="A1119" t="s">
        <v>2114</v>
      </c>
      <c r="B1119" t="s">
        <v>2115</v>
      </c>
      <c r="C1119" s="27">
        <v>44925</v>
      </c>
      <c r="D1119" t="s">
        <v>10</v>
      </c>
      <c r="E1119" t="s">
        <v>3370</v>
      </c>
      <c r="F1119">
        <v>1435.88</v>
      </c>
      <c r="G1119">
        <v>9</v>
      </c>
      <c r="H1119" t="s">
        <v>3369</v>
      </c>
    </row>
    <row r="1120" spans="1:8" x14ac:dyDescent="0.25">
      <c r="A1120" t="s">
        <v>2116</v>
      </c>
      <c r="B1120" t="s">
        <v>2117</v>
      </c>
      <c r="C1120" s="27">
        <v>44999</v>
      </c>
      <c r="D1120" t="s">
        <v>21</v>
      </c>
      <c r="E1120" t="s">
        <v>3370</v>
      </c>
      <c r="F1120">
        <v>35.19</v>
      </c>
      <c r="G1120">
        <v>2</v>
      </c>
      <c r="H1120" t="s">
        <v>15</v>
      </c>
    </row>
    <row r="1121" spans="1:8" x14ac:dyDescent="0.25">
      <c r="A1121" t="s">
        <v>2118</v>
      </c>
      <c r="B1121" t="s">
        <v>2119</v>
      </c>
      <c r="C1121" s="27">
        <v>45381</v>
      </c>
      <c r="D1121" t="s">
        <v>3372</v>
      </c>
      <c r="E1121" t="s">
        <v>22</v>
      </c>
      <c r="G1121">
        <v>1</v>
      </c>
      <c r="H1121" t="s">
        <v>18</v>
      </c>
    </row>
    <row r="1122" spans="1:8" x14ac:dyDescent="0.25">
      <c r="A1122" t="s">
        <v>2120</v>
      </c>
      <c r="B1122" t="s">
        <v>2121</v>
      </c>
      <c r="C1122" s="27">
        <v>45639</v>
      </c>
      <c r="D1122" t="s">
        <v>3372</v>
      </c>
      <c r="E1122" t="s">
        <v>34</v>
      </c>
      <c r="F1122">
        <v>1082.54</v>
      </c>
      <c r="G1122">
        <v>4</v>
      </c>
      <c r="H1122" t="s">
        <v>3377</v>
      </c>
    </row>
    <row r="1123" spans="1:8" x14ac:dyDescent="0.25">
      <c r="A1123" t="s">
        <v>2122</v>
      </c>
      <c r="B1123" t="s">
        <v>2123</v>
      </c>
      <c r="C1123" s="27">
        <v>45502</v>
      </c>
      <c r="D1123" t="s">
        <v>10</v>
      </c>
      <c r="E1123" t="s">
        <v>3371</v>
      </c>
      <c r="F1123">
        <v>923.88</v>
      </c>
      <c r="G1123">
        <v>5</v>
      </c>
      <c r="H1123" t="s">
        <v>35</v>
      </c>
    </row>
    <row r="1124" spans="1:8" x14ac:dyDescent="0.25">
      <c r="A1124" t="s">
        <v>2124</v>
      </c>
      <c r="B1124" t="s">
        <v>2125</v>
      </c>
      <c r="C1124" s="27">
        <v>45290</v>
      </c>
      <c r="D1124" t="s">
        <v>3372</v>
      </c>
      <c r="E1124" t="s">
        <v>3370</v>
      </c>
      <c r="F1124">
        <v>1820.06</v>
      </c>
      <c r="G1124">
        <v>5</v>
      </c>
      <c r="H1124" t="s">
        <v>3377</v>
      </c>
    </row>
    <row r="1125" spans="1:8" x14ac:dyDescent="0.25">
      <c r="A1125" t="s">
        <v>2126</v>
      </c>
      <c r="B1125" t="s">
        <v>2127</v>
      </c>
      <c r="C1125" s="27">
        <v>45743</v>
      </c>
      <c r="D1125" t="s">
        <v>14</v>
      </c>
      <c r="E1125" t="s">
        <v>3370</v>
      </c>
      <c r="F1125">
        <v>848.68</v>
      </c>
      <c r="G1125">
        <v>5</v>
      </c>
      <c r="H1125" t="s">
        <v>3369</v>
      </c>
    </row>
    <row r="1126" spans="1:8" x14ac:dyDescent="0.25">
      <c r="A1126" t="s">
        <v>2128</v>
      </c>
      <c r="B1126" t="s">
        <v>2129</v>
      </c>
      <c r="C1126" s="27">
        <v>45572</v>
      </c>
      <c r="D1126" t="s">
        <v>14</v>
      </c>
      <c r="E1126" t="s">
        <v>3370</v>
      </c>
      <c r="F1126">
        <v>479.34</v>
      </c>
      <c r="G1126">
        <v>8</v>
      </c>
      <c r="H1126" t="s">
        <v>18</v>
      </c>
    </row>
    <row r="1127" spans="1:8" x14ac:dyDescent="0.25">
      <c r="A1127" t="s">
        <v>2130</v>
      </c>
      <c r="B1127" t="s">
        <v>2131</v>
      </c>
      <c r="C1127" s="27">
        <v>45184</v>
      </c>
      <c r="D1127" t="s">
        <v>10</v>
      </c>
      <c r="E1127" t="s">
        <v>25</v>
      </c>
      <c r="F1127">
        <v>1327.69</v>
      </c>
      <c r="G1127">
        <v>7</v>
      </c>
      <c r="H1127" t="s">
        <v>35</v>
      </c>
    </row>
    <row r="1128" spans="1:8" x14ac:dyDescent="0.25">
      <c r="A1128" t="s">
        <v>2132</v>
      </c>
      <c r="B1128" t="s">
        <v>2133</v>
      </c>
      <c r="C1128" s="27">
        <v>45875</v>
      </c>
      <c r="D1128" t="s">
        <v>10</v>
      </c>
      <c r="E1128" t="s">
        <v>34</v>
      </c>
      <c r="F1128">
        <v>1640.02</v>
      </c>
      <c r="G1128">
        <v>4</v>
      </c>
      <c r="H1128" t="s">
        <v>35</v>
      </c>
    </row>
    <row r="1129" spans="1:8" x14ac:dyDescent="0.25">
      <c r="A1129" t="s">
        <v>2134</v>
      </c>
      <c r="B1129" t="s">
        <v>2135</v>
      </c>
      <c r="C1129" s="27">
        <v>44877</v>
      </c>
      <c r="D1129" t="s">
        <v>21</v>
      </c>
      <c r="E1129" t="s">
        <v>3371</v>
      </c>
      <c r="G1129">
        <v>7</v>
      </c>
      <c r="H1129" t="s">
        <v>3377</v>
      </c>
    </row>
    <row r="1130" spans="1:8" x14ac:dyDescent="0.25">
      <c r="A1130" t="s">
        <v>2136</v>
      </c>
      <c r="B1130" t="s">
        <v>2137</v>
      </c>
      <c r="C1130" s="27">
        <v>45692</v>
      </c>
      <c r="D1130" t="s">
        <v>10</v>
      </c>
      <c r="E1130" t="s">
        <v>11</v>
      </c>
      <c r="F1130">
        <v>1731.49</v>
      </c>
      <c r="G1130">
        <v>1</v>
      </c>
      <c r="H1130" t="s">
        <v>3369</v>
      </c>
    </row>
    <row r="1131" spans="1:8" x14ac:dyDescent="0.25">
      <c r="A1131" t="s">
        <v>2138</v>
      </c>
      <c r="B1131" t="s">
        <v>1338</v>
      </c>
      <c r="C1131" s="27">
        <v>44934</v>
      </c>
      <c r="D1131" t="s">
        <v>21</v>
      </c>
      <c r="E1131" t="s">
        <v>25</v>
      </c>
      <c r="G1131">
        <v>2</v>
      </c>
      <c r="H1131" t="s">
        <v>18</v>
      </c>
    </row>
    <row r="1132" spans="1:8" x14ac:dyDescent="0.25">
      <c r="A1132" t="s">
        <v>2139</v>
      </c>
      <c r="B1132" t="s">
        <v>2140</v>
      </c>
      <c r="C1132" s="27">
        <v>45873</v>
      </c>
      <c r="D1132" t="s">
        <v>21</v>
      </c>
      <c r="E1132" t="s">
        <v>34</v>
      </c>
      <c r="F1132">
        <v>581.13</v>
      </c>
      <c r="G1132">
        <v>2</v>
      </c>
      <c r="H1132" t="s">
        <v>3377</v>
      </c>
    </row>
    <row r="1133" spans="1:8" x14ac:dyDescent="0.25">
      <c r="A1133" t="s">
        <v>2141</v>
      </c>
      <c r="B1133" t="s">
        <v>2142</v>
      </c>
      <c r="C1133" s="27">
        <v>45256</v>
      </c>
      <c r="D1133" t="s">
        <v>10</v>
      </c>
      <c r="E1133" t="s">
        <v>25</v>
      </c>
      <c r="G1133">
        <v>3</v>
      </c>
      <c r="H1133" t="s">
        <v>3377</v>
      </c>
    </row>
    <row r="1134" spans="1:8" x14ac:dyDescent="0.25">
      <c r="A1134" t="s">
        <v>2143</v>
      </c>
      <c r="B1134" t="s">
        <v>2144</v>
      </c>
      <c r="C1134" s="27">
        <v>45168</v>
      </c>
      <c r="D1134" t="s">
        <v>10</v>
      </c>
      <c r="E1134" t="s">
        <v>3370</v>
      </c>
      <c r="F1134">
        <v>1190.1300000000001</v>
      </c>
      <c r="G1134">
        <v>2</v>
      </c>
      <c r="H1134" t="s">
        <v>3369</v>
      </c>
    </row>
    <row r="1135" spans="1:8" x14ac:dyDescent="0.25">
      <c r="A1135" t="s">
        <v>2145</v>
      </c>
      <c r="B1135" t="s">
        <v>73</v>
      </c>
      <c r="C1135" s="27">
        <v>45529</v>
      </c>
      <c r="D1135" t="s">
        <v>21</v>
      </c>
      <c r="E1135" t="s">
        <v>3371</v>
      </c>
      <c r="F1135">
        <v>689.31</v>
      </c>
      <c r="G1135">
        <v>5</v>
      </c>
      <c r="H1135" t="s">
        <v>3369</v>
      </c>
    </row>
    <row r="1136" spans="1:8" x14ac:dyDescent="0.25">
      <c r="A1136" t="s">
        <v>2146</v>
      </c>
      <c r="B1136" t="s">
        <v>307</v>
      </c>
      <c r="C1136" s="27">
        <v>45009</v>
      </c>
      <c r="D1136" t="s">
        <v>21</v>
      </c>
      <c r="E1136" t="s">
        <v>11</v>
      </c>
      <c r="F1136">
        <v>534.1</v>
      </c>
      <c r="G1136">
        <v>4</v>
      </c>
      <c r="H1136" t="s">
        <v>35</v>
      </c>
    </row>
    <row r="1137" spans="1:8" x14ac:dyDescent="0.25">
      <c r="A1137" t="s">
        <v>2147</v>
      </c>
      <c r="B1137" t="s">
        <v>2148</v>
      </c>
      <c r="C1137" s="27">
        <v>45726</v>
      </c>
      <c r="D1137" t="s">
        <v>21</v>
      </c>
      <c r="E1137" t="s">
        <v>34</v>
      </c>
      <c r="G1137">
        <v>1</v>
      </c>
      <c r="H1137" t="s">
        <v>3369</v>
      </c>
    </row>
    <row r="1138" spans="1:8" x14ac:dyDescent="0.25">
      <c r="A1138" t="s">
        <v>2149</v>
      </c>
      <c r="B1138" t="s">
        <v>2150</v>
      </c>
      <c r="C1138" s="27">
        <v>45467</v>
      </c>
      <c r="D1138" t="s">
        <v>14</v>
      </c>
      <c r="E1138" t="s">
        <v>34</v>
      </c>
      <c r="F1138">
        <v>1621.45</v>
      </c>
      <c r="G1138">
        <v>4</v>
      </c>
      <c r="H1138" t="s">
        <v>15</v>
      </c>
    </row>
    <row r="1139" spans="1:8" x14ac:dyDescent="0.25">
      <c r="A1139" t="s">
        <v>2151</v>
      </c>
      <c r="B1139" t="s">
        <v>2152</v>
      </c>
      <c r="C1139" s="27">
        <v>45134</v>
      </c>
      <c r="D1139" t="s">
        <v>10</v>
      </c>
      <c r="E1139" t="s">
        <v>25</v>
      </c>
      <c r="F1139">
        <v>634.84</v>
      </c>
      <c r="G1139">
        <v>7</v>
      </c>
      <c r="H1139" t="s">
        <v>3369</v>
      </c>
    </row>
    <row r="1140" spans="1:8" x14ac:dyDescent="0.25">
      <c r="A1140" t="s">
        <v>2153</v>
      </c>
      <c r="B1140" t="s">
        <v>2154</v>
      </c>
      <c r="C1140" s="27">
        <v>45405</v>
      </c>
      <c r="D1140" t="s">
        <v>21</v>
      </c>
      <c r="E1140" t="s">
        <v>25</v>
      </c>
      <c r="F1140">
        <v>1083.6400000000001</v>
      </c>
      <c r="G1140">
        <v>10</v>
      </c>
      <c r="H1140" t="s">
        <v>35</v>
      </c>
    </row>
    <row r="1141" spans="1:8" x14ac:dyDescent="0.25">
      <c r="A1141" t="s">
        <v>2155</v>
      </c>
      <c r="B1141" t="s">
        <v>2156</v>
      </c>
      <c r="C1141" s="27">
        <v>45912</v>
      </c>
      <c r="D1141" t="s">
        <v>10</v>
      </c>
      <c r="E1141" t="s">
        <v>3371</v>
      </c>
      <c r="F1141">
        <v>1249.8599999999999</v>
      </c>
      <c r="G1141">
        <v>8</v>
      </c>
      <c r="H1141" t="s">
        <v>3369</v>
      </c>
    </row>
    <row r="1142" spans="1:8" x14ac:dyDescent="0.25">
      <c r="A1142" t="s">
        <v>2157</v>
      </c>
      <c r="B1142" t="s">
        <v>2158</v>
      </c>
      <c r="C1142" s="27">
        <v>45198</v>
      </c>
      <c r="D1142" t="s">
        <v>3372</v>
      </c>
      <c r="E1142" t="s">
        <v>3371</v>
      </c>
      <c r="F1142">
        <v>305.32</v>
      </c>
      <c r="G1142">
        <v>7</v>
      </c>
      <c r="H1142" t="s">
        <v>3369</v>
      </c>
    </row>
    <row r="1143" spans="1:8" x14ac:dyDescent="0.25">
      <c r="A1143" t="s">
        <v>2159</v>
      </c>
      <c r="B1143" t="s">
        <v>2160</v>
      </c>
      <c r="C1143" s="27">
        <v>45528</v>
      </c>
      <c r="D1143" t="s">
        <v>14</v>
      </c>
      <c r="E1143" t="s">
        <v>3370</v>
      </c>
      <c r="F1143">
        <v>355.03</v>
      </c>
      <c r="G1143">
        <v>8</v>
      </c>
      <c r="H1143" t="s">
        <v>18</v>
      </c>
    </row>
    <row r="1144" spans="1:8" x14ac:dyDescent="0.25">
      <c r="A1144" t="s">
        <v>2161</v>
      </c>
      <c r="B1144" t="s">
        <v>395</v>
      </c>
      <c r="C1144" s="27">
        <v>45067</v>
      </c>
      <c r="D1144" t="s">
        <v>3372</v>
      </c>
      <c r="E1144" t="s">
        <v>3371</v>
      </c>
      <c r="F1144">
        <v>1625.64</v>
      </c>
      <c r="G1144">
        <v>5</v>
      </c>
      <c r="H1144" t="s">
        <v>3377</v>
      </c>
    </row>
    <row r="1145" spans="1:8" x14ac:dyDescent="0.25">
      <c r="A1145" t="s">
        <v>2162</v>
      </c>
      <c r="B1145" t="s">
        <v>2163</v>
      </c>
      <c r="C1145" s="27">
        <v>44868</v>
      </c>
      <c r="D1145" t="s">
        <v>21</v>
      </c>
      <c r="E1145" t="s">
        <v>34</v>
      </c>
      <c r="F1145">
        <v>223.35</v>
      </c>
      <c r="G1145">
        <v>6</v>
      </c>
      <c r="H1145" t="s">
        <v>35</v>
      </c>
    </row>
    <row r="1146" spans="1:8" x14ac:dyDescent="0.25">
      <c r="A1146" t="s">
        <v>2164</v>
      </c>
      <c r="B1146" t="s">
        <v>2165</v>
      </c>
      <c r="C1146" s="27">
        <v>45331</v>
      </c>
      <c r="D1146" t="s">
        <v>21</v>
      </c>
      <c r="E1146" t="s">
        <v>3371</v>
      </c>
      <c r="F1146">
        <v>1375.48</v>
      </c>
      <c r="G1146">
        <v>10</v>
      </c>
      <c r="H1146" t="s">
        <v>35</v>
      </c>
    </row>
    <row r="1147" spans="1:8" x14ac:dyDescent="0.25">
      <c r="A1147" t="s">
        <v>2166</v>
      </c>
      <c r="B1147" t="s">
        <v>2167</v>
      </c>
      <c r="C1147" s="27">
        <v>45228</v>
      </c>
      <c r="D1147" t="s">
        <v>10</v>
      </c>
      <c r="E1147" t="s">
        <v>25</v>
      </c>
      <c r="F1147">
        <v>508.98</v>
      </c>
      <c r="G1147">
        <v>4</v>
      </c>
      <c r="H1147" t="s">
        <v>3369</v>
      </c>
    </row>
    <row r="1148" spans="1:8" x14ac:dyDescent="0.25">
      <c r="A1148" t="s">
        <v>2168</v>
      </c>
      <c r="B1148" t="s">
        <v>2169</v>
      </c>
      <c r="C1148" s="27">
        <v>45080</v>
      </c>
      <c r="D1148" t="s">
        <v>3372</v>
      </c>
      <c r="E1148" t="s">
        <v>25</v>
      </c>
      <c r="F1148">
        <v>797.54</v>
      </c>
      <c r="G1148">
        <v>6</v>
      </c>
      <c r="H1148" t="s">
        <v>3377</v>
      </c>
    </row>
    <row r="1149" spans="1:8" x14ac:dyDescent="0.25">
      <c r="A1149" t="s">
        <v>2170</v>
      </c>
      <c r="B1149" t="s">
        <v>2171</v>
      </c>
      <c r="C1149" s="27">
        <v>45095</v>
      </c>
      <c r="D1149" t="s">
        <v>3372</v>
      </c>
      <c r="E1149" t="s">
        <v>22</v>
      </c>
      <c r="F1149">
        <v>1648.43</v>
      </c>
      <c r="H1149" t="s">
        <v>3369</v>
      </c>
    </row>
    <row r="1150" spans="1:8" x14ac:dyDescent="0.25">
      <c r="A1150" t="s">
        <v>2172</v>
      </c>
      <c r="B1150" t="s">
        <v>2173</v>
      </c>
      <c r="C1150" s="27">
        <v>44964</v>
      </c>
      <c r="D1150" t="s">
        <v>14</v>
      </c>
      <c r="E1150" t="s">
        <v>34</v>
      </c>
      <c r="F1150">
        <v>1753.6</v>
      </c>
      <c r="G1150">
        <v>10</v>
      </c>
      <c r="H1150" t="s">
        <v>35</v>
      </c>
    </row>
    <row r="1151" spans="1:8" x14ac:dyDescent="0.25">
      <c r="A1151" t="s">
        <v>2174</v>
      </c>
      <c r="B1151" t="s">
        <v>368</v>
      </c>
      <c r="C1151" s="27">
        <v>44936</v>
      </c>
      <c r="D1151" t="s">
        <v>14</v>
      </c>
      <c r="E1151" t="s">
        <v>11</v>
      </c>
      <c r="F1151">
        <v>510.72</v>
      </c>
      <c r="G1151">
        <v>4</v>
      </c>
      <c r="H1151" t="s">
        <v>35</v>
      </c>
    </row>
    <row r="1152" spans="1:8" x14ac:dyDescent="0.25">
      <c r="A1152" t="s">
        <v>3405</v>
      </c>
      <c r="B1152" t="s">
        <v>3406</v>
      </c>
      <c r="C1152" s="27">
        <v>44995</v>
      </c>
      <c r="D1152" t="s">
        <v>10</v>
      </c>
      <c r="E1152" t="s">
        <v>3371</v>
      </c>
      <c r="F1152">
        <v>686.36</v>
      </c>
      <c r="G1152">
        <v>1</v>
      </c>
      <c r="H1152" t="s">
        <v>3377</v>
      </c>
    </row>
    <row r="1153" spans="1:8" x14ac:dyDescent="0.25">
      <c r="A1153" t="s">
        <v>2175</v>
      </c>
      <c r="B1153" t="s">
        <v>2176</v>
      </c>
      <c r="C1153" s="27">
        <v>45448</v>
      </c>
      <c r="D1153" t="s">
        <v>21</v>
      </c>
      <c r="E1153" t="s">
        <v>25</v>
      </c>
      <c r="F1153">
        <v>428.13</v>
      </c>
      <c r="G1153">
        <v>2</v>
      </c>
      <c r="H1153" t="s">
        <v>3377</v>
      </c>
    </row>
    <row r="1154" spans="1:8" x14ac:dyDescent="0.25">
      <c r="A1154" t="s">
        <v>2177</v>
      </c>
      <c r="B1154" t="s">
        <v>2178</v>
      </c>
      <c r="C1154" s="27">
        <v>45554</v>
      </c>
      <c r="D1154" t="s">
        <v>3372</v>
      </c>
      <c r="E1154" t="s">
        <v>3371</v>
      </c>
      <c r="F1154">
        <v>1200.7</v>
      </c>
      <c r="G1154">
        <v>4</v>
      </c>
      <c r="H1154" t="s">
        <v>3369</v>
      </c>
    </row>
    <row r="1155" spans="1:8" x14ac:dyDescent="0.25">
      <c r="A1155" t="s">
        <v>2179</v>
      </c>
      <c r="B1155" t="s">
        <v>2180</v>
      </c>
      <c r="C1155" s="27">
        <v>44921</v>
      </c>
      <c r="D1155" t="s">
        <v>21</v>
      </c>
      <c r="E1155" t="s">
        <v>11</v>
      </c>
      <c r="F1155">
        <v>1482.35</v>
      </c>
      <c r="G1155">
        <v>7</v>
      </c>
      <c r="H1155" t="s">
        <v>18</v>
      </c>
    </row>
    <row r="1156" spans="1:8" x14ac:dyDescent="0.25">
      <c r="A1156" t="s">
        <v>2181</v>
      </c>
      <c r="B1156" t="s">
        <v>2182</v>
      </c>
      <c r="C1156" s="27">
        <v>45042</v>
      </c>
      <c r="D1156" t="s">
        <v>10</v>
      </c>
      <c r="E1156" t="s">
        <v>3371</v>
      </c>
      <c r="F1156">
        <v>844.03</v>
      </c>
      <c r="G1156">
        <v>5</v>
      </c>
      <c r="H1156" t="s">
        <v>3377</v>
      </c>
    </row>
    <row r="1157" spans="1:8" x14ac:dyDescent="0.25">
      <c r="A1157" t="s">
        <v>2183</v>
      </c>
      <c r="B1157" t="s">
        <v>2184</v>
      </c>
      <c r="C1157" s="27">
        <v>45415</v>
      </c>
      <c r="D1157" t="s">
        <v>10</v>
      </c>
      <c r="E1157" t="s">
        <v>22</v>
      </c>
      <c r="F1157">
        <v>728.09</v>
      </c>
      <c r="G1157">
        <v>7</v>
      </c>
      <c r="H1157" t="s">
        <v>3377</v>
      </c>
    </row>
    <row r="1158" spans="1:8" x14ac:dyDescent="0.25">
      <c r="A1158" t="s">
        <v>2185</v>
      </c>
      <c r="B1158" t="s">
        <v>2186</v>
      </c>
      <c r="C1158" s="27">
        <v>45206</v>
      </c>
      <c r="D1158" t="s">
        <v>10</v>
      </c>
      <c r="E1158" t="s">
        <v>3370</v>
      </c>
      <c r="F1158">
        <v>1697.35</v>
      </c>
      <c r="H1158" t="s">
        <v>15</v>
      </c>
    </row>
    <row r="1159" spans="1:8" x14ac:dyDescent="0.25">
      <c r="A1159" t="s">
        <v>2187</v>
      </c>
      <c r="B1159" t="s">
        <v>2188</v>
      </c>
      <c r="C1159" s="27">
        <v>45583</v>
      </c>
      <c r="D1159" t="s">
        <v>14</v>
      </c>
      <c r="E1159" t="s">
        <v>11</v>
      </c>
      <c r="F1159">
        <v>1351.39</v>
      </c>
      <c r="G1159">
        <v>9</v>
      </c>
      <c r="H1159" t="s">
        <v>15</v>
      </c>
    </row>
    <row r="1160" spans="1:8" x14ac:dyDescent="0.25">
      <c r="A1160" t="s">
        <v>3433</v>
      </c>
      <c r="B1160" t="s">
        <v>3434</v>
      </c>
      <c r="C1160" s="27">
        <v>45625</v>
      </c>
      <c r="D1160" t="s">
        <v>10</v>
      </c>
      <c r="E1160" t="s">
        <v>3370</v>
      </c>
      <c r="F1160">
        <v>797.85</v>
      </c>
      <c r="G1160">
        <v>3</v>
      </c>
      <c r="H1160" t="s">
        <v>3369</v>
      </c>
    </row>
    <row r="1161" spans="1:8" x14ac:dyDescent="0.25">
      <c r="A1161" t="s">
        <v>2189</v>
      </c>
      <c r="B1161" t="s">
        <v>2190</v>
      </c>
      <c r="C1161" s="27">
        <v>45352</v>
      </c>
      <c r="D1161" t="s">
        <v>14</v>
      </c>
      <c r="E1161" t="s">
        <v>25</v>
      </c>
      <c r="F1161">
        <v>956.02</v>
      </c>
      <c r="G1161">
        <v>6</v>
      </c>
      <c r="H1161" t="s">
        <v>3377</v>
      </c>
    </row>
    <row r="1162" spans="1:8" x14ac:dyDescent="0.25">
      <c r="A1162" t="s">
        <v>2191</v>
      </c>
      <c r="B1162" t="s">
        <v>2192</v>
      </c>
      <c r="C1162" s="27">
        <v>45128</v>
      </c>
      <c r="D1162" t="s">
        <v>14</v>
      </c>
      <c r="E1162" t="s">
        <v>34</v>
      </c>
      <c r="F1162">
        <v>998.95</v>
      </c>
      <c r="G1162">
        <v>4</v>
      </c>
      <c r="H1162" t="s">
        <v>18</v>
      </c>
    </row>
    <row r="1163" spans="1:8" x14ac:dyDescent="0.25">
      <c r="A1163" t="s">
        <v>2193</v>
      </c>
      <c r="B1163" t="s">
        <v>2194</v>
      </c>
      <c r="C1163" s="27">
        <v>45771</v>
      </c>
      <c r="D1163" t="s">
        <v>21</v>
      </c>
      <c r="E1163" t="s">
        <v>22</v>
      </c>
      <c r="G1163">
        <v>9</v>
      </c>
      <c r="H1163" t="s">
        <v>15</v>
      </c>
    </row>
    <row r="1164" spans="1:8" x14ac:dyDescent="0.25">
      <c r="A1164" t="s">
        <v>2195</v>
      </c>
      <c r="B1164" t="s">
        <v>2196</v>
      </c>
      <c r="C1164" s="27">
        <v>45823</v>
      </c>
      <c r="D1164" t="s">
        <v>21</v>
      </c>
      <c r="E1164" t="s">
        <v>3370</v>
      </c>
      <c r="G1164">
        <v>10</v>
      </c>
      <c r="H1164" t="s">
        <v>18</v>
      </c>
    </row>
    <row r="1165" spans="1:8" x14ac:dyDescent="0.25">
      <c r="A1165" t="s">
        <v>2197</v>
      </c>
      <c r="B1165" t="s">
        <v>2198</v>
      </c>
      <c r="C1165" s="27">
        <v>45775</v>
      </c>
      <c r="D1165" t="s">
        <v>21</v>
      </c>
      <c r="E1165" t="s">
        <v>22</v>
      </c>
      <c r="F1165">
        <v>374.06</v>
      </c>
      <c r="G1165">
        <v>1</v>
      </c>
      <c r="H1165" t="s">
        <v>18</v>
      </c>
    </row>
    <row r="1166" spans="1:8" x14ac:dyDescent="0.25">
      <c r="A1166" t="s">
        <v>2199</v>
      </c>
      <c r="B1166" t="s">
        <v>2200</v>
      </c>
      <c r="C1166" s="27">
        <v>45125</v>
      </c>
      <c r="D1166" t="s">
        <v>10</v>
      </c>
      <c r="E1166" t="s">
        <v>25</v>
      </c>
      <c r="F1166">
        <v>1690.19</v>
      </c>
      <c r="H1166" t="s">
        <v>35</v>
      </c>
    </row>
    <row r="1167" spans="1:8" x14ac:dyDescent="0.25">
      <c r="A1167" t="s">
        <v>2201</v>
      </c>
      <c r="B1167" t="s">
        <v>2202</v>
      </c>
      <c r="C1167" s="27">
        <v>45069</v>
      </c>
      <c r="D1167" t="s">
        <v>21</v>
      </c>
      <c r="E1167" t="s">
        <v>25</v>
      </c>
      <c r="F1167">
        <v>1040.58</v>
      </c>
      <c r="H1167" t="s">
        <v>3369</v>
      </c>
    </row>
    <row r="1168" spans="1:8" x14ac:dyDescent="0.25">
      <c r="A1168" t="s">
        <v>2203</v>
      </c>
      <c r="B1168" t="s">
        <v>2204</v>
      </c>
      <c r="C1168" s="27">
        <v>45010</v>
      </c>
      <c r="D1168" t="s">
        <v>21</v>
      </c>
      <c r="E1168" t="s">
        <v>22</v>
      </c>
      <c r="F1168">
        <v>335.57</v>
      </c>
      <c r="H1168" t="s">
        <v>15</v>
      </c>
    </row>
    <row r="1169" spans="1:8" x14ac:dyDescent="0.25">
      <c r="A1169" t="s">
        <v>2205</v>
      </c>
      <c r="B1169" t="s">
        <v>2206</v>
      </c>
      <c r="C1169" s="27">
        <v>45846</v>
      </c>
      <c r="D1169" t="s">
        <v>3372</v>
      </c>
      <c r="E1169" t="s">
        <v>22</v>
      </c>
      <c r="F1169">
        <v>1770.12</v>
      </c>
      <c r="G1169">
        <v>3</v>
      </c>
      <c r="H1169" t="s">
        <v>3377</v>
      </c>
    </row>
    <row r="1170" spans="1:8" x14ac:dyDescent="0.25">
      <c r="A1170" t="s">
        <v>2207</v>
      </c>
      <c r="B1170" t="s">
        <v>2208</v>
      </c>
      <c r="C1170" s="27">
        <v>45715</v>
      </c>
      <c r="D1170" t="s">
        <v>14</v>
      </c>
      <c r="E1170" t="s">
        <v>3371</v>
      </c>
      <c r="F1170">
        <v>1461.87</v>
      </c>
      <c r="G1170">
        <v>4</v>
      </c>
      <c r="H1170" t="s">
        <v>18</v>
      </c>
    </row>
    <row r="1171" spans="1:8" x14ac:dyDescent="0.25">
      <c r="A1171" t="s">
        <v>2209</v>
      </c>
      <c r="B1171" t="s">
        <v>2210</v>
      </c>
      <c r="C1171" s="27">
        <v>45429</v>
      </c>
      <c r="D1171" t="s">
        <v>10</v>
      </c>
      <c r="E1171" t="s">
        <v>34</v>
      </c>
      <c r="F1171">
        <v>586.78</v>
      </c>
      <c r="G1171">
        <v>9</v>
      </c>
      <c r="H1171" t="s">
        <v>15</v>
      </c>
    </row>
    <row r="1172" spans="1:8" x14ac:dyDescent="0.25">
      <c r="A1172" t="s">
        <v>2211</v>
      </c>
      <c r="B1172" t="s">
        <v>2212</v>
      </c>
      <c r="C1172" s="27">
        <v>45539</v>
      </c>
      <c r="D1172" t="s">
        <v>3372</v>
      </c>
      <c r="E1172" t="s">
        <v>11</v>
      </c>
      <c r="F1172">
        <v>1315.4</v>
      </c>
      <c r="G1172">
        <v>1</v>
      </c>
      <c r="H1172" t="s">
        <v>3377</v>
      </c>
    </row>
    <row r="1173" spans="1:8" x14ac:dyDescent="0.25">
      <c r="A1173" t="s">
        <v>2213</v>
      </c>
      <c r="B1173" t="s">
        <v>2214</v>
      </c>
      <c r="C1173" s="27">
        <v>44959</v>
      </c>
      <c r="D1173" t="s">
        <v>10</v>
      </c>
      <c r="E1173" t="s">
        <v>22</v>
      </c>
      <c r="F1173">
        <v>440.85</v>
      </c>
      <c r="G1173">
        <v>6</v>
      </c>
      <c r="H1173" t="s">
        <v>35</v>
      </c>
    </row>
    <row r="1174" spans="1:8" x14ac:dyDescent="0.25">
      <c r="A1174" t="s">
        <v>2215</v>
      </c>
      <c r="B1174" t="s">
        <v>2216</v>
      </c>
      <c r="C1174" s="27">
        <v>45087</v>
      </c>
      <c r="D1174" t="s">
        <v>14</v>
      </c>
      <c r="E1174" t="s">
        <v>25</v>
      </c>
      <c r="F1174">
        <v>252.13</v>
      </c>
      <c r="G1174">
        <v>9</v>
      </c>
      <c r="H1174" t="s">
        <v>15</v>
      </c>
    </row>
    <row r="1175" spans="1:8" x14ac:dyDescent="0.25">
      <c r="A1175" t="s">
        <v>2217</v>
      </c>
      <c r="B1175" t="s">
        <v>1789</v>
      </c>
      <c r="C1175" s="27">
        <v>44905</v>
      </c>
      <c r="D1175" t="s">
        <v>14</v>
      </c>
      <c r="E1175" t="s">
        <v>25</v>
      </c>
      <c r="G1175">
        <v>3</v>
      </c>
      <c r="H1175" t="s">
        <v>18</v>
      </c>
    </row>
    <row r="1176" spans="1:8" x14ac:dyDescent="0.25">
      <c r="A1176" t="s">
        <v>2218</v>
      </c>
      <c r="B1176" t="s">
        <v>1074</v>
      </c>
      <c r="C1176" s="27">
        <v>45243</v>
      </c>
      <c r="D1176" t="s">
        <v>14</v>
      </c>
      <c r="E1176" t="s">
        <v>25</v>
      </c>
      <c r="G1176">
        <v>9</v>
      </c>
      <c r="H1176" t="s">
        <v>3377</v>
      </c>
    </row>
    <row r="1177" spans="1:8" x14ac:dyDescent="0.25">
      <c r="A1177" t="s">
        <v>2219</v>
      </c>
      <c r="B1177" t="s">
        <v>2220</v>
      </c>
      <c r="C1177" s="27">
        <v>45549</v>
      </c>
      <c r="D1177" t="s">
        <v>3372</v>
      </c>
      <c r="E1177" t="s">
        <v>11</v>
      </c>
      <c r="F1177">
        <v>756.04</v>
      </c>
      <c r="G1177">
        <v>8</v>
      </c>
      <c r="H1177" t="s">
        <v>18</v>
      </c>
    </row>
    <row r="1178" spans="1:8" x14ac:dyDescent="0.25">
      <c r="A1178" t="s">
        <v>2221</v>
      </c>
      <c r="B1178" t="s">
        <v>2222</v>
      </c>
      <c r="C1178" s="27">
        <v>45259</v>
      </c>
      <c r="D1178" t="s">
        <v>14</v>
      </c>
      <c r="E1178" t="s">
        <v>25</v>
      </c>
      <c r="F1178">
        <v>630.94000000000005</v>
      </c>
      <c r="G1178">
        <v>3</v>
      </c>
      <c r="H1178" t="s">
        <v>3369</v>
      </c>
    </row>
    <row r="1179" spans="1:8" x14ac:dyDescent="0.25">
      <c r="A1179" t="s">
        <v>2223</v>
      </c>
      <c r="B1179" t="s">
        <v>2025</v>
      </c>
      <c r="C1179" s="27">
        <v>45049</v>
      </c>
      <c r="D1179" t="s">
        <v>10</v>
      </c>
      <c r="E1179" t="s">
        <v>3371</v>
      </c>
      <c r="F1179">
        <v>640.71</v>
      </c>
      <c r="G1179">
        <v>10</v>
      </c>
      <c r="H1179" t="s">
        <v>3377</v>
      </c>
    </row>
    <row r="1180" spans="1:8" x14ac:dyDescent="0.25">
      <c r="A1180" t="s">
        <v>2224</v>
      </c>
      <c r="B1180" t="s">
        <v>2225</v>
      </c>
      <c r="C1180" s="27">
        <v>45890</v>
      </c>
      <c r="D1180" t="s">
        <v>3372</v>
      </c>
      <c r="E1180" t="s">
        <v>34</v>
      </c>
      <c r="F1180">
        <v>972.01</v>
      </c>
      <c r="G1180">
        <v>5</v>
      </c>
      <c r="H1180" t="s">
        <v>35</v>
      </c>
    </row>
    <row r="1181" spans="1:8" x14ac:dyDescent="0.25">
      <c r="A1181" t="s">
        <v>2226</v>
      </c>
      <c r="B1181" t="s">
        <v>2227</v>
      </c>
      <c r="C1181" s="27">
        <v>45893</v>
      </c>
      <c r="D1181" t="s">
        <v>10</v>
      </c>
      <c r="E1181" t="s">
        <v>11</v>
      </c>
      <c r="F1181">
        <v>780.65</v>
      </c>
      <c r="G1181">
        <v>7</v>
      </c>
      <c r="H1181" t="s">
        <v>35</v>
      </c>
    </row>
    <row r="1182" spans="1:8" x14ac:dyDescent="0.25">
      <c r="A1182" t="s">
        <v>2228</v>
      </c>
      <c r="B1182" t="s">
        <v>859</v>
      </c>
      <c r="C1182" s="27">
        <v>45164</v>
      </c>
      <c r="D1182" t="s">
        <v>3372</v>
      </c>
      <c r="E1182" t="s">
        <v>22</v>
      </c>
      <c r="F1182">
        <v>1858.66</v>
      </c>
      <c r="G1182">
        <v>8</v>
      </c>
      <c r="H1182" t="s">
        <v>3377</v>
      </c>
    </row>
    <row r="1183" spans="1:8" x14ac:dyDescent="0.25">
      <c r="A1183" t="s">
        <v>2229</v>
      </c>
      <c r="B1183" t="s">
        <v>2230</v>
      </c>
      <c r="C1183" s="27">
        <v>45479</v>
      </c>
      <c r="D1183" t="s">
        <v>10</v>
      </c>
      <c r="E1183" t="s">
        <v>11</v>
      </c>
      <c r="F1183">
        <v>376.33</v>
      </c>
      <c r="G1183">
        <v>2</v>
      </c>
      <c r="H1183" t="s">
        <v>18</v>
      </c>
    </row>
    <row r="1184" spans="1:8" x14ac:dyDescent="0.25">
      <c r="A1184" t="s">
        <v>2231</v>
      </c>
      <c r="B1184" t="s">
        <v>2232</v>
      </c>
      <c r="C1184" s="27">
        <v>45300</v>
      </c>
      <c r="D1184" t="s">
        <v>3372</v>
      </c>
      <c r="E1184" t="s">
        <v>11</v>
      </c>
      <c r="F1184">
        <v>920.32</v>
      </c>
      <c r="G1184">
        <v>4</v>
      </c>
      <c r="H1184" t="s">
        <v>35</v>
      </c>
    </row>
    <row r="1185" spans="1:8" x14ac:dyDescent="0.25">
      <c r="A1185" t="s">
        <v>2233</v>
      </c>
      <c r="B1185" t="s">
        <v>2234</v>
      </c>
      <c r="C1185" s="27">
        <v>45377</v>
      </c>
      <c r="D1185" t="s">
        <v>3372</v>
      </c>
      <c r="E1185" t="s">
        <v>3370</v>
      </c>
      <c r="F1185">
        <v>701.52</v>
      </c>
      <c r="G1185">
        <v>4</v>
      </c>
      <c r="H1185" t="s">
        <v>18</v>
      </c>
    </row>
    <row r="1186" spans="1:8" x14ac:dyDescent="0.25">
      <c r="A1186" t="s">
        <v>2235</v>
      </c>
      <c r="B1186" t="s">
        <v>2236</v>
      </c>
      <c r="C1186" s="27">
        <v>45602</v>
      </c>
      <c r="D1186" t="s">
        <v>14</v>
      </c>
      <c r="E1186" t="s">
        <v>22</v>
      </c>
      <c r="G1186">
        <v>6</v>
      </c>
      <c r="H1186" t="s">
        <v>35</v>
      </c>
    </row>
    <row r="1187" spans="1:8" x14ac:dyDescent="0.25">
      <c r="A1187" t="s">
        <v>2237</v>
      </c>
      <c r="B1187" t="s">
        <v>2238</v>
      </c>
      <c r="C1187" s="27">
        <v>45307</v>
      </c>
      <c r="D1187" t="s">
        <v>14</v>
      </c>
      <c r="E1187" t="s">
        <v>3371</v>
      </c>
      <c r="F1187">
        <v>1733.7</v>
      </c>
      <c r="G1187">
        <v>5</v>
      </c>
      <c r="H1187" t="s">
        <v>15</v>
      </c>
    </row>
    <row r="1188" spans="1:8" x14ac:dyDescent="0.25">
      <c r="A1188" t="s">
        <v>2239</v>
      </c>
      <c r="B1188" t="s">
        <v>2240</v>
      </c>
      <c r="C1188" s="27">
        <v>45476</v>
      </c>
      <c r="D1188" t="s">
        <v>21</v>
      </c>
      <c r="E1188" t="s">
        <v>25</v>
      </c>
      <c r="F1188">
        <v>1428.17</v>
      </c>
      <c r="H1188" t="s">
        <v>35</v>
      </c>
    </row>
    <row r="1189" spans="1:8" x14ac:dyDescent="0.25">
      <c r="A1189" t="s">
        <v>2241</v>
      </c>
      <c r="B1189" t="s">
        <v>2242</v>
      </c>
      <c r="C1189" s="27">
        <v>44960</v>
      </c>
      <c r="D1189" t="s">
        <v>10</v>
      </c>
      <c r="E1189" t="s">
        <v>3370</v>
      </c>
      <c r="F1189">
        <v>1691.08</v>
      </c>
      <c r="G1189">
        <v>8</v>
      </c>
      <c r="H1189" t="s">
        <v>3377</v>
      </c>
    </row>
    <row r="1190" spans="1:8" x14ac:dyDescent="0.25">
      <c r="A1190" t="s">
        <v>2243</v>
      </c>
      <c r="B1190" t="s">
        <v>2244</v>
      </c>
      <c r="C1190" s="27">
        <v>45931</v>
      </c>
      <c r="D1190" t="s">
        <v>14</v>
      </c>
      <c r="E1190" t="s">
        <v>34</v>
      </c>
      <c r="G1190">
        <v>8</v>
      </c>
      <c r="H1190" t="s">
        <v>15</v>
      </c>
    </row>
    <row r="1191" spans="1:8" x14ac:dyDescent="0.25">
      <c r="A1191" t="s">
        <v>2245</v>
      </c>
      <c r="B1191" t="s">
        <v>2246</v>
      </c>
      <c r="C1191" s="27">
        <v>45187</v>
      </c>
      <c r="D1191" t="s">
        <v>14</v>
      </c>
      <c r="E1191" t="s">
        <v>11</v>
      </c>
      <c r="F1191">
        <v>70.599999999999994</v>
      </c>
      <c r="G1191">
        <v>2</v>
      </c>
      <c r="H1191" t="s">
        <v>18</v>
      </c>
    </row>
    <row r="1192" spans="1:8" x14ac:dyDescent="0.25">
      <c r="A1192" t="s">
        <v>2247</v>
      </c>
      <c r="B1192" t="s">
        <v>2248</v>
      </c>
      <c r="C1192" s="27">
        <v>45432</v>
      </c>
      <c r="D1192" t="s">
        <v>21</v>
      </c>
      <c r="E1192" t="s">
        <v>11</v>
      </c>
      <c r="F1192">
        <v>1950.66</v>
      </c>
      <c r="G1192">
        <v>3</v>
      </c>
      <c r="H1192" t="s">
        <v>15</v>
      </c>
    </row>
    <row r="1193" spans="1:8" x14ac:dyDescent="0.25">
      <c r="A1193" t="s">
        <v>2249</v>
      </c>
      <c r="B1193" t="s">
        <v>2250</v>
      </c>
      <c r="C1193" s="27">
        <v>45813</v>
      </c>
      <c r="D1193" t="s">
        <v>10</v>
      </c>
      <c r="E1193" t="s">
        <v>34</v>
      </c>
      <c r="F1193">
        <v>131.1</v>
      </c>
      <c r="G1193">
        <v>6</v>
      </c>
      <c r="H1193" t="s">
        <v>15</v>
      </c>
    </row>
    <row r="1194" spans="1:8" x14ac:dyDescent="0.25">
      <c r="A1194" t="s">
        <v>2251</v>
      </c>
      <c r="B1194" t="s">
        <v>2252</v>
      </c>
      <c r="C1194" s="27">
        <v>44989</v>
      </c>
      <c r="D1194" t="s">
        <v>3372</v>
      </c>
      <c r="E1194" t="s">
        <v>3371</v>
      </c>
      <c r="F1194">
        <v>1123.82</v>
      </c>
      <c r="G1194">
        <v>5</v>
      </c>
      <c r="H1194" t="s">
        <v>18</v>
      </c>
    </row>
    <row r="1195" spans="1:8" x14ac:dyDescent="0.25">
      <c r="A1195" t="s">
        <v>2253</v>
      </c>
      <c r="B1195" t="s">
        <v>2254</v>
      </c>
      <c r="C1195" s="27">
        <v>45877</v>
      </c>
      <c r="D1195" t="s">
        <v>3372</v>
      </c>
      <c r="E1195" t="s">
        <v>22</v>
      </c>
      <c r="F1195">
        <v>33.229999999999997</v>
      </c>
      <c r="G1195">
        <v>7</v>
      </c>
      <c r="H1195" t="s">
        <v>15</v>
      </c>
    </row>
    <row r="1196" spans="1:8" x14ac:dyDescent="0.25">
      <c r="A1196" t="s">
        <v>2255</v>
      </c>
      <c r="B1196" t="s">
        <v>2256</v>
      </c>
      <c r="C1196" s="27">
        <v>44969</v>
      </c>
      <c r="D1196" t="s">
        <v>3372</v>
      </c>
      <c r="E1196" t="s">
        <v>11</v>
      </c>
      <c r="F1196">
        <v>1071.6199999999999</v>
      </c>
      <c r="G1196">
        <v>7</v>
      </c>
      <c r="H1196" t="s">
        <v>35</v>
      </c>
    </row>
    <row r="1197" spans="1:8" x14ac:dyDescent="0.25">
      <c r="A1197" t="s">
        <v>2257</v>
      </c>
      <c r="B1197" t="s">
        <v>2258</v>
      </c>
      <c r="C1197" s="27">
        <v>45837</v>
      </c>
      <c r="D1197" t="s">
        <v>21</v>
      </c>
      <c r="E1197" t="s">
        <v>22</v>
      </c>
      <c r="F1197">
        <v>111.71</v>
      </c>
      <c r="G1197">
        <v>6</v>
      </c>
      <c r="H1197" t="s">
        <v>35</v>
      </c>
    </row>
    <row r="1198" spans="1:8" x14ac:dyDescent="0.25">
      <c r="A1198" t="s">
        <v>2259</v>
      </c>
      <c r="B1198" t="s">
        <v>2260</v>
      </c>
      <c r="C1198" s="27">
        <v>45106</v>
      </c>
      <c r="D1198" t="s">
        <v>14</v>
      </c>
      <c r="E1198" t="s">
        <v>11</v>
      </c>
      <c r="G1198">
        <v>1</v>
      </c>
      <c r="H1198" t="s">
        <v>3369</v>
      </c>
    </row>
    <row r="1199" spans="1:8" x14ac:dyDescent="0.25">
      <c r="A1199" t="s">
        <v>3395</v>
      </c>
      <c r="B1199" t="s">
        <v>3396</v>
      </c>
      <c r="C1199" s="27">
        <v>45268</v>
      </c>
      <c r="D1199" t="s">
        <v>3372</v>
      </c>
      <c r="E1199" t="s">
        <v>22</v>
      </c>
      <c r="F1199">
        <v>1495.82</v>
      </c>
      <c r="G1199">
        <v>1</v>
      </c>
      <c r="H1199" t="s">
        <v>3377</v>
      </c>
    </row>
    <row r="1200" spans="1:8" x14ac:dyDescent="0.25">
      <c r="A1200" t="s">
        <v>2261</v>
      </c>
      <c r="B1200" t="s">
        <v>2262</v>
      </c>
      <c r="C1200" s="27">
        <v>44954</v>
      </c>
      <c r="D1200" t="s">
        <v>21</v>
      </c>
      <c r="E1200" t="s">
        <v>11</v>
      </c>
      <c r="G1200">
        <v>9</v>
      </c>
      <c r="H1200" t="s">
        <v>3377</v>
      </c>
    </row>
    <row r="1201" spans="1:8" x14ac:dyDescent="0.25">
      <c r="A1201" t="s">
        <v>2263</v>
      </c>
      <c r="B1201" t="s">
        <v>2264</v>
      </c>
      <c r="C1201" s="27">
        <v>44860</v>
      </c>
      <c r="D1201" t="s">
        <v>3372</v>
      </c>
      <c r="E1201" t="s">
        <v>3371</v>
      </c>
      <c r="F1201">
        <v>1209.26</v>
      </c>
      <c r="G1201">
        <v>4</v>
      </c>
      <c r="H1201" t="s">
        <v>15</v>
      </c>
    </row>
    <row r="1202" spans="1:8" x14ac:dyDescent="0.25">
      <c r="A1202" t="s">
        <v>2265</v>
      </c>
      <c r="B1202" t="s">
        <v>2266</v>
      </c>
      <c r="C1202" s="27">
        <v>44897</v>
      </c>
      <c r="D1202" t="s">
        <v>3372</v>
      </c>
      <c r="E1202" t="s">
        <v>25</v>
      </c>
      <c r="F1202">
        <v>1979.08</v>
      </c>
      <c r="G1202">
        <v>10</v>
      </c>
      <c r="H1202" t="s">
        <v>3369</v>
      </c>
    </row>
    <row r="1203" spans="1:8" x14ac:dyDescent="0.25">
      <c r="A1203" t="s">
        <v>2267</v>
      </c>
      <c r="B1203" t="s">
        <v>2268</v>
      </c>
      <c r="C1203" s="27">
        <v>45605</v>
      </c>
      <c r="D1203" t="s">
        <v>3372</v>
      </c>
      <c r="E1203" t="s">
        <v>25</v>
      </c>
      <c r="F1203">
        <v>1643.12</v>
      </c>
      <c r="G1203">
        <v>2</v>
      </c>
      <c r="H1203" t="s">
        <v>15</v>
      </c>
    </row>
    <row r="1204" spans="1:8" x14ac:dyDescent="0.25">
      <c r="A1204" t="s">
        <v>3399</v>
      </c>
      <c r="B1204" t="s">
        <v>3400</v>
      </c>
      <c r="C1204" s="27">
        <v>45170</v>
      </c>
      <c r="D1204" t="s">
        <v>10</v>
      </c>
      <c r="E1204" t="s">
        <v>34</v>
      </c>
      <c r="F1204">
        <v>154.99</v>
      </c>
      <c r="G1204">
        <v>10</v>
      </c>
      <c r="H1204" t="s">
        <v>35</v>
      </c>
    </row>
    <row r="1205" spans="1:8" x14ac:dyDescent="0.25">
      <c r="A1205" t="s">
        <v>2269</v>
      </c>
      <c r="B1205" t="s">
        <v>2270</v>
      </c>
      <c r="C1205" s="27">
        <v>45290</v>
      </c>
      <c r="D1205" t="s">
        <v>10</v>
      </c>
      <c r="E1205" t="s">
        <v>11</v>
      </c>
      <c r="F1205">
        <v>532.66</v>
      </c>
      <c r="G1205">
        <v>1</v>
      </c>
      <c r="H1205" t="s">
        <v>18</v>
      </c>
    </row>
    <row r="1206" spans="1:8" x14ac:dyDescent="0.25">
      <c r="A1206" t="s">
        <v>2271</v>
      </c>
      <c r="B1206" t="s">
        <v>2272</v>
      </c>
      <c r="C1206" s="27">
        <v>44883</v>
      </c>
      <c r="D1206" t="s">
        <v>14</v>
      </c>
      <c r="E1206" t="s">
        <v>34</v>
      </c>
      <c r="G1206">
        <v>8</v>
      </c>
      <c r="H1206" t="s">
        <v>15</v>
      </c>
    </row>
    <row r="1207" spans="1:8" x14ac:dyDescent="0.25">
      <c r="A1207" t="s">
        <v>2273</v>
      </c>
      <c r="B1207" t="s">
        <v>2274</v>
      </c>
      <c r="C1207" s="27">
        <v>45455</v>
      </c>
      <c r="D1207" t="s">
        <v>3372</v>
      </c>
      <c r="E1207" t="s">
        <v>11</v>
      </c>
      <c r="G1207">
        <v>6</v>
      </c>
      <c r="H1207" t="s">
        <v>15</v>
      </c>
    </row>
    <row r="1208" spans="1:8" x14ac:dyDescent="0.25">
      <c r="A1208" t="s">
        <v>2275</v>
      </c>
      <c r="B1208" t="s">
        <v>2276</v>
      </c>
      <c r="C1208" s="27">
        <v>45273</v>
      </c>
      <c r="D1208" t="s">
        <v>10</v>
      </c>
      <c r="E1208" t="s">
        <v>3370</v>
      </c>
      <c r="F1208">
        <v>1598.77</v>
      </c>
      <c r="G1208">
        <v>1</v>
      </c>
      <c r="H1208" t="s">
        <v>3377</v>
      </c>
    </row>
    <row r="1209" spans="1:8" x14ac:dyDescent="0.25">
      <c r="A1209" t="s">
        <v>2277</v>
      </c>
      <c r="B1209" t="s">
        <v>2278</v>
      </c>
      <c r="C1209" s="27">
        <v>44932</v>
      </c>
      <c r="D1209" t="s">
        <v>21</v>
      </c>
      <c r="E1209" t="s">
        <v>22</v>
      </c>
      <c r="F1209">
        <v>714.82</v>
      </c>
      <c r="G1209">
        <v>1</v>
      </c>
      <c r="H1209" t="s">
        <v>3377</v>
      </c>
    </row>
    <row r="1210" spans="1:8" x14ac:dyDescent="0.25">
      <c r="A1210" t="s">
        <v>2279</v>
      </c>
      <c r="B1210" t="s">
        <v>2280</v>
      </c>
      <c r="C1210" s="27">
        <v>45017</v>
      </c>
      <c r="D1210" t="s">
        <v>21</v>
      </c>
      <c r="E1210" t="s">
        <v>3371</v>
      </c>
      <c r="F1210">
        <v>1523.23</v>
      </c>
      <c r="G1210">
        <v>9</v>
      </c>
      <c r="H1210" t="s">
        <v>15</v>
      </c>
    </row>
    <row r="1211" spans="1:8" x14ac:dyDescent="0.25">
      <c r="A1211" t="s">
        <v>2281</v>
      </c>
      <c r="B1211" t="s">
        <v>2282</v>
      </c>
      <c r="C1211" s="27">
        <v>45597</v>
      </c>
      <c r="D1211" t="s">
        <v>3372</v>
      </c>
      <c r="E1211" t="s">
        <v>25</v>
      </c>
      <c r="G1211">
        <v>7</v>
      </c>
      <c r="H1211" t="s">
        <v>3377</v>
      </c>
    </row>
    <row r="1212" spans="1:8" x14ac:dyDescent="0.25">
      <c r="A1212" t="s">
        <v>2283</v>
      </c>
      <c r="B1212" t="s">
        <v>2284</v>
      </c>
      <c r="C1212" s="27">
        <v>45110</v>
      </c>
      <c r="D1212" t="s">
        <v>14</v>
      </c>
      <c r="E1212" t="s">
        <v>3370</v>
      </c>
      <c r="F1212">
        <v>1324.84</v>
      </c>
      <c r="G1212">
        <v>3</v>
      </c>
      <c r="H1212" t="s">
        <v>3377</v>
      </c>
    </row>
    <row r="1213" spans="1:8" x14ac:dyDescent="0.25">
      <c r="A1213" t="s">
        <v>2285</v>
      </c>
      <c r="B1213" t="s">
        <v>2286</v>
      </c>
      <c r="C1213" s="27">
        <v>45327</v>
      </c>
      <c r="D1213" t="s">
        <v>21</v>
      </c>
      <c r="E1213" t="s">
        <v>3371</v>
      </c>
      <c r="F1213">
        <v>176.83</v>
      </c>
      <c r="G1213">
        <v>10</v>
      </c>
      <c r="H1213" t="s">
        <v>18</v>
      </c>
    </row>
    <row r="1214" spans="1:8" x14ac:dyDescent="0.25">
      <c r="A1214" t="s">
        <v>2287</v>
      </c>
      <c r="B1214" t="s">
        <v>2288</v>
      </c>
      <c r="C1214" s="27">
        <v>45620</v>
      </c>
      <c r="D1214" t="s">
        <v>3372</v>
      </c>
      <c r="E1214" t="s">
        <v>22</v>
      </c>
      <c r="F1214">
        <v>698.5</v>
      </c>
      <c r="G1214">
        <v>8</v>
      </c>
      <c r="H1214" t="s">
        <v>3369</v>
      </c>
    </row>
    <row r="1215" spans="1:8" x14ac:dyDescent="0.25">
      <c r="A1215" t="s">
        <v>2289</v>
      </c>
      <c r="B1215" t="s">
        <v>2290</v>
      </c>
      <c r="C1215" s="27">
        <v>45034</v>
      </c>
      <c r="D1215" t="s">
        <v>3372</v>
      </c>
      <c r="E1215" t="s">
        <v>11</v>
      </c>
      <c r="F1215">
        <v>1358.85</v>
      </c>
      <c r="G1215">
        <v>1</v>
      </c>
      <c r="H1215" t="s">
        <v>18</v>
      </c>
    </row>
    <row r="1216" spans="1:8" x14ac:dyDescent="0.25">
      <c r="A1216" t="s">
        <v>2291</v>
      </c>
      <c r="B1216" t="s">
        <v>2292</v>
      </c>
      <c r="C1216" s="27">
        <v>45491</v>
      </c>
      <c r="D1216" t="s">
        <v>21</v>
      </c>
      <c r="E1216" t="s">
        <v>11</v>
      </c>
      <c r="F1216">
        <v>1011.35</v>
      </c>
      <c r="G1216">
        <v>3</v>
      </c>
      <c r="H1216" t="s">
        <v>35</v>
      </c>
    </row>
    <row r="1217" spans="1:8" x14ac:dyDescent="0.25">
      <c r="A1217" t="s">
        <v>2293</v>
      </c>
      <c r="B1217" t="s">
        <v>2294</v>
      </c>
      <c r="C1217" s="27">
        <v>45093</v>
      </c>
      <c r="D1217" t="s">
        <v>21</v>
      </c>
      <c r="E1217" t="s">
        <v>3370</v>
      </c>
      <c r="F1217">
        <v>1329.38</v>
      </c>
      <c r="G1217">
        <v>7</v>
      </c>
      <c r="H1217" t="s">
        <v>3377</v>
      </c>
    </row>
    <row r="1218" spans="1:8" x14ac:dyDescent="0.25">
      <c r="A1218" t="s">
        <v>2295</v>
      </c>
      <c r="B1218" t="s">
        <v>2296</v>
      </c>
      <c r="C1218" s="27">
        <v>45280</v>
      </c>
      <c r="D1218" t="s">
        <v>10</v>
      </c>
      <c r="E1218" t="s">
        <v>34</v>
      </c>
      <c r="G1218">
        <v>1</v>
      </c>
      <c r="H1218" t="s">
        <v>3377</v>
      </c>
    </row>
    <row r="1219" spans="1:8" x14ac:dyDescent="0.25">
      <c r="A1219" t="s">
        <v>2297</v>
      </c>
      <c r="B1219" t="s">
        <v>2298</v>
      </c>
      <c r="C1219" s="27">
        <v>45116</v>
      </c>
      <c r="D1219" t="s">
        <v>10</v>
      </c>
      <c r="E1219" t="s">
        <v>22</v>
      </c>
      <c r="F1219">
        <v>1396.82</v>
      </c>
      <c r="G1219">
        <v>6</v>
      </c>
      <c r="H1219" t="s">
        <v>3377</v>
      </c>
    </row>
    <row r="1220" spans="1:8" x14ac:dyDescent="0.25">
      <c r="A1220" t="s">
        <v>2299</v>
      </c>
      <c r="B1220" t="s">
        <v>2300</v>
      </c>
      <c r="C1220" s="27">
        <v>45161</v>
      </c>
      <c r="D1220" t="s">
        <v>14</v>
      </c>
      <c r="E1220" t="s">
        <v>3370</v>
      </c>
      <c r="F1220">
        <v>921.75</v>
      </c>
      <c r="G1220">
        <v>9</v>
      </c>
      <c r="H1220" t="s">
        <v>3377</v>
      </c>
    </row>
    <row r="1221" spans="1:8" x14ac:dyDescent="0.25">
      <c r="A1221" t="s">
        <v>2301</v>
      </c>
      <c r="B1221" t="s">
        <v>2302</v>
      </c>
      <c r="C1221" s="27">
        <v>45041</v>
      </c>
      <c r="D1221" t="s">
        <v>3372</v>
      </c>
      <c r="E1221" t="s">
        <v>3370</v>
      </c>
      <c r="F1221">
        <v>1352.05</v>
      </c>
      <c r="G1221">
        <v>7</v>
      </c>
      <c r="H1221" t="s">
        <v>18</v>
      </c>
    </row>
    <row r="1222" spans="1:8" x14ac:dyDescent="0.25">
      <c r="A1222" t="s">
        <v>2303</v>
      </c>
      <c r="B1222" t="s">
        <v>2304</v>
      </c>
      <c r="C1222" s="27">
        <v>45575</v>
      </c>
      <c r="D1222" t="s">
        <v>10</v>
      </c>
      <c r="E1222" t="s">
        <v>34</v>
      </c>
      <c r="F1222">
        <v>1158.21</v>
      </c>
      <c r="G1222">
        <v>9</v>
      </c>
      <c r="H1222" t="s">
        <v>3377</v>
      </c>
    </row>
    <row r="1223" spans="1:8" x14ac:dyDescent="0.25">
      <c r="A1223" t="s">
        <v>2305</v>
      </c>
      <c r="B1223" t="s">
        <v>2306</v>
      </c>
      <c r="C1223" s="27">
        <v>45648</v>
      </c>
      <c r="D1223" t="s">
        <v>3372</v>
      </c>
      <c r="E1223" t="s">
        <v>11</v>
      </c>
      <c r="G1223">
        <v>9</v>
      </c>
      <c r="H1223" t="s">
        <v>3377</v>
      </c>
    </row>
    <row r="1224" spans="1:8" x14ac:dyDescent="0.25">
      <c r="A1224" t="s">
        <v>2307</v>
      </c>
      <c r="B1224" t="s">
        <v>2308</v>
      </c>
      <c r="C1224" s="27">
        <v>45394</v>
      </c>
      <c r="D1224" t="s">
        <v>21</v>
      </c>
      <c r="E1224" t="s">
        <v>3371</v>
      </c>
      <c r="F1224">
        <v>166.45</v>
      </c>
      <c r="G1224">
        <v>2</v>
      </c>
      <c r="H1224" t="s">
        <v>3377</v>
      </c>
    </row>
    <row r="1225" spans="1:8" x14ac:dyDescent="0.25">
      <c r="A1225" t="s">
        <v>2309</v>
      </c>
      <c r="B1225" t="s">
        <v>2310</v>
      </c>
      <c r="C1225" s="27">
        <v>45656</v>
      </c>
      <c r="D1225" t="s">
        <v>21</v>
      </c>
      <c r="E1225" t="s">
        <v>11</v>
      </c>
      <c r="F1225">
        <v>426.96</v>
      </c>
      <c r="G1225">
        <v>4</v>
      </c>
      <c r="H1225" t="s">
        <v>35</v>
      </c>
    </row>
    <row r="1226" spans="1:8" x14ac:dyDescent="0.25">
      <c r="A1226" t="s">
        <v>2311</v>
      </c>
      <c r="B1226" t="s">
        <v>2312</v>
      </c>
      <c r="C1226" s="27">
        <v>45240</v>
      </c>
      <c r="D1226" t="s">
        <v>3372</v>
      </c>
      <c r="E1226" t="s">
        <v>3370</v>
      </c>
      <c r="F1226">
        <v>202.53</v>
      </c>
      <c r="G1226">
        <v>2</v>
      </c>
      <c r="H1226" t="s">
        <v>35</v>
      </c>
    </row>
    <row r="1227" spans="1:8" x14ac:dyDescent="0.25">
      <c r="A1227" t="s">
        <v>2313</v>
      </c>
      <c r="B1227" t="s">
        <v>2314</v>
      </c>
      <c r="C1227" s="27">
        <v>45536</v>
      </c>
      <c r="D1227" t="s">
        <v>14</v>
      </c>
      <c r="E1227" t="s">
        <v>22</v>
      </c>
      <c r="G1227">
        <v>8</v>
      </c>
      <c r="H1227" t="s">
        <v>35</v>
      </c>
    </row>
    <row r="1228" spans="1:8" x14ac:dyDescent="0.25">
      <c r="A1228" t="s">
        <v>2315</v>
      </c>
      <c r="B1228" t="s">
        <v>2316</v>
      </c>
      <c r="C1228" s="27">
        <v>44922</v>
      </c>
      <c r="D1228" t="s">
        <v>14</v>
      </c>
      <c r="E1228" t="s">
        <v>3370</v>
      </c>
      <c r="F1228">
        <v>513.79999999999995</v>
      </c>
      <c r="G1228">
        <v>2</v>
      </c>
      <c r="H1228" t="s">
        <v>15</v>
      </c>
    </row>
    <row r="1229" spans="1:8" x14ac:dyDescent="0.25">
      <c r="A1229" t="s">
        <v>2317</v>
      </c>
      <c r="B1229" t="s">
        <v>2318</v>
      </c>
      <c r="C1229" s="27">
        <v>45488</v>
      </c>
      <c r="D1229" t="s">
        <v>14</v>
      </c>
      <c r="E1229" t="s">
        <v>25</v>
      </c>
      <c r="F1229">
        <v>626.21</v>
      </c>
      <c r="G1229">
        <v>8</v>
      </c>
      <c r="H1229" t="s">
        <v>3377</v>
      </c>
    </row>
    <row r="1230" spans="1:8" x14ac:dyDescent="0.25">
      <c r="A1230" t="s">
        <v>2319</v>
      </c>
      <c r="B1230" t="s">
        <v>2320</v>
      </c>
      <c r="C1230" s="27">
        <v>45221</v>
      </c>
      <c r="D1230" t="s">
        <v>10</v>
      </c>
      <c r="E1230" t="s">
        <v>3370</v>
      </c>
      <c r="F1230">
        <v>680.1</v>
      </c>
      <c r="G1230">
        <v>9</v>
      </c>
      <c r="H1230" t="s">
        <v>35</v>
      </c>
    </row>
    <row r="1231" spans="1:8" x14ac:dyDescent="0.25">
      <c r="A1231" t="s">
        <v>2321</v>
      </c>
      <c r="B1231" t="s">
        <v>2322</v>
      </c>
      <c r="C1231" s="27">
        <v>45233</v>
      </c>
      <c r="D1231" t="s">
        <v>21</v>
      </c>
      <c r="E1231" t="s">
        <v>11</v>
      </c>
      <c r="F1231">
        <v>1567.41</v>
      </c>
      <c r="G1231">
        <v>1</v>
      </c>
      <c r="H1231" t="s">
        <v>18</v>
      </c>
    </row>
    <row r="1232" spans="1:8" x14ac:dyDescent="0.25">
      <c r="A1232" t="s">
        <v>2323</v>
      </c>
      <c r="B1232" t="s">
        <v>2324</v>
      </c>
      <c r="C1232" s="27">
        <v>44974</v>
      </c>
      <c r="D1232" t="s">
        <v>10</v>
      </c>
      <c r="E1232" t="s">
        <v>11</v>
      </c>
      <c r="F1232">
        <v>549.19000000000005</v>
      </c>
      <c r="G1232">
        <v>4</v>
      </c>
      <c r="H1232" t="s">
        <v>15</v>
      </c>
    </row>
    <row r="1233" spans="1:8" x14ac:dyDescent="0.25">
      <c r="A1233" t="s">
        <v>2325</v>
      </c>
      <c r="B1233" t="s">
        <v>2326</v>
      </c>
      <c r="C1233" s="27">
        <v>44866</v>
      </c>
      <c r="D1233" t="s">
        <v>10</v>
      </c>
      <c r="E1233" t="s">
        <v>34</v>
      </c>
      <c r="F1233">
        <v>178.92</v>
      </c>
      <c r="G1233">
        <v>5</v>
      </c>
      <c r="H1233" t="s">
        <v>3377</v>
      </c>
    </row>
    <row r="1234" spans="1:8" x14ac:dyDescent="0.25">
      <c r="A1234" t="s">
        <v>2327</v>
      </c>
      <c r="B1234" t="s">
        <v>2328</v>
      </c>
      <c r="C1234" s="27">
        <v>45892</v>
      </c>
      <c r="D1234" t="s">
        <v>3372</v>
      </c>
      <c r="E1234" t="s">
        <v>34</v>
      </c>
      <c r="G1234">
        <v>6</v>
      </c>
      <c r="H1234" t="s">
        <v>18</v>
      </c>
    </row>
    <row r="1235" spans="1:8" x14ac:dyDescent="0.25">
      <c r="A1235" t="s">
        <v>2329</v>
      </c>
      <c r="B1235" t="s">
        <v>2330</v>
      </c>
      <c r="C1235" s="27">
        <v>45483</v>
      </c>
      <c r="D1235" t="s">
        <v>14</v>
      </c>
      <c r="E1235" t="s">
        <v>3370</v>
      </c>
      <c r="F1235">
        <v>1493.68</v>
      </c>
      <c r="G1235">
        <v>7</v>
      </c>
      <c r="H1235" t="s">
        <v>18</v>
      </c>
    </row>
    <row r="1236" spans="1:8" x14ac:dyDescent="0.25">
      <c r="A1236" t="s">
        <v>2331</v>
      </c>
      <c r="B1236" t="s">
        <v>2332</v>
      </c>
      <c r="C1236" s="27">
        <v>45075</v>
      </c>
      <c r="D1236" t="s">
        <v>21</v>
      </c>
      <c r="E1236" t="s">
        <v>22</v>
      </c>
      <c r="F1236">
        <v>470.86</v>
      </c>
      <c r="G1236">
        <v>6</v>
      </c>
      <c r="H1236" t="s">
        <v>3369</v>
      </c>
    </row>
    <row r="1237" spans="1:8" x14ac:dyDescent="0.25">
      <c r="A1237" t="s">
        <v>2333</v>
      </c>
      <c r="B1237" t="s">
        <v>2334</v>
      </c>
      <c r="C1237" s="27">
        <v>45220</v>
      </c>
      <c r="D1237" t="s">
        <v>14</v>
      </c>
      <c r="E1237" t="s">
        <v>34</v>
      </c>
      <c r="F1237">
        <v>654.89</v>
      </c>
      <c r="G1237">
        <v>3</v>
      </c>
      <c r="H1237" t="s">
        <v>18</v>
      </c>
    </row>
    <row r="1238" spans="1:8" x14ac:dyDescent="0.25">
      <c r="A1238" t="s">
        <v>2335</v>
      </c>
      <c r="B1238" t="s">
        <v>2336</v>
      </c>
      <c r="C1238" s="27">
        <v>45562</v>
      </c>
      <c r="D1238" t="s">
        <v>3372</v>
      </c>
      <c r="E1238" t="s">
        <v>25</v>
      </c>
      <c r="G1238">
        <v>7</v>
      </c>
      <c r="H1238" t="s">
        <v>35</v>
      </c>
    </row>
    <row r="1239" spans="1:8" x14ac:dyDescent="0.25">
      <c r="A1239" t="s">
        <v>2337</v>
      </c>
      <c r="B1239" t="s">
        <v>2338</v>
      </c>
      <c r="C1239" s="27">
        <v>44878</v>
      </c>
      <c r="D1239" t="s">
        <v>21</v>
      </c>
      <c r="E1239" t="s">
        <v>25</v>
      </c>
      <c r="G1239">
        <v>6</v>
      </c>
      <c r="H1239" t="s">
        <v>18</v>
      </c>
    </row>
    <row r="1240" spans="1:8" x14ac:dyDescent="0.25">
      <c r="A1240" t="s">
        <v>2339</v>
      </c>
      <c r="B1240" t="s">
        <v>2340</v>
      </c>
      <c r="C1240" s="27">
        <v>44921</v>
      </c>
      <c r="D1240" t="s">
        <v>3372</v>
      </c>
      <c r="E1240" t="s">
        <v>3371</v>
      </c>
      <c r="G1240">
        <v>1</v>
      </c>
      <c r="H1240" t="s">
        <v>3377</v>
      </c>
    </row>
    <row r="1241" spans="1:8" x14ac:dyDescent="0.25">
      <c r="A1241" t="s">
        <v>2341</v>
      </c>
      <c r="B1241" t="s">
        <v>2342</v>
      </c>
      <c r="C1241" s="27">
        <v>45929</v>
      </c>
      <c r="D1241" t="s">
        <v>21</v>
      </c>
      <c r="E1241" t="s">
        <v>3371</v>
      </c>
      <c r="F1241">
        <v>88.29</v>
      </c>
      <c r="H1241" t="s">
        <v>3377</v>
      </c>
    </row>
    <row r="1242" spans="1:8" x14ac:dyDescent="0.25">
      <c r="A1242" t="s">
        <v>2343</v>
      </c>
      <c r="B1242" t="s">
        <v>2344</v>
      </c>
      <c r="C1242" s="27">
        <v>45951</v>
      </c>
      <c r="D1242" t="s">
        <v>21</v>
      </c>
      <c r="E1242" t="s">
        <v>22</v>
      </c>
      <c r="F1242">
        <v>372.53</v>
      </c>
      <c r="H1242" t="s">
        <v>35</v>
      </c>
    </row>
    <row r="1243" spans="1:8" x14ac:dyDescent="0.25">
      <c r="A1243" t="s">
        <v>2345</v>
      </c>
      <c r="B1243" t="s">
        <v>2346</v>
      </c>
      <c r="C1243" s="27">
        <v>45283</v>
      </c>
      <c r="D1243" t="s">
        <v>3372</v>
      </c>
      <c r="E1243" t="s">
        <v>3370</v>
      </c>
      <c r="F1243">
        <v>716.46</v>
      </c>
      <c r="G1243">
        <v>5</v>
      </c>
      <c r="H1243" t="s">
        <v>18</v>
      </c>
    </row>
    <row r="1244" spans="1:8" x14ac:dyDescent="0.25">
      <c r="A1244" t="s">
        <v>2347</v>
      </c>
      <c r="B1244" t="s">
        <v>2348</v>
      </c>
      <c r="C1244" s="27">
        <v>45514</v>
      </c>
      <c r="D1244" t="s">
        <v>21</v>
      </c>
      <c r="E1244" t="s">
        <v>22</v>
      </c>
      <c r="F1244">
        <v>1142.9000000000001</v>
      </c>
      <c r="G1244">
        <v>9</v>
      </c>
      <c r="H1244" t="s">
        <v>15</v>
      </c>
    </row>
    <row r="1245" spans="1:8" x14ac:dyDescent="0.25">
      <c r="A1245" t="s">
        <v>2349</v>
      </c>
      <c r="B1245" t="s">
        <v>2350</v>
      </c>
      <c r="C1245" s="27">
        <v>45365</v>
      </c>
      <c r="D1245" t="s">
        <v>21</v>
      </c>
      <c r="E1245" t="s">
        <v>34</v>
      </c>
      <c r="F1245">
        <v>115.25</v>
      </c>
      <c r="G1245">
        <v>7</v>
      </c>
      <c r="H1245" t="s">
        <v>3369</v>
      </c>
    </row>
    <row r="1246" spans="1:8" x14ac:dyDescent="0.25">
      <c r="A1246" t="s">
        <v>2351</v>
      </c>
      <c r="B1246" t="s">
        <v>2352</v>
      </c>
      <c r="C1246" s="27">
        <v>45686</v>
      </c>
      <c r="D1246" t="s">
        <v>3372</v>
      </c>
      <c r="E1246" t="s">
        <v>22</v>
      </c>
      <c r="F1246">
        <v>1372.26</v>
      </c>
      <c r="G1246">
        <v>10</v>
      </c>
      <c r="H1246" t="s">
        <v>3377</v>
      </c>
    </row>
    <row r="1247" spans="1:8" x14ac:dyDescent="0.25">
      <c r="A1247" t="s">
        <v>2353</v>
      </c>
      <c r="B1247" t="s">
        <v>2354</v>
      </c>
      <c r="C1247" s="27">
        <v>45717</v>
      </c>
      <c r="D1247" t="s">
        <v>3372</v>
      </c>
      <c r="E1247" t="s">
        <v>25</v>
      </c>
      <c r="F1247">
        <v>156.05000000000001</v>
      </c>
      <c r="G1247">
        <v>1</v>
      </c>
      <c r="H1247" t="s">
        <v>18</v>
      </c>
    </row>
    <row r="1248" spans="1:8" x14ac:dyDescent="0.25">
      <c r="A1248" t="s">
        <v>3435</v>
      </c>
      <c r="B1248" t="s">
        <v>3436</v>
      </c>
      <c r="C1248" s="27">
        <v>45936</v>
      </c>
      <c r="D1248" t="s">
        <v>14</v>
      </c>
      <c r="E1248" t="s">
        <v>25</v>
      </c>
      <c r="F1248">
        <v>1896.37</v>
      </c>
      <c r="G1248">
        <v>6</v>
      </c>
      <c r="H1248" t="s">
        <v>3369</v>
      </c>
    </row>
    <row r="1249" spans="1:8" x14ac:dyDescent="0.25">
      <c r="A1249" t="s">
        <v>2355</v>
      </c>
      <c r="B1249" t="s">
        <v>2356</v>
      </c>
      <c r="C1249" s="27">
        <v>45020</v>
      </c>
      <c r="D1249" t="s">
        <v>3372</v>
      </c>
      <c r="E1249" t="s">
        <v>25</v>
      </c>
      <c r="F1249">
        <v>923.25</v>
      </c>
      <c r="G1249">
        <v>2</v>
      </c>
      <c r="H1249" t="s">
        <v>3377</v>
      </c>
    </row>
    <row r="1250" spans="1:8" x14ac:dyDescent="0.25">
      <c r="A1250" t="s">
        <v>2357</v>
      </c>
      <c r="B1250" t="s">
        <v>2358</v>
      </c>
      <c r="C1250" s="27">
        <v>45538</v>
      </c>
      <c r="D1250" t="s">
        <v>14</v>
      </c>
      <c r="E1250" t="s">
        <v>25</v>
      </c>
      <c r="F1250">
        <v>1895.2</v>
      </c>
      <c r="G1250">
        <v>9</v>
      </c>
      <c r="H1250" t="s">
        <v>35</v>
      </c>
    </row>
    <row r="1251" spans="1:8" x14ac:dyDescent="0.25">
      <c r="A1251" t="s">
        <v>2359</v>
      </c>
      <c r="B1251" t="s">
        <v>2360</v>
      </c>
      <c r="C1251" s="27">
        <v>45278</v>
      </c>
      <c r="D1251" t="s">
        <v>21</v>
      </c>
      <c r="E1251" t="s">
        <v>11</v>
      </c>
      <c r="F1251">
        <v>1387.42</v>
      </c>
      <c r="G1251">
        <v>2</v>
      </c>
      <c r="H1251" t="s">
        <v>3369</v>
      </c>
    </row>
    <row r="1252" spans="1:8" x14ac:dyDescent="0.25">
      <c r="A1252" t="s">
        <v>2361</v>
      </c>
      <c r="B1252" t="s">
        <v>2362</v>
      </c>
      <c r="C1252" s="27">
        <v>45410</v>
      </c>
      <c r="D1252" t="s">
        <v>21</v>
      </c>
      <c r="E1252" t="s">
        <v>34</v>
      </c>
      <c r="F1252">
        <v>1040.29</v>
      </c>
      <c r="G1252">
        <v>5</v>
      </c>
      <c r="H1252" t="s">
        <v>15</v>
      </c>
    </row>
    <row r="1253" spans="1:8" x14ac:dyDescent="0.25">
      <c r="A1253" t="s">
        <v>2363</v>
      </c>
      <c r="B1253" t="s">
        <v>2364</v>
      </c>
      <c r="C1253" s="27">
        <v>45485</v>
      </c>
      <c r="D1253" t="s">
        <v>10</v>
      </c>
      <c r="E1253" t="s">
        <v>3370</v>
      </c>
      <c r="F1253">
        <v>1747.66</v>
      </c>
      <c r="G1253">
        <v>3</v>
      </c>
      <c r="H1253" t="s">
        <v>35</v>
      </c>
    </row>
    <row r="1254" spans="1:8" x14ac:dyDescent="0.25">
      <c r="A1254" t="s">
        <v>2365</v>
      </c>
      <c r="B1254" t="s">
        <v>2366</v>
      </c>
      <c r="C1254" s="27">
        <v>45700</v>
      </c>
      <c r="D1254" t="s">
        <v>14</v>
      </c>
      <c r="E1254" t="s">
        <v>34</v>
      </c>
      <c r="F1254">
        <v>1706.45</v>
      </c>
      <c r="G1254">
        <v>6</v>
      </c>
      <c r="H1254" t="s">
        <v>15</v>
      </c>
    </row>
    <row r="1255" spans="1:8" x14ac:dyDescent="0.25">
      <c r="A1255" t="s">
        <v>2367</v>
      </c>
      <c r="B1255" t="s">
        <v>2368</v>
      </c>
      <c r="C1255" s="27">
        <v>45432</v>
      </c>
      <c r="D1255" t="s">
        <v>21</v>
      </c>
      <c r="E1255" t="s">
        <v>34</v>
      </c>
      <c r="G1255">
        <v>7</v>
      </c>
      <c r="H1255" t="s">
        <v>15</v>
      </c>
    </row>
    <row r="1256" spans="1:8" x14ac:dyDescent="0.25">
      <c r="A1256" t="s">
        <v>2369</v>
      </c>
      <c r="B1256" t="s">
        <v>2131</v>
      </c>
      <c r="C1256" s="27">
        <v>45447</v>
      </c>
      <c r="D1256" t="s">
        <v>3372</v>
      </c>
      <c r="E1256" t="s">
        <v>3370</v>
      </c>
      <c r="F1256">
        <v>411.9</v>
      </c>
      <c r="G1256">
        <v>1</v>
      </c>
      <c r="H1256" t="s">
        <v>3369</v>
      </c>
    </row>
    <row r="1257" spans="1:8" x14ac:dyDescent="0.25">
      <c r="A1257" t="s">
        <v>2370</v>
      </c>
      <c r="B1257" t="s">
        <v>2371</v>
      </c>
      <c r="C1257" s="27">
        <v>45854</v>
      </c>
      <c r="D1257" t="s">
        <v>3372</v>
      </c>
      <c r="E1257" t="s">
        <v>3370</v>
      </c>
      <c r="F1257">
        <v>1968.9</v>
      </c>
      <c r="H1257" t="s">
        <v>3377</v>
      </c>
    </row>
    <row r="1258" spans="1:8" x14ac:dyDescent="0.25">
      <c r="A1258" t="s">
        <v>2372</v>
      </c>
      <c r="B1258" t="s">
        <v>2373</v>
      </c>
      <c r="C1258" s="27">
        <v>45259</v>
      </c>
      <c r="D1258" t="s">
        <v>3372</v>
      </c>
      <c r="E1258" t="s">
        <v>22</v>
      </c>
      <c r="F1258">
        <v>1098.71</v>
      </c>
      <c r="G1258">
        <v>9</v>
      </c>
      <c r="H1258" t="s">
        <v>18</v>
      </c>
    </row>
    <row r="1259" spans="1:8" x14ac:dyDescent="0.25">
      <c r="A1259" t="s">
        <v>2374</v>
      </c>
      <c r="B1259" t="s">
        <v>2375</v>
      </c>
      <c r="C1259" s="27">
        <v>45179</v>
      </c>
      <c r="D1259" t="s">
        <v>21</v>
      </c>
      <c r="E1259" t="s">
        <v>3371</v>
      </c>
      <c r="F1259">
        <v>461.21</v>
      </c>
      <c r="G1259">
        <v>9</v>
      </c>
      <c r="H1259" t="s">
        <v>3369</v>
      </c>
    </row>
    <row r="1260" spans="1:8" x14ac:dyDescent="0.25">
      <c r="A1260" t="s">
        <v>2376</v>
      </c>
      <c r="B1260" t="s">
        <v>2377</v>
      </c>
      <c r="C1260" s="27">
        <v>45065</v>
      </c>
      <c r="D1260" t="s">
        <v>3372</v>
      </c>
      <c r="E1260" t="s">
        <v>3371</v>
      </c>
      <c r="F1260">
        <v>1529.65</v>
      </c>
      <c r="G1260">
        <v>8</v>
      </c>
      <c r="H1260" t="s">
        <v>35</v>
      </c>
    </row>
    <row r="1261" spans="1:8" x14ac:dyDescent="0.25">
      <c r="A1261" t="s">
        <v>2378</v>
      </c>
      <c r="B1261" t="s">
        <v>2379</v>
      </c>
      <c r="C1261" s="27">
        <v>45478</v>
      </c>
      <c r="D1261" t="s">
        <v>3372</v>
      </c>
      <c r="E1261" t="s">
        <v>22</v>
      </c>
      <c r="F1261">
        <v>1994.81</v>
      </c>
      <c r="G1261">
        <v>7</v>
      </c>
      <c r="H1261" t="s">
        <v>3369</v>
      </c>
    </row>
    <row r="1262" spans="1:8" x14ac:dyDescent="0.25">
      <c r="A1262" t="s">
        <v>2380</v>
      </c>
      <c r="B1262" t="s">
        <v>2381</v>
      </c>
      <c r="C1262" s="27">
        <v>45426</v>
      </c>
      <c r="D1262" t="s">
        <v>14</v>
      </c>
      <c r="E1262" t="s">
        <v>34</v>
      </c>
      <c r="F1262">
        <v>1516.06</v>
      </c>
      <c r="G1262">
        <v>10</v>
      </c>
      <c r="H1262" t="s">
        <v>18</v>
      </c>
    </row>
    <row r="1263" spans="1:8" x14ac:dyDescent="0.25">
      <c r="A1263" t="s">
        <v>3419</v>
      </c>
      <c r="B1263" t="s">
        <v>3420</v>
      </c>
      <c r="C1263" s="27">
        <v>45149</v>
      </c>
      <c r="D1263" t="s">
        <v>10</v>
      </c>
      <c r="E1263" t="s">
        <v>34</v>
      </c>
      <c r="G1263">
        <v>2</v>
      </c>
      <c r="H1263" t="s">
        <v>15</v>
      </c>
    </row>
    <row r="1264" spans="1:8" x14ac:dyDescent="0.25">
      <c r="A1264" t="s">
        <v>2382</v>
      </c>
      <c r="B1264" t="s">
        <v>2296</v>
      </c>
      <c r="C1264" s="27">
        <v>45655</v>
      </c>
      <c r="D1264" t="s">
        <v>3372</v>
      </c>
      <c r="E1264" t="s">
        <v>25</v>
      </c>
      <c r="F1264">
        <v>718.52</v>
      </c>
      <c r="G1264">
        <v>4</v>
      </c>
      <c r="H1264" t="s">
        <v>18</v>
      </c>
    </row>
    <row r="1265" spans="1:8" x14ac:dyDescent="0.25">
      <c r="A1265" t="s">
        <v>2383</v>
      </c>
      <c r="B1265" t="s">
        <v>2384</v>
      </c>
      <c r="C1265" s="27">
        <v>45357</v>
      </c>
      <c r="D1265" t="s">
        <v>10</v>
      </c>
      <c r="E1265" t="s">
        <v>34</v>
      </c>
      <c r="F1265">
        <v>1784.52</v>
      </c>
      <c r="H1265" t="s">
        <v>15</v>
      </c>
    </row>
    <row r="1266" spans="1:8" x14ac:dyDescent="0.25">
      <c r="A1266" t="s">
        <v>2385</v>
      </c>
      <c r="B1266" t="s">
        <v>2386</v>
      </c>
      <c r="C1266" s="27">
        <v>45025</v>
      </c>
      <c r="D1266" t="s">
        <v>21</v>
      </c>
      <c r="E1266" t="s">
        <v>34</v>
      </c>
      <c r="F1266">
        <v>1306.51</v>
      </c>
      <c r="G1266">
        <v>10</v>
      </c>
      <c r="H1266" t="s">
        <v>18</v>
      </c>
    </row>
    <row r="1267" spans="1:8" x14ac:dyDescent="0.25">
      <c r="A1267" t="s">
        <v>2387</v>
      </c>
      <c r="B1267" t="s">
        <v>2388</v>
      </c>
      <c r="C1267" s="27">
        <v>45623</v>
      </c>
      <c r="D1267" t="s">
        <v>3372</v>
      </c>
      <c r="E1267" t="s">
        <v>3371</v>
      </c>
      <c r="F1267">
        <v>490.77</v>
      </c>
      <c r="G1267">
        <v>6</v>
      </c>
      <c r="H1267" t="s">
        <v>3377</v>
      </c>
    </row>
    <row r="1268" spans="1:8" x14ac:dyDescent="0.25">
      <c r="A1268" t="s">
        <v>2389</v>
      </c>
      <c r="B1268" t="s">
        <v>1873</v>
      </c>
      <c r="C1268" s="27">
        <v>45763</v>
      </c>
      <c r="D1268" t="s">
        <v>3372</v>
      </c>
      <c r="E1268" t="s">
        <v>3370</v>
      </c>
      <c r="F1268">
        <v>278.77999999999997</v>
      </c>
      <c r="G1268">
        <v>3</v>
      </c>
      <c r="H1268" t="s">
        <v>3369</v>
      </c>
    </row>
    <row r="1269" spans="1:8" x14ac:dyDescent="0.25">
      <c r="A1269" t="s">
        <v>2390</v>
      </c>
      <c r="B1269" t="s">
        <v>479</v>
      </c>
      <c r="C1269" s="27">
        <v>45489</v>
      </c>
      <c r="D1269" t="s">
        <v>3372</v>
      </c>
      <c r="E1269" t="s">
        <v>34</v>
      </c>
      <c r="F1269">
        <v>1848.18</v>
      </c>
      <c r="G1269">
        <v>10</v>
      </c>
      <c r="H1269" t="s">
        <v>3369</v>
      </c>
    </row>
    <row r="1270" spans="1:8" x14ac:dyDescent="0.25">
      <c r="A1270" t="s">
        <v>2391</v>
      </c>
      <c r="B1270" t="s">
        <v>2392</v>
      </c>
      <c r="C1270" s="27">
        <v>45405</v>
      </c>
      <c r="D1270" t="s">
        <v>21</v>
      </c>
      <c r="E1270" t="s">
        <v>3370</v>
      </c>
      <c r="F1270">
        <v>1247.99</v>
      </c>
      <c r="G1270">
        <v>2</v>
      </c>
      <c r="H1270" t="s">
        <v>3377</v>
      </c>
    </row>
    <row r="1271" spans="1:8" x14ac:dyDescent="0.25">
      <c r="A1271" t="s">
        <v>2393</v>
      </c>
      <c r="B1271" t="s">
        <v>437</v>
      </c>
      <c r="C1271" s="27">
        <v>45137</v>
      </c>
      <c r="D1271" t="s">
        <v>10</v>
      </c>
      <c r="E1271" t="s">
        <v>3370</v>
      </c>
      <c r="G1271">
        <v>3</v>
      </c>
      <c r="H1271" t="s">
        <v>3377</v>
      </c>
    </row>
    <row r="1272" spans="1:8" x14ac:dyDescent="0.25">
      <c r="A1272" t="s">
        <v>2394</v>
      </c>
      <c r="B1272" t="s">
        <v>2395</v>
      </c>
      <c r="C1272" s="27">
        <v>45925</v>
      </c>
      <c r="D1272" t="s">
        <v>3372</v>
      </c>
      <c r="E1272" t="s">
        <v>3371</v>
      </c>
      <c r="F1272">
        <v>1320.76</v>
      </c>
      <c r="G1272">
        <v>5</v>
      </c>
      <c r="H1272" t="s">
        <v>15</v>
      </c>
    </row>
    <row r="1273" spans="1:8" x14ac:dyDescent="0.25">
      <c r="A1273" t="s">
        <v>2396</v>
      </c>
      <c r="B1273" t="s">
        <v>2397</v>
      </c>
      <c r="C1273" s="27">
        <v>45819</v>
      </c>
      <c r="D1273" t="s">
        <v>14</v>
      </c>
      <c r="E1273" t="s">
        <v>25</v>
      </c>
      <c r="F1273">
        <v>680.47</v>
      </c>
      <c r="G1273">
        <v>3</v>
      </c>
      <c r="H1273" t="s">
        <v>35</v>
      </c>
    </row>
    <row r="1274" spans="1:8" x14ac:dyDescent="0.25">
      <c r="A1274" t="s">
        <v>2398</v>
      </c>
      <c r="B1274" t="s">
        <v>2399</v>
      </c>
      <c r="C1274" s="27">
        <v>45480</v>
      </c>
      <c r="D1274" t="s">
        <v>21</v>
      </c>
      <c r="E1274" t="s">
        <v>25</v>
      </c>
      <c r="F1274">
        <v>1682.89</v>
      </c>
      <c r="G1274">
        <v>4</v>
      </c>
      <c r="H1274" t="s">
        <v>3377</v>
      </c>
    </row>
    <row r="1275" spans="1:8" x14ac:dyDescent="0.25">
      <c r="A1275" t="s">
        <v>2400</v>
      </c>
      <c r="B1275" t="s">
        <v>1118</v>
      </c>
      <c r="C1275" s="27">
        <v>45296</v>
      </c>
      <c r="D1275" t="s">
        <v>10</v>
      </c>
      <c r="E1275" t="s">
        <v>22</v>
      </c>
      <c r="F1275">
        <v>1790.48</v>
      </c>
      <c r="G1275">
        <v>10</v>
      </c>
      <c r="H1275" t="s">
        <v>18</v>
      </c>
    </row>
    <row r="1276" spans="1:8" x14ac:dyDescent="0.25">
      <c r="A1276" t="s">
        <v>2401</v>
      </c>
      <c r="B1276" t="s">
        <v>1864</v>
      </c>
      <c r="C1276" s="27">
        <v>45635</v>
      </c>
      <c r="D1276" t="s">
        <v>14</v>
      </c>
      <c r="E1276" t="s">
        <v>34</v>
      </c>
      <c r="F1276">
        <v>1690.55</v>
      </c>
      <c r="G1276">
        <v>5</v>
      </c>
      <c r="H1276" t="s">
        <v>3377</v>
      </c>
    </row>
    <row r="1277" spans="1:8" x14ac:dyDescent="0.25">
      <c r="A1277" t="s">
        <v>2402</v>
      </c>
      <c r="B1277" t="s">
        <v>2403</v>
      </c>
      <c r="C1277" s="27">
        <v>45174</v>
      </c>
      <c r="D1277" t="s">
        <v>14</v>
      </c>
      <c r="E1277" t="s">
        <v>11</v>
      </c>
      <c r="F1277">
        <v>1810.26</v>
      </c>
      <c r="G1277">
        <v>2</v>
      </c>
      <c r="H1277" t="s">
        <v>3369</v>
      </c>
    </row>
    <row r="1278" spans="1:8" x14ac:dyDescent="0.25">
      <c r="A1278" t="s">
        <v>3386</v>
      </c>
      <c r="B1278" t="s">
        <v>391</v>
      </c>
      <c r="C1278" s="27">
        <v>45296</v>
      </c>
      <c r="D1278" t="s">
        <v>10</v>
      </c>
      <c r="E1278" t="s">
        <v>3371</v>
      </c>
      <c r="F1278">
        <v>889.6</v>
      </c>
      <c r="G1278">
        <v>1</v>
      </c>
      <c r="H1278" t="s">
        <v>35</v>
      </c>
    </row>
    <row r="1279" spans="1:8" x14ac:dyDescent="0.25">
      <c r="A1279" t="s">
        <v>2404</v>
      </c>
      <c r="B1279" t="s">
        <v>277</v>
      </c>
      <c r="C1279" s="27">
        <v>45205</v>
      </c>
      <c r="D1279" t="s">
        <v>3372</v>
      </c>
      <c r="E1279" t="s">
        <v>25</v>
      </c>
      <c r="F1279">
        <v>462.03</v>
      </c>
      <c r="G1279">
        <v>3</v>
      </c>
      <c r="H1279" t="s">
        <v>3377</v>
      </c>
    </row>
    <row r="1280" spans="1:8" x14ac:dyDescent="0.25">
      <c r="A1280" t="s">
        <v>2405</v>
      </c>
      <c r="B1280" t="s">
        <v>2406</v>
      </c>
      <c r="C1280" s="27">
        <v>45175</v>
      </c>
      <c r="D1280" t="s">
        <v>3372</v>
      </c>
      <c r="E1280" t="s">
        <v>3370</v>
      </c>
      <c r="F1280">
        <v>738.07</v>
      </c>
      <c r="G1280">
        <v>5</v>
      </c>
      <c r="H1280" t="s">
        <v>3369</v>
      </c>
    </row>
    <row r="1281" spans="1:8" x14ac:dyDescent="0.25">
      <c r="A1281" t="s">
        <v>2407</v>
      </c>
      <c r="B1281" t="s">
        <v>2408</v>
      </c>
      <c r="C1281" s="27">
        <v>45516</v>
      </c>
      <c r="D1281" t="s">
        <v>3372</v>
      </c>
      <c r="E1281" t="s">
        <v>34</v>
      </c>
      <c r="F1281">
        <v>252.05</v>
      </c>
      <c r="G1281">
        <v>2</v>
      </c>
      <c r="H1281" t="s">
        <v>15</v>
      </c>
    </row>
    <row r="1282" spans="1:8" x14ac:dyDescent="0.25">
      <c r="A1282" t="s">
        <v>2409</v>
      </c>
      <c r="B1282" t="s">
        <v>2410</v>
      </c>
      <c r="C1282" s="27">
        <v>45668</v>
      </c>
      <c r="D1282" t="s">
        <v>21</v>
      </c>
      <c r="E1282" t="s">
        <v>25</v>
      </c>
      <c r="F1282">
        <v>129.37</v>
      </c>
      <c r="G1282">
        <v>4</v>
      </c>
      <c r="H1282" t="s">
        <v>35</v>
      </c>
    </row>
    <row r="1283" spans="1:8" x14ac:dyDescent="0.25">
      <c r="A1283" t="s">
        <v>2411</v>
      </c>
      <c r="B1283" t="s">
        <v>2412</v>
      </c>
      <c r="C1283" s="27">
        <v>45848</v>
      </c>
      <c r="D1283" t="s">
        <v>14</v>
      </c>
      <c r="E1283" t="s">
        <v>25</v>
      </c>
      <c r="F1283">
        <v>1785.38</v>
      </c>
      <c r="G1283">
        <v>7</v>
      </c>
      <c r="H1283" t="s">
        <v>3377</v>
      </c>
    </row>
    <row r="1284" spans="1:8" x14ac:dyDescent="0.25">
      <c r="A1284" t="s">
        <v>2413</v>
      </c>
      <c r="B1284" t="s">
        <v>2414</v>
      </c>
      <c r="C1284" s="27">
        <v>45542</v>
      </c>
      <c r="D1284" t="s">
        <v>14</v>
      </c>
      <c r="E1284" t="s">
        <v>11</v>
      </c>
      <c r="F1284">
        <v>1080.3599999999999</v>
      </c>
      <c r="G1284">
        <v>7</v>
      </c>
      <c r="H1284" t="s">
        <v>3369</v>
      </c>
    </row>
    <row r="1285" spans="1:8" x14ac:dyDescent="0.25">
      <c r="A1285" t="s">
        <v>3437</v>
      </c>
      <c r="B1285" t="s">
        <v>610</v>
      </c>
      <c r="C1285" s="27">
        <v>45904</v>
      </c>
      <c r="D1285" t="s">
        <v>3372</v>
      </c>
      <c r="E1285" t="s">
        <v>3371</v>
      </c>
      <c r="G1285">
        <v>6</v>
      </c>
      <c r="H1285" t="s">
        <v>3377</v>
      </c>
    </row>
    <row r="1286" spans="1:8" x14ac:dyDescent="0.25">
      <c r="A1286" t="s">
        <v>2415</v>
      </c>
      <c r="B1286" t="s">
        <v>2416</v>
      </c>
      <c r="C1286" s="27">
        <v>45797</v>
      </c>
      <c r="D1286" t="s">
        <v>14</v>
      </c>
      <c r="E1286" t="s">
        <v>11</v>
      </c>
      <c r="F1286">
        <v>1898.99</v>
      </c>
      <c r="G1286">
        <v>3</v>
      </c>
      <c r="H1286" t="s">
        <v>3377</v>
      </c>
    </row>
    <row r="1287" spans="1:8" x14ac:dyDescent="0.25">
      <c r="A1287" t="s">
        <v>2417</v>
      </c>
      <c r="B1287" t="s">
        <v>2418</v>
      </c>
      <c r="C1287" s="27">
        <v>45633</v>
      </c>
      <c r="D1287" t="s">
        <v>3372</v>
      </c>
      <c r="E1287" t="s">
        <v>11</v>
      </c>
      <c r="F1287">
        <v>1277.82</v>
      </c>
      <c r="G1287">
        <v>7</v>
      </c>
      <c r="H1287" t="s">
        <v>15</v>
      </c>
    </row>
    <row r="1288" spans="1:8" x14ac:dyDescent="0.25">
      <c r="A1288" t="s">
        <v>2419</v>
      </c>
      <c r="B1288" t="s">
        <v>2420</v>
      </c>
      <c r="C1288" s="27">
        <v>45930</v>
      </c>
      <c r="D1288" t="s">
        <v>21</v>
      </c>
      <c r="E1288" t="s">
        <v>11</v>
      </c>
      <c r="G1288">
        <v>9</v>
      </c>
      <c r="H1288" t="s">
        <v>35</v>
      </c>
    </row>
    <row r="1289" spans="1:8" x14ac:dyDescent="0.25">
      <c r="A1289" t="s">
        <v>2421</v>
      </c>
      <c r="B1289" t="s">
        <v>2422</v>
      </c>
      <c r="C1289" s="27">
        <v>45637</v>
      </c>
      <c r="D1289" t="s">
        <v>14</v>
      </c>
      <c r="E1289" t="s">
        <v>3371</v>
      </c>
      <c r="G1289">
        <v>9</v>
      </c>
      <c r="H1289" t="s">
        <v>3369</v>
      </c>
    </row>
    <row r="1290" spans="1:8" x14ac:dyDescent="0.25">
      <c r="A1290" t="s">
        <v>2423</v>
      </c>
      <c r="B1290" t="s">
        <v>2424</v>
      </c>
      <c r="C1290" s="27">
        <v>45094</v>
      </c>
      <c r="D1290" t="s">
        <v>14</v>
      </c>
      <c r="E1290" t="s">
        <v>11</v>
      </c>
      <c r="F1290">
        <v>713.01</v>
      </c>
      <c r="G1290">
        <v>5</v>
      </c>
      <c r="H1290" t="s">
        <v>3369</v>
      </c>
    </row>
    <row r="1291" spans="1:8" x14ac:dyDescent="0.25">
      <c r="A1291" t="s">
        <v>2425</v>
      </c>
      <c r="B1291" t="s">
        <v>2426</v>
      </c>
      <c r="C1291" s="27">
        <v>45133</v>
      </c>
      <c r="D1291" t="s">
        <v>14</v>
      </c>
      <c r="E1291" t="s">
        <v>3371</v>
      </c>
      <c r="F1291">
        <v>1275.18</v>
      </c>
      <c r="G1291">
        <v>8</v>
      </c>
      <c r="H1291" t="s">
        <v>15</v>
      </c>
    </row>
    <row r="1292" spans="1:8" x14ac:dyDescent="0.25">
      <c r="A1292" t="s">
        <v>3438</v>
      </c>
      <c r="B1292" t="s">
        <v>3439</v>
      </c>
      <c r="C1292" s="27">
        <v>45369</v>
      </c>
      <c r="D1292" t="s">
        <v>10</v>
      </c>
      <c r="E1292" t="s">
        <v>3371</v>
      </c>
      <c r="H1292" t="s">
        <v>3369</v>
      </c>
    </row>
    <row r="1293" spans="1:8" x14ac:dyDescent="0.25">
      <c r="A1293" t="s">
        <v>2427</v>
      </c>
      <c r="B1293" t="s">
        <v>2428</v>
      </c>
      <c r="C1293" s="27">
        <v>45132</v>
      </c>
      <c r="D1293" t="s">
        <v>10</v>
      </c>
      <c r="E1293" t="s">
        <v>34</v>
      </c>
      <c r="F1293">
        <v>1281.1500000000001</v>
      </c>
      <c r="G1293">
        <v>6</v>
      </c>
      <c r="H1293" t="s">
        <v>18</v>
      </c>
    </row>
    <row r="1294" spans="1:8" x14ac:dyDescent="0.25">
      <c r="A1294" t="s">
        <v>2429</v>
      </c>
      <c r="B1294" t="s">
        <v>2430</v>
      </c>
      <c r="C1294" s="27">
        <v>45583</v>
      </c>
      <c r="D1294" t="s">
        <v>3372</v>
      </c>
      <c r="E1294" t="s">
        <v>25</v>
      </c>
      <c r="F1294">
        <v>1790.01</v>
      </c>
      <c r="G1294">
        <v>8</v>
      </c>
      <c r="H1294" t="s">
        <v>15</v>
      </c>
    </row>
    <row r="1295" spans="1:8" x14ac:dyDescent="0.25">
      <c r="A1295" t="s">
        <v>2431</v>
      </c>
      <c r="B1295" t="s">
        <v>2432</v>
      </c>
      <c r="C1295" s="27">
        <v>45483</v>
      </c>
      <c r="D1295" t="s">
        <v>14</v>
      </c>
      <c r="E1295" t="s">
        <v>11</v>
      </c>
      <c r="F1295">
        <v>463.69</v>
      </c>
      <c r="G1295">
        <v>8</v>
      </c>
      <c r="H1295" t="s">
        <v>3369</v>
      </c>
    </row>
    <row r="1296" spans="1:8" x14ac:dyDescent="0.25">
      <c r="A1296" t="s">
        <v>2433</v>
      </c>
      <c r="B1296" t="s">
        <v>2434</v>
      </c>
      <c r="C1296" s="27">
        <v>45132</v>
      </c>
      <c r="D1296" t="s">
        <v>14</v>
      </c>
      <c r="E1296" t="s">
        <v>11</v>
      </c>
      <c r="F1296">
        <v>1363.91</v>
      </c>
      <c r="G1296">
        <v>9</v>
      </c>
      <c r="H1296" t="s">
        <v>15</v>
      </c>
    </row>
    <row r="1297" spans="1:8" x14ac:dyDescent="0.25">
      <c r="A1297" t="s">
        <v>2435</v>
      </c>
      <c r="B1297" t="s">
        <v>2436</v>
      </c>
      <c r="C1297" s="27">
        <v>45563</v>
      </c>
      <c r="D1297" t="s">
        <v>21</v>
      </c>
      <c r="E1297" t="s">
        <v>3371</v>
      </c>
      <c r="F1297">
        <v>1781.9</v>
      </c>
      <c r="G1297">
        <v>10</v>
      </c>
      <c r="H1297" t="s">
        <v>3369</v>
      </c>
    </row>
    <row r="1298" spans="1:8" x14ac:dyDescent="0.25">
      <c r="A1298" t="s">
        <v>2437</v>
      </c>
      <c r="B1298" t="s">
        <v>2438</v>
      </c>
      <c r="C1298" s="27">
        <v>45602</v>
      </c>
      <c r="D1298" t="s">
        <v>10</v>
      </c>
      <c r="E1298" t="s">
        <v>34</v>
      </c>
      <c r="F1298">
        <v>908.66</v>
      </c>
      <c r="G1298">
        <v>4</v>
      </c>
      <c r="H1298" t="s">
        <v>15</v>
      </c>
    </row>
    <row r="1299" spans="1:8" x14ac:dyDescent="0.25">
      <c r="A1299" t="s">
        <v>2439</v>
      </c>
      <c r="B1299" t="s">
        <v>2440</v>
      </c>
      <c r="C1299" s="27">
        <v>45605</v>
      </c>
      <c r="D1299" t="s">
        <v>3372</v>
      </c>
      <c r="E1299" t="s">
        <v>25</v>
      </c>
      <c r="F1299">
        <v>805.97</v>
      </c>
      <c r="G1299">
        <v>9</v>
      </c>
      <c r="H1299" t="s">
        <v>3369</v>
      </c>
    </row>
    <row r="1300" spans="1:8" x14ac:dyDescent="0.25">
      <c r="A1300" t="s">
        <v>2441</v>
      </c>
      <c r="B1300" t="s">
        <v>2442</v>
      </c>
      <c r="C1300" s="27">
        <v>44926</v>
      </c>
      <c r="D1300" t="s">
        <v>10</v>
      </c>
      <c r="E1300" t="s">
        <v>25</v>
      </c>
      <c r="G1300">
        <v>2</v>
      </c>
      <c r="H1300" t="s">
        <v>35</v>
      </c>
    </row>
    <row r="1301" spans="1:8" x14ac:dyDescent="0.25">
      <c r="A1301" t="s">
        <v>2443</v>
      </c>
      <c r="B1301" t="s">
        <v>1418</v>
      </c>
      <c r="C1301" s="27">
        <v>45299</v>
      </c>
      <c r="D1301" t="s">
        <v>10</v>
      </c>
      <c r="E1301" t="s">
        <v>3370</v>
      </c>
      <c r="F1301">
        <v>625.35</v>
      </c>
      <c r="G1301">
        <v>7</v>
      </c>
      <c r="H1301" t="s">
        <v>3369</v>
      </c>
    </row>
    <row r="1302" spans="1:8" x14ac:dyDescent="0.25">
      <c r="A1302" t="s">
        <v>2444</v>
      </c>
      <c r="B1302" t="s">
        <v>2445</v>
      </c>
      <c r="C1302" s="27">
        <v>45021</v>
      </c>
      <c r="D1302" t="s">
        <v>10</v>
      </c>
      <c r="E1302" t="s">
        <v>22</v>
      </c>
      <c r="F1302">
        <v>1858.71</v>
      </c>
      <c r="G1302">
        <v>1</v>
      </c>
      <c r="H1302" t="s">
        <v>3377</v>
      </c>
    </row>
    <row r="1303" spans="1:8" x14ac:dyDescent="0.25">
      <c r="A1303" t="s">
        <v>2446</v>
      </c>
      <c r="B1303" t="s">
        <v>2447</v>
      </c>
      <c r="C1303" s="27">
        <v>45316</v>
      </c>
      <c r="D1303" t="s">
        <v>10</v>
      </c>
      <c r="E1303" t="s">
        <v>25</v>
      </c>
      <c r="F1303">
        <v>1102.9000000000001</v>
      </c>
      <c r="H1303" t="s">
        <v>3377</v>
      </c>
    </row>
    <row r="1304" spans="1:8" x14ac:dyDescent="0.25">
      <c r="A1304" t="s">
        <v>2448</v>
      </c>
      <c r="B1304" t="s">
        <v>2449</v>
      </c>
      <c r="C1304" s="27">
        <v>45838</v>
      </c>
      <c r="D1304" t="s">
        <v>3372</v>
      </c>
      <c r="E1304" t="s">
        <v>34</v>
      </c>
      <c r="F1304">
        <v>956.51</v>
      </c>
      <c r="G1304">
        <v>8</v>
      </c>
      <c r="H1304" t="s">
        <v>18</v>
      </c>
    </row>
    <row r="1305" spans="1:8" x14ac:dyDescent="0.25">
      <c r="A1305" t="s">
        <v>2450</v>
      </c>
      <c r="B1305" t="s">
        <v>2451</v>
      </c>
      <c r="C1305" s="27">
        <v>45377</v>
      </c>
      <c r="D1305" t="s">
        <v>3372</v>
      </c>
      <c r="E1305" t="s">
        <v>3371</v>
      </c>
      <c r="F1305">
        <v>395.67</v>
      </c>
      <c r="G1305">
        <v>1</v>
      </c>
      <c r="H1305" t="s">
        <v>3377</v>
      </c>
    </row>
    <row r="1306" spans="1:8" x14ac:dyDescent="0.25">
      <c r="A1306" t="s">
        <v>2452</v>
      </c>
      <c r="B1306" t="s">
        <v>1871</v>
      </c>
      <c r="C1306" s="27">
        <v>44862</v>
      </c>
      <c r="D1306" t="s">
        <v>14</v>
      </c>
      <c r="E1306" t="s">
        <v>3371</v>
      </c>
      <c r="F1306">
        <v>319.14</v>
      </c>
      <c r="G1306">
        <v>2</v>
      </c>
      <c r="H1306" t="s">
        <v>15</v>
      </c>
    </row>
    <row r="1307" spans="1:8" x14ac:dyDescent="0.25">
      <c r="A1307" t="s">
        <v>2453</v>
      </c>
      <c r="B1307" t="s">
        <v>1202</v>
      </c>
      <c r="C1307" s="27">
        <v>45202</v>
      </c>
      <c r="D1307" t="s">
        <v>14</v>
      </c>
      <c r="E1307" t="s">
        <v>22</v>
      </c>
      <c r="F1307">
        <v>1126.1199999999999</v>
      </c>
      <c r="G1307">
        <v>10</v>
      </c>
      <c r="H1307" t="s">
        <v>15</v>
      </c>
    </row>
    <row r="1308" spans="1:8" x14ac:dyDescent="0.25">
      <c r="A1308" t="s">
        <v>2454</v>
      </c>
      <c r="B1308" t="s">
        <v>2455</v>
      </c>
      <c r="C1308" s="27">
        <v>45492</v>
      </c>
      <c r="D1308" t="s">
        <v>14</v>
      </c>
      <c r="E1308" t="s">
        <v>3371</v>
      </c>
      <c r="G1308">
        <v>3</v>
      </c>
      <c r="H1308" t="s">
        <v>15</v>
      </c>
    </row>
    <row r="1309" spans="1:8" x14ac:dyDescent="0.25">
      <c r="A1309" t="s">
        <v>2456</v>
      </c>
      <c r="B1309" t="s">
        <v>2457</v>
      </c>
      <c r="C1309" s="27">
        <v>45381</v>
      </c>
      <c r="D1309" t="s">
        <v>10</v>
      </c>
      <c r="E1309" t="s">
        <v>25</v>
      </c>
      <c r="G1309">
        <v>5</v>
      </c>
      <c r="H1309" t="s">
        <v>15</v>
      </c>
    </row>
    <row r="1310" spans="1:8" x14ac:dyDescent="0.25">
      <c r="A1310" t="s">
        <v>2458</v>
      </c>
      <c r="B1310" t="s">
        <v>2459</v>
      </c>
      <c r="C1310" s="27">
        <v>45004</v>
      </c>
      <c r="D1310" t="s">
        <v>14</v>
      </c>
      <c r="E1310" t="s">
        <v>22</v>
      </c>
      <c r="F1310">
        <v>1859.31</v>
      </c>
      <c r="G1310">
        <v>2</v>
      </c>
      <c r="H1310" t="s">
        <v>3377</v>
      </c>
    </row>
    <row r="1311" spans="1:8" x14ac:dyDescent="0.25">
      <c r="A1311" t="s">
        <v>2460</v>
      </c>
      <c r="B1311" t="s">
        <v>2461</v>
      </c>
      <c r="C1311" s="27">
        <v>45247</v>
      </c>
      <c r="D1311" t="s">
        <v>21</v>
      </c>
      <c r="E1311" t="s">
        <v>3370</v>
      </c>
      <c r="F1311">
        <v>514.09</v>
      </c>
      <c r="G1311">
        <v>8</v>
      </c>
      <c r="H1311" t="s">
        <v>3369</v>
      </c>
    </row>
    <row r="1312" spans="1:8" x14ac:dyDescent="0.25">
      <c r="A1312" t="s">
        <v>2462</v>
      </c>
      <c r="B1312" t="s">
        <v>2463</v>
      </c>
      <c r="C1312" s="27">
        <v>45821</v>
      </c>
      <c r="D1312" t="s">
        <v>21</v>
      </c>
      <c r="E1312" t="s">
        <v>11</v>
      </c>
      <c r="F1312">
        <v>1397.24</v>
      </c>
      <c r="G1312">
        <v>5</v>
      </c>
      <c r="H1312" t="s">
        <v>35</v>
      </c>
    </row>
    <row r="1313" spans="1:8" x14ac:dyDescent="0.25">
      <c r="A1313" t="s">
        <v>2464</v>
      </c>
      <c r="B1313" t="s">
        <v>1496</v>
      </c>
      <c r="C1313" s="27">
        <v>44917</v>
      </c>
      <c r="D1313" t="s">
        <v>14</v>
      </c>
      <c r="E1313" t="s">
        <v>34</v>
      </c>
      <c r="G1313">
        <v>5</v>
      </c>
      <c r="H1313" t="s">
        <v>15</v>
      </c>
    </row>
    <row r="1314" spans="1:8" x14ac:dyDescent="0.25">
      <c r="A1314" t="s">
        <v>2465</v>
      </c>
      <c r="B1314" t="s">
        <v>2466</v>
      </c>
      <c r="C1314" s="27">
        <v>45217</v>
      </c>
      <c r="D1314" t="s">
        <v>3372</v>
      </c>
      <c r="E1314" t="s">
        <v>34</v>
      </c>
      <c r="F1314">
        <v>126.32</v>
      </c>
      <c r="G1314">
        <v>1</v>
      </c>
      <c r="H1314" t="s">
        <v>35</v>
      </c>
    </row>
    <row r="1315" spans="1:8" x14ac:dyDescent="0.25">
      <c r="A1315" t="s">
        <v>2467</v>
      </c>
      <c r="B1315" t="s">
        <v>2468</v>
      </c>
      <c r="C1315" s="27">
        <v>45401</v>
      </c>
      <c r="D1315" t="s">
        <v>10</v>
      </c>
      <c r="E1315" t="s">
        <v>3370</v>
      </c>
      <c r="F1315">
        <v>1818.95</v>
      </c>
      <c r="G1315">
        <v>1</v>
      </c>
      <c r="H1315" t="s">
        <v>15</v>
      </c>
    </row>
    <row r="1316" spans="1:8" x14ac:dyDescent="0.25">
      <c r="A1316" t="s">
        <v>2469</v>
      </c>
      <c r="B1316" t="s">
        <v>2470</v>
      </c>
      <c r="C1316" s="27">
        <v>45628</v>
      </c>
      <c r="D1316" t="s">
        <v>14</v>
      </c>
      <c r="E1316" t="s">
        <v>25</v>
      </c>
      <c r="F1316">
        <v>1892.97</v>
      </c>
      <c r="G1316">
        <v>9</v>
      </c>
      <c r="H1316" t="s">
        <v>3369</v>
      </c>
    </row>
    <row r="1317" spans="1:8" x14ac:dyDescent="0.25">
      <c r="A1317" t="s">
        <v>2471</v>
      </c>
      <c r="B1317" t="s">
        <v>2472</v>
      </c>
      <c r="C1317" s="27">
        <v>45861</v>
      </c>
      <c r="D1317" t="s">
        <v>10</v>
      </c>
      <c r="E1317" t="s">
        <v>3371</v>
      </c>
      <c r="F1317">
        <v>1081.0999999999999</v>
      </c>
      <c r="G1317">
        <v>4</v>
      </c>
      <c r="H1317" t="s">
        <v>35</v>
      </c>
    </row>
    <row r="1318" spans="1:8" x14ac:dyDescent="0.25">
      <c r="A1318" t="s">
        <v>2473</v>
      </c>
      <c r="B1318" t="s">
        <v>2474</v>
      </c>
      <c r="C1318" s="27">
        <v>45042</v>
      </c>
      <c r="D1318" t="s">
        <v>10</v>
      </c>
      <c r="E1318" t="s">
        <v>25</v>
      </c>
      <c r="F1318">
        <v>1680.33</v>
      </c>
      <c r="G1318">
        <v>6</v>
      </c>
      <c r="H1318" t="s">
        <v>3369</v>
      </c>
    </row>
    <row r="1319" spans="1:8" x14ac:dyDescent="0.25">
      <c r="A1319" t="s">
        <v>2475</v>
      </c>
      <c r="B1319" t="s">
        <v>2476</v>
      </c>
      <c r="C1319" s="27">
        <v>45145</v>
      </c>
      <c r="D1319" t="s">
        <v>3372</v>
      </c>
      <c r="E1319" t="s">
        <v>11</v>
      </c>
      <c r="F1319">
        <v>977.92</v>
      </c>
      <c r="G1319">
        <v>7</v>
      </c>
      <c r="H1319" t="s">
        <v>3377</v>
      </c>
    </row>
    <row r="1320" spans="1:8" x14ac:dyDescent="0.25">
      <c r="A1320" t="s">
        <v>2477</v>
      </c>
      <c r="B1320" t="s">
        <v>2478</v>
      </c>
      <c r="C1320" s="27">
        <v>45943</v>
      </c>
      <c r="D1320" t="s">
        <v>14</v>
      </c>
      <c r="E1320" t="s">
        <v>3371</v>
      </c>
      <c r="F1320">
        <v>1207.03</v>
      </c>
      <c r="G1320">
        <v>9</v>
      </c>
      <c r="H1320" t="s">
        <v>35</v>
      </c>
    </row>
    <row r="1321" spans="1:8" x14ac:dyDescent="0.25">
      <c r="A1321" t="s">
        <v>2479</v>
      </c>
      <c r="B1321" t="s">
        <v>2480</v>
      </c>
      <c r="C1321" s="27">
        <v>45871</v>
      </c>
      <c r="D1321" t="s">
        <v>10</v>
      </c>
      <c r="E1321" t="s">
        <v>34</v>
      </c>
      <c r="G1321">
        <v>10</v>
      </c>
      <c r="H1321" t="s">
        <v>18</v>
      </c>
    </row>
    <row r="1322" spans="1:8" x14ac:dyDescent="0.25">
      <c r="A1322" t="s">
        <v>2481</v>
      </c>
      <c r="B1322" t="s">
        <v>2482</v>
      </c>
      <c r="C1322" s="27">
        <v>45715</v>
      </c>
      <c r="D1322" t="s">
        <v>14</v>
      </c>
      <c r="E1322" t="s">
        <v>34</v>
      </c>
      <c r="F1322">
        <v>1187.8599999999999</v>
      </c>
      <c r="G1322">
        <v>9</v>
      </c>
      <c r="H1322" t="s">
        <v>3377</v>
      </c>
    </row>
    <row r="1323" spans="1:8" x14ac:dyDescent="0.25">
      <c r="A1323" t="s">
        <v>2483</v>
      </c>
      <c r="B1323" t="s">
        <v>415</v>
      </c>
      <c r="C1323" s="27">
        <v>45244</v>
      </c>
      <c r="D1323" t="s">
        <v>14</v>
      </c>
      <c r="E1323" t="s">
        <v>3370</v>
      </c>
      <c r="F1323">
        <v>1613.95</v>
      </c>
      <c r="G1323">
        <v>9</v>
      </c>
      <c r="H1323" t="s">
        <v>35</v>
      </c>
    </row>
    <row r="1324" spans="1:8" x14ac:dyDescent="0.25">
      <c r="A1324" t="s">
        <v>2484</v>
      </c>
      <c r="B1324" t="s">
        <v>2485</v>
      </c>
      <c r="C1324" s="27">
        <v>45926</v>
      </c>
      <c r="D1324" t="s">
        <v>10</v>
      </c>
      <c r="E1324" t="s">
        <v>22</v>
      </c>
      <c r="F1324">
        <v>296.85000000000002</v>
      </c>
      <c r="G1324">
        <v>2</v>
      </c>
      <c r="H1324" t="s">
        <v>35</v>
      </c>
    </row>
    <row r="1325" spans="1:8" x14ac:dyDescent="0.25">
      <c r="A1325" t="s">
        <v>2486</v>
      </c>
      <c r="B1325" t="s">
        <v>2487</v>
      </c>
      <c r="C1325" s="27">
        <v>45906</v>
      </c>
      <c r="D1325" t="s">
        <v>10</v>
      </c>
      <c r="E1325" t="s">
        <v>25</v>
      </c>
      <c r="F1325">
        <v>1099.58</v>
      </c>
      <c r="G1325">
        <v>7</v>
      </c>
      <c r="H1325" t="s">
        <v>18</v>
      </c>
    </row>
    <row r="1326" spans="1:8" x14ac:dyDescent="0.25">
      <c r="A1326" t="s">
        <v>2488</v>
      </c>
      <c r="B1326" t="s">
        <v>1415</v>
      </c>
      <c r="C1326" s="27">
        <v>45739</v>
      </c>
      <c r="D1326" t="s">
        <v>21</v>
      </c>
      <c r="E1326" t="s">
        <v>25</v>
      </c>
      <c r="F1326">
        <v>1527.22</v>
      </c>
      <c r="G1326">
        <v>10</v>
      </c>
      <c r="H1326" t="s">
        <v>35</v>
      </c>
    </row>
    <row r="1327" spans="1:8" x14ac:dyDescent="0.25">
      <c r="A1327" t="s">
        <v>2489</v>
      </c>
      <c r="B1327" t="s">
        <v>2490</v>
      </c>
      <c r="C1327" s="27">
        <v>45505</v>
      </c>
      <c r="D1327" t="s">
        <v>14</v>
      </c>
      <c r="E1327" t="s">
        <v>34</v>
      </c>
      <c r="F1327">
        <v>1848.53</v>
      </c>
      <c r="G1327">
        <v>5</v>
      </c>
      <c r="H1327" t="s">
        <v>15</v>
      </c>
    </row>
    <row r="1328" spans="1:8" x14ac:dyDescent="0.25">
      <c r="A1328" t="s">
        <v>2491</v>
      </c>
      <c r="B1328" t="s">
        <v>2492</v>
      </c>
      <c r="C1328" s="27">
        <v>44914</v>
      </c>
      <c r="D1328" t="s">
        <v>10</v>
      </c>
      <c r="E1328" t="s">
        <v>11</v>
      </c>
      <c r="F1328">
        <v>776.61</v>
      </c>
      <c r="G1328">
        <v>10</v>
      </c>
      <c r="H1328" t="s">
        <v>35</v>
      </c>
    </row>
    <row r="1329" spans="1:8" x14ac:dyDescent="0.25">
      <c r="A1329" t="s">
        <v>2493</v>
      </c>
      <c r="B1329" t="s">
        <v>2129</v>
      </c>
      <c r="C1329" s="27">
        <v>45011</v>
      </c>
      <c r="D1329" t="s">
        <v>10</v>
      </c>
      <c r="E1329" t="s">
        <v>11</v>
      </c>
      <c r="F1329">
        <v>1453.47</v>
      </c>
      <c r="G1329">
        <v>7</v>
      </c>
      <c r="H1329" t="s">
        <v>15</v>
      </c>
    </row>
    <row r="1330" spans="1:8" x14ac:dyDescent="0.25">
      <c r="A1330" t="s">
        <v>2494</v>
      </c>
      <c r="B1330" t="s">
        <v>2495</v>
      </c>
      <c r="C1330" s="27">
        <v>45753</v>
      </c>
      <c r="D1330" t="s">
        <v>14</v>
      </c>
      <c r="E1330" t="s">
        <v>11</v>
      </c>
      <c r="F1330">
        <v>1429.63</v>
      </c>
      <c r="G1330">
        <v>7</v>
      </c>
      <c r="H1330" t="s">
        <v>3369</v>
      </c>
    </row>
    <row r="1331" spans="1:8" x14ac:dyDescent="0.25">
      <c r="A1331" t="s">
        <v>2496</v>
      </c>
      <c r="B1331" t="s">
        <v>2497</v>
      </c>
      <c r="C1331" s="27">
        <v>45264</v>
      </c>
      <c r="D1331" t="s">
        <v>14</v>
      </c>
      <c r="E1331" t="s">
        <v>25</v>
      </c>
      <c r="F1331">
        <v>1048.6300000000001</v>
      </c>
      <c r="G1331">
        <v>3</v>
      </c>
      <c r="H1331" t="s">
        <v>3377</v>
      </c>
    </row>
    <row r="1332" spans="1:8" x14ac:dyDescent="0.25">
      <c r="A1332" t="s">
        <v>2498</v>
      </c>
      <c r="B1332" t="s">
        <v>2499</v>
      </c>
      <c r="C1332" s="27">
        <v>45900</v>
      </c>
      <c r="D1332" t="s">
        <v>14</v>
      </c>
      <c r="E1332" t="s">
        <v>25</v>
      </c>
      <c r="F1332">
        <v>1323.48</v>
      </c>
      <c r="G1332">
        <v>2</v>
      </c>
      <c r="H1332" t="s">
        <v>15</v>
      </c>
    </row>
    <row r="1333" spans="1:8" x14ac:dyDescent="0.25">
      <c r="A1333" t="s">
        <v>2500</v>
      </c>
      <c r="B1333" t="s">
        <v>2501</v>
      </c>
      <c r="C1333" s="27">
        <v>45151</v>
      </c>
      <c r="D1333" t="s">
        <v>3372</v>
      </c>
      <c r="E1333" t="s">
        <v>11</v>
      </c>
      <c r="F1333">
        <v>1209.46</v>
      </c>
      <c r="G1333">
        <v>1</v>
      </c>
      <c r="H1333" t="s">
        <v>18</v>
      </c>
    </row>
    <row r="1334" spans="1:8" x14ac:dyDescent="0.25">
      <c r="A1334" t="s">
        <v>2502</v>
      </c>
      <c r="B1334" t="s">
        <v>2220</v>
      </c>
      <c r="C1334" s="27">
        <v>45095</v>
      </c>
      <c r="D1334" t="s">
        <v>3372</v>
      </c>
      <c r="E1334" t="s">
        <v>3371</v>
      </c>
      <c r="F1334">
        <v>1378.75</v>
      </c>
      <c r="G1334">
        <v>6</v>
      </c>
      <c r="H1334" t="s">
        <v>15</v>
      </c>
    </row>
    <row r="1335" spans="1:8" x14ac:dyDescent="0.25">
      <c r="A1335" t="s">
        <v>2503</v>
      </c>
      <c r="B1335" t="s">
        <v>2182</v>
      </c>
      <c r="C1335" s="27">
        <v>44980</v>
      </c>
      <c r="D1335" t="s">
        <v>21</v>
      </c>
      <c r="E1335" t="s">
        <v>25</v>
      </c>
      <c r="F1335">
        <v>852.12</v>
      </c>
      <c r="G1335">
        <v>7</v>
      </c>
      <c r="H1335" t="s">
        <v>3377</v>
      </c>
    </row>
    <row r="1336" spans="1:8" x14ac:dyDescent="0.25">
      <c r="A1336" t="s">
        <v>2504</v>
      </c>
      <c r="B1336" t="s">
        <v>2505</v>
      </c>
      <c r="C1336" s="27">
        <v>45609</v>
      </c>
      <c r="D1336" t="s">
        <v>14</v>
      </c>
      <c r="E1336" t="s">
        <v>25</v>
      </c>
      <c r="F1336">
        <v>1816.86</v>
      </c>
      <c r="G1336">
        <v>2</v>
      </c>
      <c r="H1336" t="s">
        <v>18</v>
      </c>
    </row>
    <row r="1337" spans="1:8" x14ac:dyDescent="0.25">
      <c r="A1337" t="s">
        <v>2506</v>
      </c>
      <c r="B1337" t="s">
        <v>2507</v>
      </c>
      <c r="C1337" s="27">
        <v>45622</v>
      </c>
      <c r="D1337" t="s">
        <v>3372</v>
      </c>
      <c r="E1337" t="s">
        <v>3370</v>
      </c>
      <c r="F1337">
        <v>1237.02</v>
      </c>
      <c r="G1337">
        <v>4</v>
      </c>
      <c r="H1337" t="s">
        <v>3369</v>
      </c>
    </row>
    <row r="1338" spans="1:8" x14ac:dyDescent="0.25">
      <c r="A1338" t="s">
        <v>3373</v>
      </c>
      <c r="B1338" t="s">
        <v>3374</v>
      </c>
      <c r="C1338" s="27">
        <v>45865</v>
      </c>
      <c r="D1338" t="s">
        <v>14</v>
      </c>
      <c r="E1338" t="s">
        <v>22</v>
      </c>
      <c r="G1338">
        <v>3</v>
      </c>
      <c r="H1338" t="s">
        <v>15</v>
      </c>
    </row>
    <row r="1339" spans="1:8" x14ac:dyDescent="0.25">
      <c r="A1339" t="s">
        <v>2508</v>
      </c>
      <c r="B1339" t="s">
        <v>1319</v>
      </c>
      <c r="C1339" s="27">
        <v>45763</v>
      </c>
      <c r="D1339" t="s">
        <v>14</v>
      </c>
      <c r="E1339" t="s">
        <v>3370</v>
      </c>
      <c r="F1339">
        <v>164.78</v>
      </c>
      <c r="G1339">
        <v>3</v>
      </c>
      <c r="H1339" t="s">
        <v>18</v>
      </c>
    </row>
    <row r="1340" spans="1:8" x14ac:dyDescent="0.25">
      <c r="A1340" t="s">
        <v>2509</v>
      </c>
      <c r="B1340" t="s">
        <v>2510</v>
      </c>
      <c r="C1340" s="27">
        <v>45082</v>
      </c>
      <c r="D1340" t="s">
        <v>3372</v>
      </c>
      <c r="E1340" t="s">
        <v>25</v>
      </c>
      <c r="F1340">
        <v>610.70000000000005</v>
      </c>
      <c r="G1340">
        <v>8</v>
      </c>
      <c r="H1340" t="s">
        <v>15</v>
      </c>
    </row>
    <row r="1341" spans="1:8" x14ac:dyDescent="0.25">
      <c r="A1341" t="s">
        <v>2511</v>
      </c>
      <c r="B1341" t="s">
        <v>2512</v>
      </c>
      <c r="C1341" s="27">
        <v>45827</v>
      </c>
      <c r="D1341" t="s">
        <v>10</v>
      </c>
      <c r="E1341" t="s">
        <v>22</v>
      </c>
      <c r="F1341">
        <v>12.05</v>
      </c>
      <c r="G1341">
        <v>2</v>
      </c>
      <c r="H1341" t="s">
        <v>15</v>
      </c>
    </row>
    <row r="1342" spans="1:8" x14ac:dyDescent="0.25">
      <c r="A1342" t="s">
        <v>2513</v>
      </c>
      <c r="B1342" t="s">
        <v>2514</v>
      </c>
      <c r="C1342" s="27">
        <v>45160</v>
      </c>
      <c r="D1342" t="s">
        <v>10</v>
      </c>
      <c r="E1342" t="s">
        <v>11</v>
      </c>
      <c r="F1342">
        <v>1912.4</v>
      </c>
      <c r="G1342">
        <v>2</v>
      </c>
      <c r="H1342" t="s">
        <v>3377</v>
      </c>
    </row>
    <row r="1343" spans="1:8" x14ac:dyDescent="0.25">
      <c r="A1343" t="s">
        <v>2515</v>
      </c>
      <c r="B1343" t="s">
        <v>2516</v>
      </c>
      <c r="C1343" s="27">
        <v>45450</v>
      </c>
      <c r="D1343" t="s">
        <v>3372</v>
      </c>
      <c r="E1343" t="s">
        <v>34</v>
      </c>
      <c r="F1343">
        <v>1993.99</v>
      </c>
      <c r="G1343">
        <v>1</v>
      </c>
      <c r="H1343" t="s">
        <v>18</v>
      </c>
    </row>
    <row r="1344" spans="1:8" x14ac:dyDescent="0.25">
      <c r="A1344" t="s">
        <v>2517</v>
      </c>
      <c r="B1344" t="s">
        <v>2518</v>
      </c>
      <c r="C1344" s="27">
        <v>45173</v>
      </c>
      <c r="D1344" t="s">
        <v>14</v>
      </c>
      <c r="E1344" t="s">
        <v>25</v>
      </c>
      <c r="F1344">
        <v>1386.56</v>
      </c>
      <c r="H1344" t="s">
        <v>18</v>
      </c>
    </row>
    <row r="1345" spans="1:8" x14ac:dyDescent="0.25">
      <c r="A1345" t="s">
        <v>2519</v>
      </c>
      <c r="B1345" t="s">
        <v>2520</v>
      </c>
      <c r="C1345" s="27">
        <v>45550</v>
      </c>
      <c r="D1345" t="s">
        <v>21</v>
      </c>
      <c r="E1345" t="s">
        <v>34</v>
      </c>
      <c r="F1345">
        <v>1776.6</v>
      </c>
      <c r="G1345">
        <v>3</v>
      </c>
      <c r="H1345" t="s">
        <v>18</v>
      </c>
    </row>
    <row r="1346" spans="1:8" x14ac:dyDescent="0.25">
      <c r="A1346" t="s">
        <v>2521</v>
      </c>
      <c r="B1346" t="s">
        <v>2522</v>
      </c>
      <c r="C1346" s="27">
        <v>45276</v>
      </c>
      <c r="D1346" t="s">
        <v>21</v>
      </c>
      <c r="E1346" t="s">
        <v>34</v>
      </c>
      <c r="F1346">
        <v>1975.95</v>
      </c>
      <c r="G1346">
        <v>5</v>
      </c>
      <c r="H1346" t="s">
        <v>3369</v>
      </c>
    </row>
    <row r="1347" spans="1:8" x14ac:dyDescent="0.25">
      <c r="A1347" t="s">
        <v>2523</v>
      </c>
      <c r="B1347" t="s">
        <v>2524</v>
      </c>
      <c r="C1347" s="27">
        <v>45753</v>
      </c>
      <c r="D1347" t="s">
        <v>10</v>
      </c>
      <c r="E1347" t="s">
        <v>11</v>
      </c>
      <c r="F1347">
        <v>730.55</v>
      </c>
      <c r="G1347">
        <v>6</v>
      </c>
      <c r="H1347" t="s">
        <v>35</v>
      </c>
    </row>
    <row r="1348" spans="1:8" x14ac:dyDescent="0.25">
      <c r="A1348" t="s">
        <v>2525</v>
      </c>
      <c r="B1348" t="s">
        <v>1927</v>
      </c>
      <c r="C1348" s="27">
        <v>45350</v>
      </c>
      <c r="D1348" t="s">
        <v>14</v>
      </c>
      <c r="E1348" t="s">
        <v>11</v>
      </c>
      <c r="G1348">
        <v>4</v>
      </c>
      <c r="H1348" t="s">
        <v>3377</v>
      </c>
    </row>
    <row r="1349" spans="1:8" x14ac:dyDescent="0.25">
      <c r="A1349" t="s">
        <v>2526</v>
      </c>
      <c r="B1349" t="s">
        <v>2527</v>
      </c>
      <c r="C1349" s="27">
        <v>45517</v>
      </c>
      <c r="D1349" t="s">
        <v>10</v>
      </c>
      <c r="E1349" t="s">
        <v>34</v>
      </c>
      <c r="F1349">
        <v>1924.1</v>
      </c>
      <c r="G1349">
        <v>2</v>
      </c>
      <c r="H1349" t="s">
        <v>18</v>
      </c>
    </row>
    <row r="1350" spans="1:8" x14ac:dyDescent="0.25">
      <c r="A1350" t="s">
        <v>2528</v>
      </c>
      <c r="B1350" t="s">
        <v>2529</v>
      </c>
      <c r="C1350" s="27">
        <v>45183</v>
      </c>
      <c r="D1350" t="s">
        <v>21</v>
      </c>
      <c r="E1350" t="s">
        <v>3371</v>
      </c>
      <c r="F1350">
        <v>1714.56</v>
      </c>
      <c r="G1350">
        <v>6</v>
      </c>
      <c r="H1350" t="s">
        <v>15</v>
      </c>
    </row>
    <row r="1351" spans="1:8" x14ac:dyDescent="0.25">
      <c r="A1351" t="s">
        <v>2530</v>
      </c>
      <c r="B1351" t="s">
        <v>2531</v>
      </c>
      <c r="C1351" s="27">
        <v>45931</v>
      </c>
      <c r="D1351" t="s">
        <v>3372</v>
      </c>
      <c r="E1351" t="s">
        <v>3370</v>
      </c>
      <c r="F1351">
        <v>547.34</v>
      </c>
      <c r="G1351">
        <v>7</v>
      </c>
      <c r="H1351" t="s">
        <v>15</v>
      </c>
    </row>
    <row r="1352" spans="1:8" x14ac:dyDescent="0.25">
      <c r="A1352" t="s">
        <v>2532</v>
      </c>
      <c r="B1352" t="s">
        <v>2533</v>
      </c>
      <c r="C1352" s="27">
        <v>45388</v>
      </c>
      <c r="D1352" t="s">
        <v>21</v>
      </c>
      <c r="E1352" t="s">
        <v>25</v>
      </c>
      <c r="F1352">
        <v>871.29</v>
      </c>
      <c r="G1352">
        <v>4</v>
      </c>
      <c r="H1352" t="s">
        <v>18</v>
      </c>
    </row>
    <row r="1353" spans="1:8" x14ac:dyDescent="0.25">
      <c r="A1353" t="s">
        <v>2534</v>
      </c>
      <c r="B1353" t="s">
        <v>2535</v>
      </c>
      <c r="C1353" s="27">
        <v>45056</v>
      </c>
      <c r="D1353" t="s">
        <v>10</v>
      </c>
      <c r="E1353" t="s">
        <v>34</v>
      </c>
      <c r="F1353">
        <v>1143.9000000000001</v>
      </c>
      <c r="G1353">
        <v>4</v>
      </c>
      <c r="H1353" t="s">
        <v>3369</v>
      </c>
    </row>
    <row r="1354" spans="1:8" x14ac:dyDescent="0.25">
      <c r="A1354" t="s">
        <v>2536</v>
      </c>
      <c r="B1354" t="s">
        <v>2537</v>
      </c>
      <c r="C1354" s="27">
        <v>45182</v>
      </c>
      <c r="D1354" t="s">
        <v>21</v>
      </c>
      <c r="E1354" t="s">
        <v>25</v>
      </c>
      <c r="F1354">
        <v>199.91</v>
      </c>
      <c r="G1354">
        <v>7</v>
      </c>
      <c r="H1354" t="s">
        <v>35</v>
      </c>
    </row>
    <row r="1355" spans="1:8" x14ac:dyDescent="0.25">
      <c r="A1355" t="s">
        <v>2538</v>
      </c>
      <c r="B1355" t="s">
        <v>2539</v>
      </c>
      <c r="C1355" s="27">
        <v>45704</v>
      </c>
      <c r="D1355" t="s">
        <v>3372</v>
      </c>
      <c r="E1355" t="s">
        <v>25</v>
      </c>
      <c r="F1355">
        <v>1974.79</v>
      </c>
      <c r="H1355" t="s">
        <v>18</v>
      </c>
    </row>
    <row r="1356" spans="1:8" x14ac:dyDescent="0.25">
      <c r="A1356" t="s">
        <v>2540</v>
      </c>
      <c r="B1356" t="s">
        <v>2541</v>
      </c>
      <c r="C1356" s="27">
        <v>45938</v>
      </c>
      <c r="D1356" t="s">
        <v>21</v>
      </c>
      <c r="E1356" t="s">
        <v>25</v>
      </c>
      <c r="F1356">
        <v>135.61000000000001</v>
      </c>
      <c r="G1356">
        <v>6</v>
      </c>
      <c r="H1356" t="s">
        <v>3377</v>
      </c>
    </row>
    <row r="1357" spans="1:8" x14ac:dyDescent="0.25">
      <c r="A1357" t="s">
        <v>2542</v>
      </c>
      <c r="B1357" t="s">
        <v>2543</v>
      </c>
      <c r="C1357" s="27">
        <v>45556</v>
      </c>
      <c r="D1357" t="s">
        <v>3372</v>
      </c>
      <c r="E1357" t="s">
        <v>3371</v>
      </c>
      <c r="F1357">
        <v>1817.88</v>
      </c>
      <c r="G1357">
        <v>3</v>
      </c>
      <c r="H1357" t="s">
        <v>15</v>
      </c>
    </row>
    <row r="1358" spans="1:8" x14ac:dyDescent="0.25">
      <c r="A1358" t="s">
        <v>3433</v>
      </c>
      <c r="B1358" t="s">
        <v>3434</v>
      </c>
      <c r="C1358" s="27">
        <v>45625</v>
      </c>
      <c r="D1358" t="s">
        <v>10</v>
      </c>
      <c r="E1358" t="s">
        <v>3370</v>
      </c>
      <c r="F1358">
        <v>797.85</v>
      </c>
      <c r="G1358">
        <v>3</v>
      </c>
      <c r="H1358" t="s">
        <v>3369</v>
      </c>
    </row>
    <row r="1359" spans="1:8" x14ac:dyDescent="0.25">
      <c r="A1359" t="s">
        <v>2544</v>
      </c>
      <c r="B1359" t="s">
        <v>2545</v>
      </c>
      <c r="C1359" s="27">
        <v>45570</v>
      </c>
      <c r="D1359" t="s">
        <v>14</v>
      </c>
      <c r="E1359" t="s">
        <v>22</v>
      </c>
      <c r="F1359">
        <v>39.840000000000003</v>
      </c>
      <c r="G1359">
        <v>10</v>
      </c>
      <c r="H1359" t="s">
        <v>3369</v>
      </c>
    </row>
    <row r="1360" spans="1:8" x14ac:dyDescent="0.25">
      <c r="A1360" t="s">
        <v>2546</v>
      </c>
      <c r="B1360" t="s">
        <v>2547</v>
      </c>
      <c r="C1360" s="27">
        <v>45697</v>
      </c>
      <c r="D1360" t="s">
        <v>14</v>
      </c>
      <c r="E1360" t="s">
        <v>22</v>
      </c>
      <c r="F1360">
        <v>1608.61</v>
      </c>
      <c r="G1360">
        <v>1</v>
      </c>
      <c r="H1360" t="s">
        <v>3377</v>
      </c>
    </row>
    <row r="1361" spans="1:8" x14ac:dyDescent="0.25">
      <c r="A1361" t="s">
        <v>2548</v>
      </c>
      <c r="B1361" t="s">
        <v>2549</v>
      </c>
      <c r="C1361" s="27">
        <v>45913</v>
      </c>
      <c r="D1361" t="s">
        <v>14</v>
      </c>
      <c r="E1361" t="s">
        <v>22</v>
      </c>
      <c r="F1361">
        <v>856.37</v>
      </c>
      <c r="G1361">
        <v>6</v>
      </c>
      <c r="H1361" t="s">
        <v>35</v>
      </c>
    </row>
    <row r="1362" spans="1:8" x14ac:dyDescent="0.25">
      <c r="A1362" t="s">
        <v>2550</v>
      </c>
      <c r="B1362" t="s">
        <v>2551</v>
      </c>
      <c r="C1362" s="27">
        <v>45807</v>
      </c>
      <c r="D1362" t="s">
        <v>14</v>
      </c>
      <c r="E1362" t="s">
        <v>3370</v>
      </c>
      <c r="F1362">
        <v>1919.54</v>
      </c>
      <c r="G1362">
        <v>2</v>
      </c>
      <c r="H1362" t="s">
        <v>18</v>
      </c>
    </row>
    <row r="1363" spans="1:8" x14ac:dyDescent="0.25">
      <c r="A1363" t="s">
        <v>2552</v>
      </c>
      <c r="B1363" t="s">
        <v>2553</v>
      </c>
      <c r="C1363" s="27">
        <v>45042</v>
      </c>
      <c r="D1363" t="s">
        <v>21</v>
      </c>
      <c r="E1363" t="s">
        <v>11</v>
      </c>
      <c r="F1363">
        <v>1623.76</v>
      </c>
      <c r="G1363">
        <v>4</v>
      </c>
      <c r="H1363" t="s">
        <v>3377</v>
      </c>
    </row>
    <row r="1364" spans="1:8" x14ac:dyDescent="0.25">
      <c r="A1364" t="s">
        <v>2554</v>
      </c>
      <c r="B1364" t="s">
        <v>2555</v>
      </c>
      <c r="C1364" s="27">
        <v>45195</v>
      </c>
      <c r="D1364" t="s">
        <v>14</v>
      </c>
      <c r="E1364" t="s">
        <v>25</v>
      </c>
      <c r="F1364">
        <v>1172.1099999999999</v>
      </c>
      <c r="G1364">
        <v>6</v>
      </c>
      <c r="H1364" t="s">
        <v>35</v>
      </c>
    </row>
    <row r="1365" spans="1:8" x14ac:dyDescent="0.25">
      <c r="A1365" t="s">
        <v>2556</v>
      </c>
      <c r="B1365" t="s">
        <v>2557</v>
      </c>
      <c r="C1365" s="27">
        <v>45270</v>
      </c>
      <c r="D1365" t="s">
        <v>10</v>
      </c>
      <c r="E1365" t="s">
        <v>3370</v>
      </c>
      <c r="F1365">
        <v>1536.43</v>
      </c>
      <c r="G1365">
        <v>7</v>
      </c>
      <c r="H1365" t="s">
        <v>15</v>
      </c>
    </row>
    <row r="1366" spans="1:8" x14ac:dyDescent="0.25">
      <c r="A1366" t="s">
        <v>2558</v>
      </c>
      <c r="B1366" t="s">
        <v>2559</v>
      </c>
      <c r="C1366" s="27">
        <v>45265</v>
      </c>
      <c r="D1366" t="s">
        <v>10</v>
      </c>
      <c r="E1366" t="s">
        <v>3370</v>
      </c>
      <c r="F1366">
        <v>498.21</v>
      </c>
      <c r="G1366">
        <v>10</v>
      </c>
      <c r="H1366" t="s">
        <v>3369</v>
      </c>
    </row>
    <row r="1367" spans="1:8" x14ac:dyDescent="0.25">
      <c r="A1367" t="s">
        <v>2560</v>
      </c>
      <c r="B1367" t="s">
        <v>571</v>
      </c>
      <c r="C1367" s="27">
        <v>45309</v>
      </c>
      <c r="D1367" t="s">
        <v>3372</v>
      </c>
      <c r="E1367" t="s">
        <v>25</v>
      </c>
      <c r="F1367">
        <v>1669.73</v>
      </c>
      <c r="G1367">
        <v>10</v>
      </c>
      <c r="H1367" t="s">
        <v>35</v>
      </c>
    </row>
    <row r="1368" spans="1:8" x14ac:dyDescent="0.25">
      <c r="A1368" t="s">
        <v>2561</v>
      </c>
      <c r="B1368" t="s">
        <v>2562</v>
      </c>
      <c r="C1368" s="27">
        <v>45861</v>
      </c>
      <c r="D1368" t="s">
        <v>10</v>
      </c>
      <c r="E1368" t="s">
        <v>3371</v>
      </c>
      <c r="F1368">
        <v>1326.02</v>
      </c>
      <c r="G1368">
        <v>9</v>
      </c>
      <c r="H1368" t="s">
        <v>3377</v>
      </c>
    </row>
    <row r="1369" spans="1:8" x14ac:dyDescent="0.25">
      <c r="A1369" t="s">
        <v>2563</v>
      </c>
      <c r="B1369" t="s">
        <v>2564</v>
      </c>
      <c r="C1369" s="27">
        <v>45571</v>
      </c>
      <c r="D1369" t="s">
        <v>3372</v>
      </c>
      <c r="E1369" t="s">
        <v>22</v>
      </c>
      <c r="F1369">
        <v>1668.17</v>
      </c>
      <c r="G1369">
        <v>5</v>
      </c>
      <c r="H1369" t="s">
        <v>15</v>
      </c>
    </row>
    <row r="1370" spans="1:8" x14ac:dyDescent="0.25">
      <c r="A1370" t="s">
        <v>2565</v>
      </c>
      <c r="B1370" t="s">
        <v>2566</v>
      </c>
      <c r="C1370" s="27">
        <v>44907</v>
      </c>
      <c r="D1370" t="s">
        <v>3372</v>
      </c>
      <c r="E1370" t="s">
        <v>11</v>
      </c>
      <c r="F1370">
        <v>1122.06</v>
      </c>
      <c r="G1370">
        <v>8</v>
      </c>
      <c r="H1370" t="s">
        <v>3377</v>
      </c>
    </row>
    <row r="1371" spans="1:8" x14ac:dyDescent="0.25">
      <c r="A1371" t="s">
        <v>2567</v>
      </c>
      <c r="B1371" t="s">
        <v>2568</v>
      </c>
      <c r="C1371" s="27">
        <v>45870</v>
      </c>
      <c r="D1371" t="s">
        <v>21</v>
      </c>
      <c r="E1371" t="s">
        <v>25</v>
      </c>
      <c r="F1371">
        <v>986.42</v>
      </c>
      <c r="G1371">
        <v>1</v>
      </c>
      <c r="H1371" t="s">
        <v>18</v>
      </c>
    </row>
    <row r="1372" spans="1:8" x14ac:dyDescent="0.25">
      <c r="A1372" t="s">
        <v>2569</v>
      </c>
      <c r="B1372" t="s">
        <v>2570</v>
      </c>
      <c r="C1372" s="27">
        <v>45506</v>
      </c>
      <c r="D1372" t="s">
        <v>14</v>
      </c>
      <c r="E1372" t="s">
        <v>11</v>
      </c>
      <c r="F1372">
        <v>630.08000000000004</v>
      </c>
      <c r="H1372" t="s">
        <v>35</v>
      </c>
    </row>
    <row r="1373" spans="1:8" x14ac:dyDescent="0.25">
      <c r="A1373" t="s">
        <v>2571</v>
      </c>
      <c r="B1373" t="s">
        <v>2572</v>
      </c>
      <c r="C1373" s="27">
        <v>45713</v>
      </c>
      <c r="D1373" t="s">
        <v>14</v>
      </c>
      <c r="E1373" t="s">
        <v>25</v>
      </c>
      <c r="F1373">
        <v>915.46</v>
      </c>
      <c r="G1373">
        <v>5</v>
      </c>
      <c r="H1373" t="s">
        <v>15</v>
      </c>
    </row>
    <row r="1374" spans="1:8" x14ac:dyDescent="0.25">
      <c r="A1374" t="s">
        <v>2573</v>
      </c>
      <c r="B1374" t="s">
        <v>2574</v>
      </c>
      <c r="C1374" s="27">
        <v>45503</v>
      </c>
      <c r="D1374" t="s">
        <v>3372</v>
      </c>
      <c r="E1374" t="s">
        <v>22</v>
      </c>
      <c r="F1374">
        <v>314.77999999999997</v>
      </c>
      <c r="G1374">
        <v>8</v>
      </c>
      <c r="H1374" t="s">
        <v>3369</v>
      </c>
    </row>
    <row r="1375" spans="1:8" x14ac:dyDescent="0.25">
      <c r="A1375" t="s">
        <v>2575</v>
      </c>
      <c r="B1375" t="s">
        <v>2576</v>
      </c>
      <c r="C1375" s="27">
        <v>45037</v>
      </c>
      <c r="D1375" t="s">
        <v>3372</v>
      </c>
      <c r="E1375" t="s">
        <v>25</v>
      </c>
      <c r="F1375">
        <v>415.39</v>
      </c>
      <c r="G1375">
        <v>9</v>
      </c>
      <c r="H1375" t="s">
        <v>35</v>
      </c>
    </row>
    <row r="1376" spans="1:8" x14ac:dyDescent="0.25">
      <c r="A1376" t="s">
        <v>2577</v>
      </c>
      <c r="B1376" t="s">
        <v>1276</v>
      </c>
      <c r="C1376" s="27">
        <v>45859</v>
      </c>
      <c r="D1376" t="s">
        <v>10</v>
      </c>
      <c r="E1376" t="s">
        <v>22</v>
      </c>
      <c r="F1376">
        <v>115.92</v>
      </c>
      <c r="G1376">
        <v>4</v>
      </c>
      <c r="H1376" t="s">
        <v>35</v>
      </c>
    </row>
    <row r="1377" spans="1:8" x14ac:dyDescent="0.25">
      <c r="A1377" t="s">
        <v>2578</v>
      </c>
      <c r="B1377" t="s">
        <v>2360</v>
      </c>
      <c r="C1377" s="27">
        <v>45337</v>
      </c>
      <c r="D1377" t="s">
        <v>3372</v>
      </c>
      <c r="E1377" t="s">
        <v>34</v>
      </c>
      <c r="F1377">
        <v>1688.06</v>
      </c>
      <c r="H1377" t="s">
        <v>3369</v>
      </c>
    </row>
    <row r="1378" spans="1:8" x14ac:dyDescent="0.25">
      <c r="A1378" t="s">
        <v>2579</v>
      </c>
      <c r="B1378" t="s">
        <v>2580</v>
      </c>
      <c r="C1378" s="27">
        <v>45765</v>
      </c>
      <c r="D1378" t="s">
        <v>21</v>
      </c>
      <c r="E1378" t="s">
        <v>3370</v>
      </c>
      <c r="F1378">
        <v>1300.6099999999999</v>
      </c>
      <c r="G1378">
        <v>3</v>
      </c>
      <c r="H1378" t="s">
        <v>3377</v>
      </c>
    </row>
    <row r="1379" spans="1:8" x14ac:dyDescent="0.25">
      <c r="A1379" t="s">
        <v>2581</v>
      </c>
      <c r="B1379" t="s">
        <v>2582</v>
      </c>
      <c r="C1379" s="27">
        <v>45124</v>
      </c>
      <c r="D1379" t="s">
        <v>10</v>
      </c>
      <c r="E1379" t="s">
        <v>25</v>
      </c>
      <c r="F1379">
        <v>1358.32</v>
      </c>
      <c r="G1379">
        <v>8</v>
      </c>
      <c r="H1379" t="s">
        <v>18</v>
      </c>
    </row>
    <row r="1380" spans="1:8" x14ac:dyDescent="0.25">
      <c r="A1380" t="s">
        <v>3440</v>
      </c>
      <c r="B1380" t="s">
        <v>3441</v>
      </c>
      <c r="C1380" s="27">
        <v>45772</v>
      </c>
      <c r="D1380" t="s">
        <v>10</v>
      </c>
      <c r="E1380" t="s">
        <v>25</v>
      </c>
      <c r="H1380" t="s">
        <v>3377</v>
      </c>
    </row>
    <row r="1381" spans="1:8" x14ac:dyDescent="0.25">
      <c r="A1381" t="s">
        <v>2583</v>
      </c>
      <c r="B1381" t="s">
        <v>1701</v>
      </c>
      <c r="C1381" s="27">
        <v>45060</v>
      </c>
      <c r="D1381" t="s">
        <v>14</v>
      </c>
      <c r="E1381" t="s">
        <v>3370</v>
      </c>
      <c r="F1381">
        <v>1370.01</v>
      </c>
      <c r="G1381">
        <v>8</v>
      </c>
      <c r="H1381" t="s">
        <v>18</v>
      </c>
    </row>
    <row r="1382" spans="1:8" x14ac:dyDescent="0.25">
      <c r="A1382" t="s">
        <v>2584</v>
      </c>
      <c r="B1382" t="s">
        <v>2585</v>
      </c>
      <c r="C1382" s="27">
        <v>45210</v>
      </c>
      <c r="D1382" t="s">
        <v>21</v>
      </c>
      <c r="E1382" t="s">
        <v>3371</v>
      </c>
      <c r="F1382">
        <v>14.67</v>
      </c>
      <c r="G1382">
        <v>8</v>
      </c>
      <c r="H1382" t="s">
        <v>35</v>
      </c>
    </row>
    <row r="1383" spans="1:8" x14ac:dyDescent="0.25">
      <c r="A1383" t="s">
        <v>2586</v>
      </c>
      <c r="B1383" t="s">
        <v>2048</v>
      </c>
      <c r="C1383" s="27">
        <v>45235</v>
      </c>
      <c r="D1383" t="s">
        <v>10</v>
      </c>
      <c r="E1383" t="s">
        <v>25</v>
      </c>
      <c r="F1383">
        <v>679.46</v>
      </c>
      <c r="G1383">
        <v>10</v>
      </c>
      <c r="H1383" t="s">
        <v>3377</v>
      </c>
    </row>
    <row r="1384" spans="1:8" x14ac:dyDescent="0.25">
      <c r="A1384" t="s">
        <v>2587</v>
      </c>
      <c r="B1384" t="s">
        <v>2588</v>
      </c>
      <c r="C1384" s="27">
        <v>45021</v>
      </c>
      <c r="D1384" t="s">
        <v>10</v>
      </c>
      <c r="E1384" t="s">
        <v>11</v>
      </c>
      <c r="F1384">
        <v>1845.6</v>
      </c>
      <c r="H1384" t="s">
        <v>35</v>
      </c>
    </row>
    <row r="1385" spans="1:8" x14ac:dyDescent="0.25">
      <c r="A1385" t="s">
        <v>3442</v>
      </c>
      <c r="B1385" t="s">
        <v>3443</v>
      </c>
      <c r="C1385" s="27">
        <v>44897</v>
      </c>
      <c r="D1385" t="s">
        <v>14</v>
      </c>
      <c r="E1385" t="s">
        <v>22</v>
      </c>
      <c r="H1385" t="s">
        <v>15</v>
      </c>
    </row>
    <row r="1386" spans="1:8" x14ac:dyDescent="0.25">
      <c r="A1386" t="s">
        <v>2589</v>
      </c>
      <c r="B1386" t="s">
        <v>2590</v>
      </c>
      <c r="C1386" s="27">
        <v>45360</v>
      </c>
      <c r="D1386" t="s">
        <v>21</v>
      </c>
      <c r="E1386" t="s">
        <v>34</v>
      </c>
      <c r="F1386">
        <v>1831.9</v>
      </c>
      <c r="G1386">
        <v>10</v>
      </c>
      <c r="H1386" t="s">
        <v>3369</v>
      </c>
    </row>
    <row r="1387" spans="1:8" x14ac:dyDescent="0.25">
      <c r="A1387" t="s">
        <v>2591</v>
      </c>
      <c r="B1387" t="s">
        <v>2592</v>
      </c>
      <c r="C1387" s="27">
        <v>45398</v>
      </c>
      <c r="D1387" t="s">
        <v>10</v>
      </c>
      <c r="E1387" t="s">
        <v>3370</v>
      </c>
      <c r="F1387">
        <v>1600.42</v>
      </c>
      <c r="G1387">
        <v>9</v>
      </c>
      <c r="H1387" t="s">
        <v>35</v>
      </c>
    </row>
    <row r="1388" spans="1:8" x14ac:dyDescent="0.25">
      <c r="A1388" t="s">
        <v>3435</v>
      </c>
      <c r="B1388" t="s">
        <v>3436</v>
      </c>
      <c r="C1388" s="27">
        <v>45936</v>
      </c>
      <c r="D1388" t="s">
        <v>14</v>
      </c>
      <c r="E1388" t="s">
        <v>25</v>
      </c>
      <c r="F1388">
        <v>1896.37</v>
      </c>
      <c r="H1388" t="s">
        <v>3369</v>
      </c>
    </row>
    <row r="1389" spans="1:8" x14ac:dyDescent="0.25">
      <c r="A1389" t="s">
        <v>3397</v>
      </c>
      <c r="B1389" t="s">
        <v>3398</v>
      </c>
      <c r="C1389" s="27">
        <v>45377</v>
      </c>
      <c r="D1389" t="s">
        <v>3372</v>
      </c>
      <c r="E1389" t="s">
        <v>3370</v>
      </c>
      <c r="F1389">
        <v>1633.67</v>
      </c>
      <c r="H1389" t="s">
        <v>15</v>
      </c>
    </row>
    <row r="1390" spans="1:8" x14ac:dyDescent="0.25">
      <c r="A1390" t="s">
        <v>2593</v>
      </c>
      <c r="B1390" t="s">
        <v>1648</v>
      </c>
      <c r="C1390" s="27">
        <v>45801</v>
      </c>
      <c r="D1390" t="s">
        <v>21</v>
      </c>
      <c r="E1390" t="s">
        <v>3370</v>
      </c>
      <c r="F1390">
        <v>1220.31</v>
      </c>
      <c r="G1390">
        <v>6</v>
      </c>
      <c r="H1390" t="s">
        <v>3377</v>
      </c>
    </row>
    <row r="1391" spans="1:8" x14ac:dyDescent="0.25">
      <c r="A1391" t="s">
        <v>2594</v>
      </c>
      <c r="B1391" t="s">
        <v>2595</v>
      </c>
      <c r="C1391" s="27">
        <v>45707</v>
      </c>
      <c r="D1391" t="s">
        <v>3372</v>
      </c>
      <c r="E1391" t="s">
        <v>3370</v>
      </c>
      <c r="F1391">
        <v>554.80999999999995</v>
      </c>
      <c r="G1391">
        <v>10</v>
      </c>
      <c r="H1391" t="s">
        <v>15</v>
      </c>
    </row>
    <row r="1392" spans="1:8" x14ac:dyDescent="0.25">
      <c r="A1392" t="s">
        <v>2596</v>
      </c>
      <c r="B1392" t="s">
        <v>2597</v>
      </c>
      <c r="C1392" s="27">
        <v>45705</v>
      </c>
      <c r="D1392" t="s">
        <v>3372</v>
      </c>
      <c r="E1392" t="s">
        <v>25</v>
      </c>
      <c r="F1392">
        <v>794.62</v>
      </c>
      <c r="G1392">
        <v>10</v>
      </c>
      <c r="H1392" t="s">
        <v>18</v>
      </c>
    </row>
    <row r="1393" spans="1:8" x14ac:dyDescent="0.25">
      <c r="A1393" t="s">
        <v>2598</v>
      </c>
      <c r="B1393" t="s">
        <v>2599</v>
      </c>
      <c r="C1393" s="27">
        <v>45661</v>
      </c>
      <c r="D1393" t="s">
        <v>10</v>
      </c>
      <c r="E1393" t="s">
        <v>11</v>
      </c>
      <c r="F1393">
        <v>995.94</v>
      </c>
      <c r="G1393">
        <v>7</v>
      </c>
      <c r="H1393" t="s">
        <v>18</v>
      </c>
    </row>
    <row r="1394" spans="1:8" x14ac:dyDescent="0.25">
      <c r="A1394" t="s">
        <v>2600</v>
      </c>
      <c r="B1394" t="s">
        <v>2601</v>
      </c>
      <c r="C1394" s="27">
        <v>45948</v>
      </c>
      <c r="D1394" t="s">
        <v>21</v>
      </c>
      <c r="E1394" t="s">
        <v>3370</v>
      </c>
      <c r="F1394">
        <v>1777.9</v>
      </c>
      <c r="G1394">
        <v>4</v>
      </c>
      <c r="H1394" t="s">
        <v>35</v>
      </c>
    </row>
    <row r="1395" spans="1:8" x14ac:dyDescent="0.25">
      <c r="A1395" t="s">
        <v>2602</v>
      </c>
      <c r="B1395" t="s">
        <v>2603</v>
      </c>
      <c r="C1395" s="27">
        <v>44991</v>
      </c>
      <c r="D1395" t="s">
        <v>3372</v>
      </c>
      <c r="E1395" t="s">
        <v>11</v>
      </c>
      <c r="F1395">
        <v>1856.04</v>
      </c>
      <c r="G1395">
        <v>8</v>
      </c>
      <c r="H1395" t="s">
        <v>35</v>
      </c>
    </row>
    <row r="1396" spans="1:8" x14ac:dyDescent="0.25">
      <c r="A1396" t="s">
        <v>2604</v>
      </c>
      <c r="B1396" t="s">
        <v>2605</v>
      </c>
      <c r="C1396" s="27">
        <v>45664</v>
      </c>
      <c r="D1396" t="s">
        <v>21</v>
      </c>
      <c r="E1396" t="s">
        <v>22</v>
      </c>
      <c r="F1396">
        <v>738.36</v>
      </c>
      <c r="G1396">
        <v>5</v>
      </c>
      <c r="H1396" t="s">
        <v>35</v>
      </c>
    </row>
    <row r="1397" spans="1:8" x14ac:dyDescent="0.25">
      <c r="A1397" t="s">
        <v>3444</v>
      </c>
      <c r="B1397" t="s">
        <v>853</v>
      </c>
      <c r="C1397" s="27">
        <v>44997</v>
      </c>
      <c r="D1397" t="s">
        <v>3372</v>
      </c>
      <c r="E1397" t="s">
        <v>34</v>
      </c>
      <c r="H1397" t="s">
        <v>3369</v>
      </c>
    </row>
    <row r="1398" spans="1:8" x14ac:dyDescent="0.25">
      <c r="A1398" t="s">
        <v>2606</v>
      </c>
      <c r="B1398" t="s">
        <v>2607</v>
      </c>
      <c r="C1398" s="27">
        <v>45559</v>
      </c>
      <c r="D1398" t="s">
        <v>14</v>
      </c>
      <c r="E1398" t="s">
        <v>3370</v>
      </c>
      <c r="F1398">
        <v>858.56</v>
      </c>
      <c r="G1398">
        <v>9</v>
      </c>
      <c r="H1398" t="s">
        <v>3377</v>
      </c>
    </row>
    <row r="1399" spans="1:8" x14ac:dyDescent="0.25">
      <c r="A1399" t="s">
        <v>2608</v>
      </c>
      <c r="B1399" t="s">
        <v>2609</v>
      </c>
      <c r="C1399" s="27">
        <v>44875</v>
      </c>
      <c r="D1399" t="s">
        <v>14</v>
      </c>
      <c r="E1399" t="s">
        <v>3370</v>
      </c>
      <c r="F1399">
        <v>1849.39</v>
      </c>
      <c r="G1399">
        <v>8</v>
      </c>
      <c r="H1399" t="s">
        <v>35</v>
      </c>
    </row>
    <row r="1400" spans="1:8" x14ac:dyDescent="0.25">
      <c r="A1400" t="s">
        <v>2610</v>
      </c>
      <c r="B1400" t="s">
        <v>2611</v>
      </c>
      <c r="C1400" s="27">
        <v>44860</v>
      </c>
      <c r="D1400" t="s">
        <v>21</v>
      </c>
      <c r="E1400" t="s">
        <v>3370</v>
      </c>
      <c r="F1400">
        <v>166.02</v>
      </c>
      <c r="G1400">
        <v>1</v>
      </c>
      <c r="H1400" t="s">
        <v>35</v>
      </c>
    </row>
    <row r="1401" spans="1:8" x14ac:dyDescent="0.25">
      <c r="A1401" t="s">
        <v>2612</v>
      </c>
      <c r="B1401" t="s">
        <v>391</v>
      </c>
      <c r="C1401" s="27">
        <v>45539</v>
      </c>
      <c r="D1401" t="s">
        <v>3372</v>
      </c>
      <c r="E1401" t="s">
        <v>3370</v>
      </c>
      <c r="F1401">
        <v>540.03</v>
      </c>
      <c r="G1401">
        <v>9</v>
      </c>
      <c r="H1401" t="s">
        <v>15</v>
      </c>
    </row>
    <row r="1402" spans="1:8" x14ac:dyDescent="0.25">
      <c r="A1402" t="s">
        <v>2613</v>
      </c>
      <c r="B1402" t="s">
        <v>2614</v>
      </c>
      <c r="C1402" s="27">
        <v>45158</v>
      </c>
      <c r="D1402" t="s">
        <v>14</v>
      </c>
      <c r="E1402" t="s">
        <v>34</v>
      </c>
      <c r="F1402">
        <v>1116.77</v>
      </c>
      <c r="G1402">
        <v>2</v>
      </c>
      <c r="H1402" t="s">
        <v>3377</v>
      </c>
    </row>
    <row r="1403" spans="1:8" x14ac:dyDescent="0.25">
      <c r="A1403" t="s">
        <v>2615</v>
      </c>
      <c r="B1403" t="s">
        <v>2616</v>
      </c>
      <c r="C1403" s="27">
        <v>45520</v>
      </c>
      <c r="D1403" t="s">
        <v>10</v>
      </c>
      <c r="E1403" t="s">
        <v>11</v>
      </c>
      <c r="G1403">
        <v>10</v>
      </c>
      <c r="H1403" t="s">
        <v>18</v>
      </c>
    </row>
    <row r="1404" spans="1:8" x14ac:dyDescent="0.25">
      <c r="A1404" t="s">
        <v>2617</v>
      </c>
      <c r="B1404" t="s">
        <v>2618</v>
      </c>
      <c r="C1404" s="27">
        <v>45088</v>
      </c>
      <c r="D1404" t="s">
        <v>21</v>
      </c>
      <c r="E1404" t="s">
        <v>11</v>
      </c>
      <c r="F1404">
        <v>654.09</v>
      </c>
      <c r="G1404">
        <v>3</v>
      </c>
      <c r="H1404" t="s">
        <v>35</v>
      </c>
    </row>
    <row r="1405" spans="1:8" x14ac:dyDescent="0.25">
      <c r="A1405" t="s">
        <v>2619</v>
      </c>
      <c r="B1405" t="s">
        <v>2620</v>
      </c>
      <c r="C1405" s="27">
        <v>45285</v>
      </c>
      <c r="D1405" t="s">
        <v>3372</v>
      </c>
      <c r="E1405" t="s">
        <v>3371</v>
      </c>
      <c r="F1405">
        <v>457.16</v>
      </c>
      <c r="G1405">
        <v>1</v>
      </c>
      <c r="H1405" t="s">
        <v>3369</v>
      </c>
    </row>
    <row r="1406" spans="1:8" x14ac:dyDescent="0.25">
      <c r="A1406" t="s">
        <v>2621</v>
      </c>
      <c r="B1406" t="s">
        <v>2622</v>
      </c>
      <c r="C1406" s="27">
        <v>45657</v>
      </c>
      <c r="D1406" t="s">
        <v>21</v>
      </c>
      <c r="E1406" t="s">
        <v>3370</v>
      </c>
      <c r="F1406">
        <v>827.55</v>
      </c>
      <c r="G1406">
        <v>4</v>
      </c>
      <c r="H1406" t="s">
        <v>18</v>
      </c>
    </row>
    <row r="1407" spans="1:8" x14ac:dyDescent="0.25">
      <c r="A1407" t="s">
        <v>2623</v>
      </c>
      <c r="B1407" t="s">
        <v>2624</v>
      </c>
      <c r="C1407" s="27">
        <v>45772</v>
      </c>
      <c r="D1407" t="s">
        <v>3372</v>
      </c>
      <c r="E1407" t="s">
        <v>3370</v>
      </c>
      <c r="F1407">
        <v>128.85</v>
      </c>
      <c r="G1407">
        <v>9</v>
      </c>
      <c r="H1407" t="s">
        <v>3377</v>
      </c>
    </row>
    <row r="1408" spans="1:8" x14ac:dyDescent="0.25">
      <c r="A1408" t="s">
        <v>2625</v>
      </c>
      <c r="B1408" t="s">
        <v>1964</v>
      </c>
      <c r="C1408" s="27">
        <v>45300</v>
      </c>
      <c r="D1408" t="s">
        <v>14</v>
      </c>
      <c r="E1408" t="s">
        <v>3370</v>
      </c>
      <c r="F1408">
        <v>385.08</v>
      </c>
      <c r="G1408">
        <v>2</v>
      </c>
      <c r="H1408" t="s">
        <v>35</v>
      </c>
    </row>
    <row r="1409" spans="1:8" x14ac:dyDescent="0.25">
      <c r="A1409" t="s">
        <v>2626</v>
      </c>
      <c r="B1409" t="s">
        <v>2627</v>
      </c>
      <c r="C1409" s="27">
        <v>45769</v>
      </c>
      <c r="D1409" t="s">
        <v>21</v>
      </c>
      <c r="E1409" t="s">
        <v>22</v>
      </c>
      <c r="F1409">
        <v>1253.78</v>
      </c>
      <c r="G1409">
        <v>10</v>
      </c>
      <c r="H1409" t="s">
        <v>35</v>
      </c>
    </row>
    <row r="1410" spans="1:8" x14ac:dyDescent="0.25">
      <c r="A1410" t="s">
        <v>2628</v>
      </c>
      <c r="B1410" t="s">
        <v>2629</v>
      </c>
      <c r="C1410" s="27">
        <v>45521</v>
      </c>
      <c r="D1410" t="s">
        <v>14</v>
      </c>
      <c r="E1410" t="s">
        <v>22</v>
      </c>
      <c r="F1410">
        <v>897.74</v>
      </c>
      <c r="G1410">
        <v>1</v>
      </c>
      <c r="H1410" t="s">
        <v>35</v>
      </c>
    </row>
    <row r="1411" spans="1:8" x14ac:dyDescent="0.25">
      <c r="A1411" t="s">
        <v>2630</v>
      </c>
      <c r="B1411" t="s">
        <v>2631</v>
      </c>
      <c r="C1411" s="27">
        <v>45333</v>
      </c>
      <c r="D1411" t="s">
        <v>14</v>
      </c>
      <c r="E1411" t="s">
        <v>34</v>
      </c>
      <c r="F1411">
        <v>634.12</v>
      </c>
      <c r="G1411">
        <v>5</v>
      </c>
      <c r="H1411" t="s">
        <v>15</v>
      </c>
    </row>
    <row r="1412" spans="1:8" x14ac:dyDescent="0.25">
      <c r="A1412" t="s">
        <v>2632</v>
      </c>
      <c r="B1412" t="s">
        <v>2633</v>
      </c>
      <c r="C1412" s="27">
        <v>45633</v>
      </c>
      <c r="D1412" t="s">
        <v>21</v>
      </c>
      <c r="E1412" t="s">
        <v>11</v>
      </c>
      <c r="G1412">
        <v>4</v>
      </c>
      <c r="H1412" t="s">
        <v>3377</v>
      </c>
    </row>
    <row r="1413" spans="1:8" x14ac:dyDescent="0.25">
      <c r="A1413" t="s">
        <v>2634</v>
      </c>
      <c r="B1413" t="s">
        <v>2635</v>
      </c>
      <c r="C1413" s="27">
        <v>45905</v>
      </c>
      <c r="D1413" t="s">
        <v>14</v>
      </c>
      <c r="E1413" t="s">
        <v>11</v>
      </c>
      <c r="F1413">
        <v>511.6</v>
      </c>
      <c r="G1413">
        <v>6</v>
      </c>
      <c r="H1413" t="s">
        <v>3377</v>
      </c>
    </row>
    <row r="1414" spans="1:8" x14ac:dyDescent="0.25">
      <c r="A1414" t="s">
        <v>2636</v>
      </c>
      <c r="B1414" t="s">
        <v>655</v>
      </c>
      <c r="C1414" s="27">
        <v>45950</v>
      </c>
      <c r="D1414" t="s">
        <v>10</v>
      </c>
      <c r="E1414" t="s">
        <v>22</v>
      </c>
      <c r="G1414">
        <v>1</v>
      </c>
      <c r="H1414" t="s">
        <v>35</v>
      </c>
    </row>
    <row r="1415" spans="1:8" x14ac:dyDescent="0.25">
      <c r="A1415" t="s">
        <v>2637</v>
      </c>
      <c r="B1415" t="s">
        <v>2638</v>
      </c>
      <c r="C1415" s="27">
        <v>45815</v>
      </c>
      <c r="D1415" t="s">
        <v>14</v>
      </c>
      <c r="E1415" t="s">
        <v>3371</v>
      </c>
      <c r="F1415">
        <v>282.67</v>
      </c>
      <c r="G1415">
        <v>4</v>
      </c>
      <c r="H1415" t="s">
        <v>15</v>
      </c>
    </row>
    <row r="1416" spans="1:8" x14ac:dyDescent="0.25">
      <c r="A1416" t="s">
        <v>2639</v>
      </c>
      <c r="B1416" t="s">
        <v>2640</v>
      </c>
      <c r="C1416" s="27">
        <v>45944</v>
      </c>
      <c r="D1416" t="s">
        <v>14</v>
      </c>
      <c r="E1416" t="s">
        <v>22</v>
      </c>
      <c r="F1416">
        <v>1634</v>
      </c>
      <c r="G1416">
        <v>10</v>
      </c>
      <c r="H1416" t="s">
        <v>15</v>
      </c>
    </row>
    <row r="1417" spans="1:8" x14ac:dyDescent="0.25">
      <c r="A1417" t="s">
        <v>2641</v>
      </c>
      <c r="B1417" t="s">
        <v>2642</v>
      </c>
      <c r="C1417" s="27">
        <v>44894</v>
      </c>
      <c r="D1417" t="s">
        <v>14</v>
      </c>
      <c r="E1417" t="s">
        <v>22</v>
      </c>
      <c r="F1417">
        <v>1487.37</v>
      </c>
      <c r="G1417">
        <v>9</v>
      </c>
      <c r="H1417" t="s">
        <v>3377</v>
      </c>
    </row>
    <row r="1418" spans="1:8" x14ac:dyDescent="0.25">
      <c r="A1418" t="s">
        <v>2643</v>
      </c>
      <c r="B1418" t="s">
        <v>2644</v>
      </c>
      <c r="C1418" s="27">
        <v>45693</v>
      </c>
      <c r="D1418" t="s">
        <v>10</v>
      </c>
      <c r="E1418" t="s">
        <v>11</v>
      </c>
      <c r="F1418">
        <v>1308.99</v>
      </c>
      <c r="G1418">
        <v>8</v>
      </c>
      <c r="H1418" t="s">
        <v>18</v>
      </c>
    </row>
    <row r="1419" spans="1:8" x14ac:dyDescent="0.25">
      <c r="A1419" t="s">
        <v>2645</v>
      </c>
      <c r="B1419" t="s">
        <v>2646</v>
      </c>
      <c r="C1419" s="27">
        <v>44875</v>
      </c>
      <c r="D1419" t="s">
        <v>10</v>
      </c>
      <c r="E1419" t="s">
        <v>3370</v>
      </c>
      <c r="F1419">
        <v>134.6</v>
      </c>
      <c r="G1419">
        <v>5</v>
      </c>
      <c r="H1419" t="s">
        <v>35</v>
      </c>
    </row>
    <row r="1420" spans="1:8" x14ac:dyDescent="0.25">
      <c r="A1420" t="s">
        <v>2647</v>
      </c>
      <c r="B1420" t="s">
        <v>2648</v>
      </c>
      <c r="C1420" s="27">
        <v>44862</v>
      </c>
      <c r="D1420" t="s">
        <v>10</v>
      </c>
      <c r="E1420" t="s">
        <v>25</v>
      </c>
      <c r="F1420">
        <v>1076.67</v>
      </c>
      <c r="G1420">
        <v>9</v>
      </c>
      <c r="H1420" t="s">
        <v>3369</v>
      </c>
    </row>
    <row r="1421" spans="1:8" x14ac:dyDescent="0.25">
      <c r="A1421" t="s">
        <v>2649</v>
      </c>
      <c r="B1421" t="s">
        <v>2650</v>
      </c>
      <c r="C1421" s="27">
        <v>45499</v>
      </c>
      <c r="D1421" t="s">
        <v>14</v>
      </c>
      <c r="E1421" t="s">
        <v>25</v>
      </c>
      <c r="F1421">
        <v>1255</v>
      </c>
      <c r="G1421">
        <v>3</v>
      </c>
      <c r="H1421" t="s">
        <v>15</v>
      </c>
    </row>
    <row r="1422" spans="1:8" x14ac:dyDescent="0.25">
      <c r="A1422" t="s">
        <v>2651</v>
      </c>
      <c r="B1422" t="s">
        <v>2652</v>
      </c>
      <c r="C1422" s="27">
        <v>45494</v>
      </c>
      <c r="D1422" t="s">
        <v>3372</v>
      </c>
      <c r="E1422" t="s">
        <v>22</v>
      </c>
      <c r="F1422">
        <v>845.36</v>
      </c>
      <c r="G1422">
        <v>4</v>
      </c>
      <c r="H1422" t="s">
        <v>3377</v>
      </c>
    </row>
    <row r="1423" spans="1:8" x14ac:dyDescent="0.25">
      <c r="A1423" t="s">
        <v>2653</v>
      </c>
      <c r="B1423" t="s">
        <v>2654</v>
      </c>
      <c r="C1423" s="27">
        <v>45086</v>
      </c>
      <c r="D1423" t="s">
        <v>14</v>
      </c>
      <c r="E1423" t="s">
        <v>25</v>
      </c>
      <c r="F1423">
        <v>1082.53</v>
      </c>
      <c r="G1423">
        <v>8</v>
      </c>
      <c r="H1423" t="s">
        <v>18</v>
      </c>
    </row>
    <row r="1424" spans="1:8" x14ac:dyDescent="0.25">
      <c r="A1424" t="s">
        <v>2655</v>
      </c>
      <c r="B1424" t="s">
        <v>2656</v>
      </c>
      <c r="C1424" s="27">
        <v>45714</v>
      </c>
      <c r="D1424" t="s">
        <v>21</v>
      </c>
      <c r="E1424" t="s">
        <v>34</v>
      </c>
      <c r="F1424">
        <v>1358.64</v>
      </c>
      <c r="G1424">
        <v>5</v>
      </c>
      <c r="H1424" t="s">
        <v>3369</v>
      </c>
    </row>
    <row r="1425" spans="1:8" x14ac:dyDescent="0.25">
      <c r="A1425" t="s">
        <v>2657</v>
      </c>
      <c r="B1425" t="s">
        <v>2658</v>
      </c>
      <c r="C1425" s="27">
        <v>45266</v>
      </c>
      <c r="D1425" t="s">
        <v>10</v>
      </c>
      <c r="E1425" t="s">
        <v>3371</v>
      </c>
      <c r="F1425">
        <v>1972.26</v>
      </c>
      <c r="G1425">
        <v>2</v>
      </c>
      <c r="H1425" t="s">
        <v>18</v>
      </c>
    </row>
    <row r="1426" spans="1:8" x14ac:dyDescent="0.25">
      <c r="A1426" t="s">
        <v>2659</v>
      </c>
      <c r="B1426" t="s">
        <v>2660</v>
      </c>
      <c r="C1426" s="27">
        <v>45437</v>
      </c>
      <c r="D1426" t="s">
        <v>21</v>
      </c>
      <c r="E1426" t="s">
        <v>22</v>
      </c>
      <c r="F1426">
        <v>1699.83</v>
      </c>
      <c r="G1426">
        <v>8</v>
      </c>
      <c r="H1426" t="s">
        <v>3369</v>
      </c>
    </row>
    <row r="1427" spans="1:8" x14ac:dyDescent="0.25">
      <c r="A1427" t="s">
        <v>2661</v>
      </c>
      <c r="B1427" t="s">
        <v>2662</v>
      </c>
      <c r="C1427" s="27">
        <v>45695</v>
      </c>
      <c r="D1427" t="s">
        <v>14</v>
      </c>
      <c r="E1427" t="s">
        <v>25</v>
      </c>
      <c r="F1427">
        <v>1521.1</v>
      </c>
      <c r="G1427">
        <v>4</v>
      </c>
      <c r="H1427" t="s">
        <v>15</v>
      </c>
    </row>
    <row r="1428" spans="1:8" x14ac:dyDescent="0.25">
      <c r="A1428" t="s">
        <v>2663</v>
      </c>
      <c r="B1428" t="s">
        <v>2664</v>
      </c>
      <c r="C1428" s="27">
        <v>45864</v>
      </c>
      <c r="D1428" t="s">
        <v>14</v>
      </c>
      <c r="E1428" t="s">
        <v>22</v>
      </c>
      <c r="G1428">
        <v>2</v>
      </c>
      <c r="H1428" t="s">
        <v>35</v>
      </c>
    </row>
    <row r="1429" spans="1:8" x14ac:dyDescent="0.25">
      <c r="A1429" t="s">
        <v>2665</v>
      </c>
      <c r="B1429" t="s">
        <v>2666</v>
      </c>
      <c r="C1429" s="27">
        <v>44970</v>
      </c>
      <c r="D1429" t="s">
        <v>10</v>
      </c>
      <c r="E1429" t="s">
        <v>25</v>
      </c>
      <c r="F1429">
        <v>1380.24</v>
      </c>
      <c r="G1429">
        <v>3</v>
      </c>
      <c r="H1429" t="s">
        <v>15</v>
      </c>
    </row>
    <row r="1430" spans="1:8" x14ac:dyDescent="0.25">
      <c r="A1430" t="s">
        <v>2667</v>
      </c>
      <c r="B1430" t="s">
        <v>2668</v>
      </c>
      <c r="C1430" s="27">
        <v>45485</v>
      </c>
      <c r="D1430" t="s">
        <v>14</v>
      </c>
      <c r="E1430" t="s">
        <v>22</v>
      </c>
      <c r="F1430">
        <v>958.47</v>
      </c>
      <c r="G1430">
        <v>6</v>
      </c>
      <c r="H1430" t="s">
        <v>18</v>
      </c>
    </row>
    <row r="1431" spans="1:8" x14ac:dyDescent="0.25">
      <c r="A1431" t="s">
        <v>2669</v>
      </c>
      <c r="B1431" t="s">
        <v>2670</v>
      </c>
      <c r="C1431" s="27">
        <v>45378</v>
      </c>
      <c r="D1431" t="s">
        <v>10</v>
      </c>
      <c r="E1431" t="s">
        <v>25</v>
      </c>
      <c r="F1431">
        <v>844.67</v>
      </c>
      <c r="G1431">
        <v>6</v>
      </c>
      <c r="H1431" t="s">
        <v>15</v>
      </c>
    </row>
    <row r="1432" spans="1:8" x14ac:dyDescent="0.25">
      <c r="A1432" t="s">
        <v>2671</v>
      </c>
      <c r="B1432" t="s">
        <v>2672</v>
      </c>
      <c r="C1432" s="27">
        <v>45136</v>
      </c>
      <c r="D1432" t="s">
        <v>3372</v>
      </c>
      <c r="E1432" t="s">
        <v>34</v>
      </c>
      <c r="G1432">
        <v>7</v>
      </c>
      <c r="H1432" t="s">
        <v>18</v>
      </c>
    </row>
    <row r="1433" spans="1:8" x14ac:dyDescent="0.25">
      <c r="A1433" t="s">
        <v>2673</v>
      </c>
      <c r="B1433" t="s">
        <v>2674</v>
      </c>
      <c r="C1433" s="27">
        <v>45348</v>
      </c>
      <c r="D1433" t="s">
        <v>3372</v>
      </c>
      <c r="E1433" t="s">
        <v>3371</v>
      </c>
      <c r="F1433">
        <v>1277.43</v>
      </c>
      <c r="G1433">
        <v>5</v>
      </c>
      <c r="H1433" t="s">
        <v>3369</v>
      </c>
    </row>
    <row r="1434" spans="1:8" x14ac:dyDescent="0.25">
      <c r="A1434" t="s">
        <v>2675</v>
      </c>
      <c r="B1434" t="s">
        <v>2676</v>
      </c>
      <c r="C1434" s="27">
        <v>45343</v>
      </c>
      <c r="D1434" t="s">
        <v>14</v>
      </c>
      <c r="E1434" t="s">
        <v>34</v>
      </c>
      <c r="F1434">
        <v>756.07</v>
      </c>
      <c r="G1434">
        <v>7</v>
      </c>
      <c r="H1434" t="s">
        <v>35</v>
      </c>
    </row>
    <row r="1435" spans="1:8" x14ac:dyDescent="0.25">
      <c r="A1435" t="s">
        <v>2677</v>
      </c>
      <c r="B1435" t="s">
        <v>401</v>
      </c>
      <c r="C1435" s="27">
        <v>45419</v>
      </c>
      <c r="D1435" t="s">
        <v>3372</v>
      </c>
      <c r="E1435" t="s">
        <v>22</v>
      </c>
      <c r="F1435">
        <v>896.59</v>
      </c>
      <c r="G1435">
        <v>2</v>
      </c>
      <c r="H1435" t="s">
        <v>3369</v>
      </c>
    </row>
    <row r="1436" spans="1:8" x14ac:dyDescent="0.25">
      <c r="A1436" t="s">
        <v>2678</v>
      </c>
      <c r="B1436" t="s">
        <v>2679</v>
      </c>
      <c r="C1436" s="27">
        <v>44937</v>
      </c>
      <c r="D1436" t="s">
        <v>14</v>
      </c>
      <c r="E1436" t="s">
        <v>3370</v>
      </c>
      <c r="F1436">
        <v>364.78</v>
      </c>
      <c r="G1436">
        <v>5</v>
      </c>
      <c r="H1436" t="s">
        <v>3369</v>
      </c>
    </row>
    <row r="1437" spans="1:8" x14ac:dyDescent="0.25">
      <c r="A1437" t="s">
        <v>2680</v>
      </c>
      <c r="B1437" t="s">
        <v>2681</v>
      </c>
      <c r="C1437" s="27">
        <v>45049</v>
      </c>
      <c r="D1437" t="s">
        <v>14</v>
      </c>
      <c r="E1437" t="s">
        <v>34</v>
      </c>
      <c r="F1437">
        <v>741.34</v>
      </c>
      <c r="G1437">
        <v>10</v>
      </c>
      <c r="H1437" t="s">
        <v>35</v>
      </c>
    </row>
    <row r="1438" spans="1:8" x14ac:dyDescent="0.25">
      <c r="A1438" t="s">
        <v>2682</v>
      </c>
      <c r="B1438" t="s">
        <v>682</v>
      </c>
      <c r="C1438" s="27">
        <v>45426</v>
      </c>
      <c r="D1438" t="s">
        <v>14</v>
      </c>
      <c r="E1438" t="s">
        <v>3371</v>
      </c>
      <c r="F1438">
        <v>24.72</v>
      </c>
      <c r="G1438">
        <v>5</v>
      </c>
      <c r="H1438" t="s">
        <v>3369</v>
      </c>
    </row>
    <row r="1439" spans="1:8" x14ac:dyDescent="0.25">
      <c r="A1439" t="s">
        <v>2683</v>
      </c>
      <c r="B1439" t="s">
        <v>2684</v>
      </c>
      <c r="C1439" s="27">
        <v>44886</v>
      </c>
      <c r="D1439" t="s">
        <v>14</v>
      </c>
      <c r="E1439" t="s">
        <v>11</v>
      </c>
      <c r="F1439">
        <v>1742.27</v>
      </c>
      <c r="G1439">
        <v>3</v>
      </c>
      <c r="H1439" t="s">
        <v>35</v>
      </c>
    </row>
    <row r="1440" spans="1:8" x14ac:dyDescent="0.25">
      <c r="A1440" t="s">
        <v>2685</v>
      </c>
      <c r="B1440" t="s">
        <v>2686</v>
      </c>
      <c r="C1440" s="27">
        <v>45726</v>
      </c>
      <c r="D1440" t="s">
        <v>14</v>
      </c>
      <c r="E1440" t="s">
        <v>25</v>
      </c>
      <c r="F1440">
        <v>1592.42</v>
      </c>
      <c r="H1440" t="s">
        <v>3369</v>
      </c>
    </row>
    <row r="1441" spans="1:8" x14ac:dyDescent="0.25">
      <c r="A1441" t="s">
        <v>2687</v>
      </c>
      <c r="B1441" t="s">
        <v>2688</v>
      </c>
      <c r="C1441" s="27">
        <v>45184</v>
      </c>
      <c r="D1441" t="s">
        <v>10</v>
      </c>
      <c r="E1441" t="s">
        <v>11</v>
      </c>
      <c r="F1441">
        <v>1259.31</v>
      </c>
      <c r="G1441">
        <v>1</v>
      </c>
      <c r="H1441" t="s">
        <v>35</v>
      </c>
    </row>
    <row r="1442" spans="1:8" x14ac:dyDescent="0.25">
      <c r="A1442" t="s">
        <v>2689</v>
      </c>
      <c r="B1442" t="s">
        <v>1959</v>
      </c>
      <c r="C1442" s="27">
        <v>45512</v>
      </c>
      <c r="D1442" t="s">
        <v>21</v>
      </c>
      <c r="E1442" t="s">
        <v>25</v>
      </c>
      <c r="G1442">
        <v>3</v>
      </c>
      <c r="H1442" t="s">
        <v>18</v>
      </c>
    </row>
    <row r="1443" spans="1:8" x14ac:dyDescent="0.25">
      <c r="A1443" t="s">
        <v>2690</v>
      </c>
      <c r="B1443" t="s">
        <v>2691</v>
      </c>
      <c r="C1443" s="27">
        <v>45043</v>
      </c>
      <c r="D1443" t="s">
        <v>21</v>
      </c>
      <c r="E1443" t="s">
        <v>34</v>
      </c>
      <c r="F1443">
        <v>949.11</v>
      </c>
      <c r="G1443">
        <v>10</v>
      </c>
      <c r="H1443" t="s">
        <v>35</v>
      </c>
    </row>
    <row r="1444" spans="1:8" x14ac:dyDescent="0.25">
      <c r="A1444" t="s">
        <v>2692</v>
      </c>
      <c r="B1444" t="s">
        <v>2693</v>
      </c>
      <c r="C1444" s="27">
        <v>45773</v>
      </c>
      <c r="D1444" t="s">
        <v>3372</v>
      </c>
      <c r="E1444" t="s">
        <v>22</v>
      </c>
      <c r="G1444">
        <v>4</v>
      </c>
      <c r="H1444" t="s">
        <v>3377</v>
      </c>
    </row>
    <row r="1445" spans="1:8" x14ac:dyDescent="0.25">
      <c r="A1445" t="s">
        <v>2694</v>
      </c>
      <c r="B1445" t="s">
        <v>2695</v>
      </c>
      <c r="C1445" s="27">
        <v>45822</v>
      </c>
      <c r="D1445" t="s">
        <v>21</v>
      </c>
      <c r="E1445" t="s">
        <v>11</v>
      </c>
      <c r="F1445">
        <v>1199.76</v>
      </c>
      <c r="G1445">
        <v>7</v>
      </c>
      <c r="H1445" t="s">
        <v>3369</v>
      </c>
    </row>
    <row r="1446" spans="1:8" x14ac:dyDescent="0.25">
      <c r="A1446" t="s">
        <v>2696</v>
      </c>
      <c r="B1446" t="s">
        <v>1935</v>
      </c>
      <c r="C1446" s="27">
        <v>45920</v>
      </c>
      <c r="D1446" t="s">
        <v>3372</v>
      </c>
      <c r="E1446" t="s">
        <v>11</v>
      </c>
      <c r="F1446">
        <v>572.02</v>
      </c>
      <c r="G1446">
        <v>6</v>
      </c>
      <c r="H1446" t="s">
        <v>18</v>
      </c>
    </row>
    <row r="1447" spans="1:8" x14ac:dyDescent="0.25">
      <c r="A1447" t="s">
        <v>2697</v>
      </c>
      <c r="B1447" t="s">
        <v>2698</v>
      </c>
      <c r="C1447" s="27">
        <v>45925</v>
      </c>
      <c r="D1447" t="s">
        <v>14</v>
      </c>
      <c r="E1447" t="s">
        <v>3371</v>
      </c>
      <c r="F1447">
        <v>1851.38</v>
      </c>
      <c r="G1447">
        <v>1</v>
      </c>
      <c r="H1447" t="s">
        <v>18</v>
      </c>
    </row>
    <row r="1448" spans="1:8" x14ac:dyDescent="0.25">
      <c r="A1448" t="s">
        <v>2699</v>
      </c>
      <c r="B1448" t="s">
        <v>2700</v>
      </c>
      <c r="C1448" s="27">
        <v>45651</v>
      </c>
      <c r="D1448" t="s">
        <v>3372</v>
      </c>
      <c r="E1448" t="s">
        <v>34</v>
      </c>
      <c r="F1448">
        <v>1860.82</v>
      </c>
      <c r="G1448">
        <v>1</v>
      </c>
      <c r="H1448" t="s">
        <v>35</v>
      </c>
    </row>
    <row r="1449" spans="1:8" x14ac:dyDescent="0.25">
      <c r="A1449" t="s">
        <v>2701</v>
      </c>
      <c r="B1449" t="s">
        <v>2702</v>
      </c>
      <c r="C1449" s="27">
        <v>45046</v>
      </c>
      <c r="D1449" t="s">
        <v>10</v>
      </c>
      <c r="E1449" t="s">
        <v>22</v>
      </c>
      <c r="F1449">
        <v>1142.06</v>
      </c>
      <c r="G1449">
        <v>5</v>
      </c>
      <c r="H1449" t="s">
        <v>3369</v>
      </c>
    </row>
    <row r="1450" spans="1:8" x14ac:dyDescent="0.25">
      <c r="A1450" t="s">
        <v>2703</v>
      </c>
      <c r="B1450" t="s">
        <v>2704</v>
      </c>
      <c r="C1450" s="27">
        <v>45525</v>
      </c>
      <c r="D1450" t="s">
        <v>10</v>
      </c>
      <c r="E1450" t="s">
        <v>22</v>
      </c>
      <c r="F1450">
        <v>291.42</v>
      </c>
      <c r="G1450">
        <v>4</v>
      </c>
      <c r="H1450" t="s">
        <v>3377</v>
      </c>
    </row>
    <row r="1451" spans="1:8" x14ac:dyDescent="0.25">
      <c r="A1451" t="s">
        <v>2705</v>
      </c>
      <c r="B1451" t="s">
        <v>2706</v>
      </c>
      <c r="C1451" s="27">
        <v>45805</v>
      </c>
      <c r="D1451" t="s">
        <v>3372</v>
      </c>
      <c r="E1451" t="s">
        <v>34</v>
      </c>
      <c r="F1451">
        <v>958.48</v>
      </c>
      <c r="G1451">
        <v>3</v>
      </c>
      <c r="H1451" t="s">
        <v>18</v>
      </c>
    </row>
    <row r="1452" spans="1:8" x14ac:dyDescent="0.25">
      <c r="A1452" t="s">
        <v>2707</v>
      </c>
      <c r="B1452" t="s">
        <v>2708</v>
      </c>
      <c r="C1452" s="27">
        <v>45012</v>
      </c>
      <c r="D1452" t="s">
        <v>10</v>
      </c>
      <c r="E1452" t="s">
        <v>3370</v>
      </c>
      <c r="F1452">
        <v>586.05999999999995</v>
      </c>
      <c r="G1452">
        <v>6</v>
      </c>
      <c r="H1452" t="s">
        <v>3369</v>
      </c>
    </row>
    <row r="1453" spans="1:8" x14ac:dyDescent="0.25">
      <c r="A1453" t="s">
        <v>2709</v>
      </c>
      <c r="B1453" t="s">
        <v>2710</v>
      </c>
      <c r="C1453" s="27">
        <v>45426</v>
      </c>
      <c r="D1453" t="s">
        <v>10</v>
      </c>
      <c r="E1453" t="s">
        <v>3371</v>
      </c>
      <c r="F1453">
        <v>663.27</v>
      </c>
      <c r="G1453">
        <v>5</v>
      </c>
      <c r="H1453" t="s">
        <v>15</v>
      </c>
    </row>
    <row r="1454" spans="1:8" x14ac:dyDescent="0.25">
      <c r="A1454" t="s">
        <v>2711</v>
      </c>
      <c r="B1454" t="s">
        <v>2712</v>
      </c>
      <c r="C1454" s="27">
        <v>45534</v>
      </c>
      <c r="D1454" t="s">
        <v>3372</v>
      </c>
      <c r="E1454" t="s">
        <v>11</v>
      </c>
      <c r="F1454">
        <v>574.75</v>
      </c>
      <c r="G1454">
        <v>9</v>
      </c>
      <c r="H1454" t="s">
        <v>15</v>
      </c>
    </row>
    <row r="1455" spans="1:8" x14ac:dyDescent="0.25">
      <c r="A1455" t="s">
        <v>2713</v>
      </c>
      <c r="B1455" t="s">
        <v>1017</v>
      </c>
      <c r="C1455" s="27">
        <v>45021</v>
      </c>
      <c r="D1455" t="s">
        <v>21</v>
      </c>
      <c r="E1455" t="s">
        <v>3371</v>
      </c>
      <c r="F1455">
        <v>12.4</v>
      </c>
      <c r="G1455">
        <v>5</v>
      </c>
      <c r="H1455" t="s">
        <v>35</v>
      </c>
    </row>
    <row r="1456" spans="1:8" x14ac:dyDescent="0.25">
      <c r="A1456" t="s">
        <v>3445</v>
      </c>
      <c r="B1456" t="s">
        <v>3446</v>
      </c>
      <c r="C1456" s="27">
        <v>45520</v>
      </c>
      <c r="D1456" t="s">
        <v>21</v>
      </c>
      <c r="E1456" t="s">
        <v>34</v>
      </c>
      <c r="H1456" t="s">
        <v>35</v>
      </c>
    </row>
    <row r="1457" spans="1:8" x14ac:dyDescent="0.25">
      <c r="A1457" t="s">
        <v>2714</v>
      </c>
      <c r="B1457" t="s">
        <v>2715</v>
      </c>
      <c r="C1457" s="27">
        <v>45655</v>
      </c>
      <c r="D1457" t="s">
        <v>21</v>
      </c>
      <c r="E1457" t="s">
        <v>34</v>
      </c>
      <c r="F1457">
        <v>1294.57</v>
      </c>
      <c r="G1457">
        <v>4</v>
      </c>
      <c r="H1457" t="s">
        <v>3377</v>
      </c>
    </row>
    <row r="1458" spans="1:8" x14ac:dyDescent="0.25">
      <c r="A1458" t="s">
        <v>2716</v>
      </c>
      <c r="B1458" t="s">
        <v>2717</v>
      </c>
      <c r="C1458" s="27">
        <v>45809</v>
      </c>
      <c r="D1458" t="s">
        <v>10</v>
      </c>
      <c r="E1458" t="s">
        <v>25</v>
      </c>
      <c r="F1458">
        <v>1514.91</v>
      </c>
      <c r="G1458">
        <v>6</v>
      </c>
      <c r="H1458" t="s">
        <v>3377</v>
      </c>
    </row>
    <row r="1459" spans="1:8" x14ac:dyDescent="0.25">
      <c r="A1459" t="s">
        <v>2718</v>
      </c>
      <c r="B1459" t="s">
        <v>2719</v>
      </c>
      <c r="C1459" s="27">
        <v>45748</v>
      </c>
      <c r="D1459" t="s">
        <v>10</v>
      </c>
      <c r="E1459" t="s">
        <v>3371</v>
      </c>
      <c r="F1459">
        <v>1702.44</v>
      </c>
      <c r="G1459">
        <v>4</v>
      </c>
      <c r="H1459" t="s">
        <v>35</v>
      </c>
    </row>
    <row r="1460" spans="1:8" x14ac:dyDescent="0.25">
      <c r="A1460" t="s">
        <v>2720</v>
      </c>
      <c r="B1460" t="s">
        <v>2721</v>
      </c>
      <c r="C1460" s="27">
        <v>44942</v>
      </c>
      <c r="D1460" t="s">
        <v>14</v>
      </c>
      <c r="E1460" t="s">
        <v>25</v>
      </c>
      <c r="F1460">
        <v>1345.04</v>
      </c>
      <c r="G1460">
        <v>6</v>
      </c>
      <c r="H1460" t="s">
        <v>18</v>
      </c>
    </row>
    <row r="1461" spans="1:8" x14ac:dyDescent="0.25">
      <c r="A1461" t="s">
        <v>2722</v>
      </c>
      <c r="B1461" t="s">
        <v>2723</v>
      </c>
      <c r="C1461" s="27">
        <v>45553</v>
      </c>
      <c r="D1461" t="s">
        <v>10</v>
      </c>
      <c r="E1461" t="s">
        <v>22</v>
      </c>
      <c r="G1461">
        <v>9</v>
      </c>
      <c r="H1461" t="s">
        <v>3377</v>
      </c>
    </row>
    <row r="1462" spans="1:8" x14ac:dyDescent="0.25">
      <c r="A1462" t="s">
        <v>2724</v>
      </c>
      <c r="B1462" t="s">
        <v>2725</v>
      </c>
      <c r="C1462" s="27">
        <v>45512</v>
      </c>
      <c r="D1462" t="s">
        <v>3372</v>
      </c>
      <c r="E1462" t="s">
        <v>11</v>
      </c>
      <c r="F1462">
        <v>337.66</v>
      </c>
      <c r="G1462">
        <v>10</v>
      </c>
      <c r="H1462" t="s">
        <v>15</v>
      </c>
    </row>
    <row r="1463" spans="1:8" x14ac:dyDescent="0.25">
      <c r="A1463" t="s">
        <v>2726</v>
      </c>
      <c r="B1463" t="s">
        <v>2727</v>
      </c>
      <c r="C1463" s="27">
        <v>45267</v>
      </c>
      <c r="D1463" t="s">
        <v>3372</v>
      </c>
      <c r="E1463" t="s">
        <v>3371</v>
      </c>
      <c r="G1463">
        <v>7</v>
      </c>
      <c r="H1463" t="s">
        <v>15</v>
      </c>
    </row>
    <row r="1464" spans="1:8" x14ac:dyDescent="0.25">
      <c r="A1464" t="s">
        <v>2728</v>
      </c>
      <c r="B1464" t="s">
        <v>2729</v>
      </c>
      <c r="C1464" s="27">
        <v>44969</v>
      </c>
      <c r="D1464" t="s">
        <v>14</v>
      </c>
      <c r="E1464" t="s">
        <v>25</v>
      </c>
      <c r="F1464">
        <v>622.85</v>
      </c>
      <c r="H1464" t="s">
        <v>15</v>
      </c>
    </row>
    <row r="1465" spans="1:8" x14ac:dyDescent="0.25">
      <c r="A1465" t="s">
        <v>2730</v>
      </c>
      <c r="B1465" t="s">
        <v>2731</v>
      </c>
      <c r="C1465" s="27">
        <v>45691</v>
      </c>
      <c r="D1465" t="s">
        <v>14</v>
      </c>
      <c r="E1465" t="s">
        <v>34</v>
      </c>
      <c r="G1465">
        <v>2</v>
      </c>
      <c r="H1465" t="s">
        <v>3377</v>
      </c>
    </row>
    <row r="1466" spans="1:8" x14ac:dyDescent="0.25">
      <c r="A1466" t="s">
        <v>3429</v>
      </c>
      <c r="B1466" t="s">
        <v>3430</v>
      </c>
      <c r="C1466" s="27">
        <v>45393</v>
      </c>
      <c r="D1466" t="s">
        <v>10</v>
      </c>
      <c r="E1466" t="s">
        <v>11</v>
      </c>
      <c r="F1466">
        <v>854.51</v>
      </c>
      <c r="G1466">
        <v>9</v>
      </c>
      <c r="H1466" t="s">
        <v>35</v>
      </c>
    </row>
    <row r="1467" spans="1:8" x14ac:dyDescent="0.25">
      <c r="A1467" t="s">
        <v>2732</v>
      </c>
      <c r="B1467" t="s">
        <v>1125</v>
      </c>
      <c r="C1467" s="27">
        <v>45776</v>
      </c>
      <c r="D1467" t="s">
        <v>21</v>
      </c>
      <c r="E1467" t="s">
        <v>3370</v>
      </c>
      <c r="F1467">
        <v>318.02</v>
      </c>
      <c r="G1467">
        <v>2</v>
      </c>
      <c r="H1467" t="s">
        <v>3377</v>
      </c>
    </row>
    <row r="1468" spans="1:8" x14ac:dyDescent="0.25">
      <c r="A1468" t="s">
        <v>2733</v>
      </c>
      <c r="B1468" t="s">
        <v>2734</v>
      </c>
      <c r="C1468" s="27">
        <v>45089</v>
      </c>
      <c r="D1468" t="s">
        <v>21</v>
      </c>
      <c r="E1468" t="s">
        <v>22</v>
      </c>
      <c r="F1468">
        <v>1407.86</v>
      </c>
      <c r="G1468">
        <v>10</v>
      </c>
      <c r="H1468" t="s">
        <v>3377</v>
      </c>
    </row>
    <row r="1469" spans="1:8" x14ac:dyDescent="0.25">
      <c r="A1469" t="s">
        <v>2735</v>
      </c>
      <c r="B1469" t="s">
        <v>2736</v>
      </c>
      <c r="C1469" s="27">
        <v>45924</v>
      </c>
      <c r="D1469" t="s">
        <v>21</v>
      </c>
      <c r="E1469" t="s">
        <v>3371</v>
      </c>
      <c r="F1469">
        <v>1026</v>
      </c>
      <c r="G1469">
        <v>9</v>
      </c>
      <c r="H1469" t="s">
        <v>3369</v>
      </c>
    </row>
    <row r="1470" spans="1:8" x14ac:dyDescent="0.25">
      <c r="A1470" t="s">
        <v>2737</v>
      </c>
      <c r="B1470" t="s">
        <v>2738</v>
      </c>
      <c r="C1470" s="27">
        <v>45206</v>
      </c>
      <c r="D1470" t="s">
        <v>14</v>
      </c>
      <c r="E1470" t="s">
        <v>22</v>
      </c>
      <c r="F1470">
        <v>1418.05</v>
      </c>
      <c r="G1470">
        <v>10</v>
      </c>
      <c r="H1470" t="s">
        <v>3377</v>
      </c>
    </row>
    <row r="1471" spans="1:8" x14ac:dyDescent="0.25">
      <c r="A1471" t="s">
        <v>2739</v>
      </c>
      <c r="B1471" t="s">
        <v>2740</v>
      </c>
      <c r="C1471" s="27">
        <v>45612</v>
      </c>
      <c r="D1471" t="s">
        <v>10</v>
      </c>
      <c r="E1471" t="s">
        <v>25</v>
      </c>
      <c r="F1471">
        <v>1116.92</v>
      </c>
      <c r="G1471">
        <v>4</v>
      </c>
      <c r="H1471" t="s">
        <v>3377</v>
      </c>
    </row>
    <row r="1472" spans="1:8" x14ac:dyDescent="0.25">
      <c r="A1472" t="s">
        <v>2741</v>
      </c>
      <c r="B1472" t="s">
        <v>506</v>
      </c>
      <c r="C1472" s="27">
        <v>45938</v>
      </c>
      <c r="D1472" t="s">
        <v>10</v>
      </c>
      <c r="E1472" t="s">
        <v>3370</v>
      </c>
      <c r="F1472">
        <v>1678.37</v>
      </c>
      <c r="G1472">
        <v>9</v>
      </c>
      <c r="H1472" t="s">
        <v>18</v>
      </c>
    </row>
    <row r="1473" spans="1:8" x14ac:dyDescent="0.25">
      <c r="A1473" t="s">
        <v>2742</v>
      </c>
      <c r="B1473" t="s">
        <v>2743</v>
      </c>
      <c r="C1473" s="27">
        <v>45150</v>
      </c>
      <c r="D1473" t="s">
        <v>3372</v>
      </c>
      <c r="E1473" t="s">
        <v>34</v>
      </c>
      <c r="F1473">
        <v>34.090000000000003</v>
      </c>
      <c r="H1473" t="s">
        <v>35</v>
      </c>
    </row>
    <row r="1474" spans="1:8" x14ac:dyDescent="0.25">
      <c r="A1474" t="s">
        <v>2744</v>
      </c>
      <c r="B1474" t="s">
        <v>1263</v>
      </c>
      <c r="C1474" s="27">
        <v>45774</v>
      </c>
      <c r="D1474" t="s">
        <v>3372</v>
      </c>
      <c r="E1474" t="s">
        <v>25</v>
      </c>
      <c r="G1474">
        <v>4</v>
      </c>
      <c r="H1474" t="s">
        <v>35</v>
      </c>
    </row>
    <row r="1475" spans="1:8" x14ac:dyDescent="0.25">
      <c r="A1475" t="s">
        <v>2745</v>
      </c>
      <c r="B1475" t="s">
        <v>2746</v>
      </c>
      <c r="C1475" s="27">
        <v>44976</v>
      </c>
      <c r="D1475" t="s">
        <v>3372</v>
      </c>
      <c r="E1475" t="s">
        <v>34</v>
      </c>
      <c r="F1475">
        <v>809.08</v>
      </c>
      <c r="G1475">
        <v>9</v>
      </c>
      <c r="H1475" t="s">
        <v>3369</v>
      </c>
    </row>
    <row r="1476" spans="1:8" x14ac:dyDescent="0.25">
      <c r="A1476" t="s">
        <v>2747</v>
      </c>
      <c r="B1476" t="s">
        <v>2748</v>
      </c>
      <c r="C1476" s="27">
        <v>44993</v>
      </c>
      <c r="D1476" t="s">
        <v>10</v>
      </c>
      <c r="E1476" t="s">
        <v>25</v>
      </c>
      <c r="F1476">
        <v>1525.99</v>
      </c>
      <c r="G1476">
        <v>1</v>
      </c>
      <c r="H1476" t="s">
        <v>15</v>
      </c>
    </row>
    <row r="1477" spans="1:8" x14ac:dyDescent="0.25">
      <c r="A1477" t="s">
        <v>2749</v>
      </c>
      <c r="B1477" t="s">
        <v>2750</v>
      </c>
      <c r="C1477" s="27">
        <v>45653</v>
      </c>
      <c r="D1477" t="s">
        <v>21</v>
      </c>
      <c r="E1477" t="s">
        <v>3371</v>
      </c>
      <c r="F1477">
        <v>927.16</v>
      </c>
      <c r="G1477">
        <v>8</v>
      </c>
      <c r="H1477" t="s">
        <v>15</v>
      </c>
    </row>
    <row r="1478" spans="1:8" x14ac:dyDescent="0.25">
      <c r="A1478" t="s">
        <v>2751</v>
      </c>
      <c r="B1478" t="s">
        <v>657</v>
      </c>
      <c r="C1478" s="27">
        <v>45041</v>
      </c>
      <c r="D1478" t="s">
        <v>10</v>
      </c>
      <c r="E1478" t="s">
        <v>22</v>
      </c>
      <c r="F1478">
        <v>1817.02</v>
      </c>
      <c r="G1478">
        <v>5</v>
      </c>
      <c r="H1478" t="s">
        <v>18</v>
      </c>
    </row>
    <row r="1479" spans="1:8" x14ac:dyDescent="0.25">
      <c r="A1479" t="s">
        <v>2752</v>
      </c>
      <c r="B1479" t="s">
        <v>2753</v>
      </c>
      <c r="C1479" s="27">
        <v>45501</v>
      </c>
      <c r="D1479" t="s">
        <v>3372</v>
      </c>
      <c r="E1479" t="s">
        <v>11</v>
      </c>
      <c r="F1479">
        <v>1700.91</v>
      </c>
      <c r="G1479">
        <v>6</v>
      </c>
      <c r="H1479" t="s">
        <v>15</v>
      </c>
    </row>
    <row r="1480" spans="1:8" x14ac:dyDescent="0.25">
      <c r="A1480" t="s">
        <v>2754</v>
      </c>
      <c r="B1480" t="s">
        <v>2755</v>
      </c>
      <c r="C1480" s="27">
        <v>45590</v>
      </c>
      <c r="D1480" t="s">
        <v>3372</v>
      </c>
      <c r="E1480" t="s">
        <v>3371</v>
      </c>
      <c r="F1480">
        <v>1528.82</v>
      </c>
      <c r="G1480">
        <v>5</v>
      </c>
      <c r="H1480" t="s">
        <v>3369</v>
      </c>
    </row>
    <row r="1481" spans="1:8" x14ac:dyDescent="0.25">
      <c r="A1481" t="s">
        <v>2756</v>
      </c>
      <c r="B1481" t="s">
        <v>2757</v>
      </c>
      <c r="C1481" s="27">
        <v>45944</v>
      </c>
      <c r="D1481" t="s">
        <v>10</v>
      </c>
      <c r="E1481" t="s">
        <v>22</v>
      </c>
      <c r="F1481">
        <v>1818.15</v>
      </c>
      <c r="G1481">
        <v>1</v>
      </c>
      <c r="H1481" t="s">
        <v>3377</v>
      </c>
    </row>
    <row r="1482" spans="1:8" x14ac:dyDescent="0.25">
      <c r="A1482" t="s">
        <v>2758</v>
      </c>
      <c r="B1482" t="s">
        <v>2759</v>
      </c>
      <c r="C1482" s="27">
        <v>45456</v>
      </c>
      <c r="D1482" t="s">
        <v>14</v>
      </c>
      <c r="E1482" t="s">
        <v>11</v>
      </c>
      <c r="F1482">
        <v>1696.43</v>
      </c>
      <c r="G1482">
        <v>1</v>
      </c>
      <c r="H1482" t="s">
        <v>3377</v>
      </c>
    </row>
    <row r="1483" spans="1:8" x14ac:dyDescent="0.25">
      <c r="A1483" t="s">
        <v>2760</v>
      </c>
      <c r="B1483" t="s">
        <v>2761</v>
      </c>
      <c r="C1483" s="27">
        <v>45212</v>
      </c>
      <c r="D1483" t="s">
        <v>3372</v>
      </c>
      <c r="E1483" t="s">
        <v>25</v>
      </c>
      <c r="F1483">
        <v>536.69000000000005</v>
      </c>
      <c r="G1483">
        <v>7</v>
      </c>
      <c r="H1483" t="s">
        <v>18</v>
      </c>
    </row>
    <row r="1484" spans="1:8" x14ac:dyDescent="0.25">
      <c r="A1484" t="s">
        <v>2762</v>
      </c>
      <c r="B1484" t="s">
        <v>2763</v>
      </c>
      <c r="C1484" s="27">
        <v>45646</v>
      </c>
      <c r="D1484" t="s">
        <v>10</v>
      </c>
      <c r="E1484" t="s">
        <v>3370</v>
      </c>
      <c r="F1484">
        <v>1387.58</v>
      </c>
      <c r="G1484">
        <v>9</v>
      </c>
      <c r="H1484" t="s">
        <v>3369</v>
      </c>
    </row>
    <row r="1485" spans="1:8" x14ac:dyDescent="0.25">
      <c r="A1485" t="s">
        <v>2764</v>
      </c>
      <c r="B1485" t="s">
        <v>732</v>
      </c>
      <c r="C1485" s="27">
        <v>45414</v>
      </c>
      <c r="D1485" t="s">
        <v>21</v>
      </c>
      <c r="E1485" t="s">
        <v>3370</v>
      </c>
      <c r="F1485">
        <v>1472.55</v>
      </c>
      <c r="G1485">
        <v>7</v>
      </c>
      <c r="H1485" t="s">
        <v>35</v>
      </c>
    </row>
    <row r="1486" spans="1:8" x14ac:dyDescent="0.25">
      <c r="A1486" t="s">
        <v>2765</v>
      </c>
      <c r="B1486" t="s">
        <v>2766</v>
      </c>
      <c r="C1486" s="27">
        <v>45892</v>
      </c>
      <c r="D1486" t="s">
        <v>21</v>
      </c>
      <c r="E1486" t="s">
        <v>22</v>
      </c>
      <c r="F1486">
        <v>1083.1500000000001</v>
      </c>
      <c r="G1486">
        <v>3</v>
      </c>
      <c r="H1486" t="s">
        <v>3369</v>
      </c>
    </row>
    <row r="1487" spans="1:8" x14ac:dyDescent="0.25">
      <c r="A1487" t="s">
        <v>2767</v>
      </c>
      <c r="B1487" t="s">
        <v>2768</v>
      </c>
      <c r="C1487" s="27">
        <v>45089</v>
      </c>
      <c r="D1487" t="s">
        <v>3372</v>
      </c>
      <c r="E1487" t="s">
        <v>34</v>
      </c>
      <c r="F1487">
        <v>1833.43</v>
      </c>
      <c r="G1487">
        <v>3</v>
      </c>
      <c r="H1487" t="s">
        <v>35</v>
      </c>
    </row>
    <row r="1488" spans="1:8" x14ac:dyDescent="0.25">
      <c r="A1488" t="s">
        <v>2769</v>
      </c>
      <c r="B1488" t="s">
        <v>2770</v>
      </c>
      <c r="C1488" s="27">
        <v>45876</v>
      </c>
      <c r="D1488" t="s">
        <v>3372</v>
      </c>
      <c r="E1488" t="s">
        <v>3370</v>
      </c>
      <c r="F1488">
        <v>1890.88</v>
      </c>
      <c r="G1488">
        <v>9</v>
      </c>
      <c r="H1488" t="s">
        <v>15</v>
      </c>
    </row>
    <row r="1489" spans="1:8" x14ac:dyDescent="0.25">
      <c r="A1489" t="s">
        <v>2771</v>
      </c>
      <c r="B1489" t="s">
        <v>2772</v>
      </c>
      <c r="C1489" s="27">
        <v>45652</v>
      </c>
      <c r="D1489" t="s">
        <v>10</v>
      </c>
      <c r="E1489" t="s">
        <v>3371</v>
      </c>
      <c r="G1489">
        <v>1</v>
      </c>
      <c r="H1489" t="s">
        <v>15</v>
      </c>
    </row>
    <row r="1490" spans="1:8" x14ac:dyDescent="0.25">
      <c r="A1490" t="s">
        <v>2773</v>
      </c>
      <c r="B1490" t="s">
        <v>2774</v>
      </c>
      <c r="C1490" s="27">
        <v>45903</v>
      </c>
      <c r="D1490" t="s">
        <v>14</v>
      </c>
      <c r="E1490" t="s">
        <v>22</v>
      </c>
      <c r="G1490">
        <v>8</v>
      </c>
      <c r="H1490" t="s">
        <v>35</v>
      </c>
    </row>
    <row r="1491" spans="1:8" x14ac:dyDescent="0.25">
      <c r="A1491" t="s">
        <v>2775</v>
      </c>
      <c r="B1491" t="s">
        <v>2776</v>
      </c>
      <c r="C1491" s="27">
        <v>44912</v>
      </c>
      <c r="D1491" t="s">
        <v>3372</v>
      </c>
      <c r="E1491" t="s">
        <v>11</v>
      </c>
      <c r="F1491">
        <v>391.08</v>
      </c>
      <c r="G1491">
        <v>2</v>
      </c>
      <c r="H1491" t="s">
        <v>3369</v>
      </c>
    </row>
    <row r="1492" spans="1:8" x14ac:dyDescent="0.25">
      <c r="A1492" t="s">
        <v>2777</v>
      </c>
      <c r="B1492" t="s">
        <v>1302</v>
      </c>
      <c r="C1492" s="27">
        <v>45165</v>
      </c>
      <c r="D1492" t="s">
        <v>10</v>
      </c>
      <c r="E1492" t="s">
        <v>22</v>
      </c>
      <c r="G1492">
        <v>8</v>
      </c>
      <c r="H1492" t="s">
        <v>35</v>
      </c>
    </row>
    <row r="1493" spans="1:8" x14ac:dyDescent="0.25">
      <c r="A1493" t="s">
        <v>2778</v>
      </c>
      <c r="B1493" t="s">
        <v>2779</v>
      </c>
      <c r="C1493" s="27">
        <v>45691</v>
      </c>
      <c r="D1493" t="s">
        <v>14</v>
      </c>
      <c r="E1493" t="s">
        <v>22</v>
      </c>
      <c r="F1493">
        <v>17.37</v>
      </c>
      <c r="G1493">
        <v>1</v>
      </c>
      <c r="H1493" t="s">
        <v>15</v>
      </c>
    </row>
    <row r="1494" spans="1:8" x14ac:dyDescent="0.25">
      <c r="A1494" t="s">
        <v>2780</v>
      </c>
      <c r="B1494" t="s">
        <v>2781</v>
      </c>
      <c r="C1494" s="27">
        <v>45439</v>
      </c>
      <c r="D1494" t="s">
        <v>3372</v>
      </c>
      <c r="E1494" t="s">
        <v>3371</v>
      </c>
      <c r="F1494">
        <v>235.46</v>
      </c>
      <c r="G1494">
        <v>7</v>
      </c>
      <c r="H1494" t="s">
        <v>3369</v>
      </c>
    </row>
    <row r="1495" spans="1:8" x14ac:dyDescent="0.25">
      <c r="A1495" t="s">
        <v>2782</v>
      </c>
      <c r="B1495" t="s">
        <v>2783</v>
      </c>
      <c r="C1495" s="27">
        <v>44954</v>
      </c>
      <c r="D1495" t="s">
        <v>3372</v>
      </c>
      <c r="E1495" t="s">
        <v>3370</v>
      </c>
      <c r="F1495">
        <v>1412.31</v>
      </c>
      <c r="G1495">
        <v>7</v>
      </c>
      <c r="H1495" t="s">
        <v>15</v>
      </c>
    </row>
    <row r="1496" spans="1:8" x14ac:dyDescent="0.25">
      <c r="A1496" t="s">
        <v>2784</v>
      </c>
      <c r="B1496" t="s">
        <v>2785</v>
      </c>
      <c r="C1496" s="27">
        <v>45529</v>
      </c>
      <c r="D1496" t="s">
        <v>14</v>
      </c>
      <c r="E1496" t="s">
        <v>11</v>
      </c>
      <c r="F1496">
        <v>1264.5999999999999</v>
      </c>
      <c r="G1496">
        <v>3</v>
      </c>
      <c r="H1496" t="s">
        <v>35</v>
      </c>
    </row>
    <row r="1497" spans="1:8" x14ac:dyDescent="0.25">
      <c r="A1497" t="s">
        <v>2786</v>
      </c>
      <c r="B1497" t="s">
        <v>2545</v>
      </c>
      <c r="C1497" s="27">
        <v>45727</v>
      </c>
      <c r="D1497" t="s">
        <v>14</v>
      </c>
      <c r="E1497" t="s">
        <v>3371</v>
      </c>
      <c r="F1497">
        <v>896.25</v>
      </c>
      <c r="G1497">
        <v>4</v>
      </c>
      <c r="H1497" t="s">
        <v>3377</v>
      </c>
    </row>
    <row r="1498" spans="1:8" x14ac:dyDescent="0.25">
      <c r="A1498" t="s">
        <v>2787</v>
      </c>
      <c r="B1498" t="s">
        <v>2788</v>
      </c>
      <c r="C1498" s="27">
        <v>45689</v>
      </c>
      <c r="D1498" t="s">
        <v>21</v>
      </c>
      <c r="E1498" t="s">
        <v>3370</v>
      </c>
      <c r="F1498">
        <v>61.87</v>
      </c>
      <c r="G1498">
        <v>8</v>
      </c>
      <c r="H1498" t="s">
        <v>3377</v>
      </c>
    </row>
    <row r="1499" spans="1:8" x14ac:dyDescent="0.25">
      <c r="A1499" t="s">
        <v>2789</v>
      </c>
      <c r="B1499" t="s">
        <v>2790</v>
      </c>
      <c r="C1499" s="27">
        <v>45767</v>
      </c>
      <c r="D1499" t="s">
        <v>14</v>
      </c>
      <c r="E1499" t="s">
        <v>34</v>
      </c>
      <c r="F1499">
        <v>1942.74</v>
      </c>
      <c r="H1499" t="s">
        <v>3377</v>
      </c>
    </row>
    <row r="1500" spans="1:8" x14ac:dyDescent="0.25">
      <c r="A1500" t="s">
        <v>2791</v>
      </c>
      <c r="B1500" t="s">
        <v>2792</v>
      </c>
      <c r="C1500" s="27">
        <v>45543</v>
      </c>
      <c r="D1500" t="s">
        <v>3372</v>
      </c>
      <c r="E1500" t="s">
        <v>3371</v>
      </c>
      <c r="F1500">
        <v>787.82</v>
      </c>
      <c r="G1500">
        <v>7</v>
      </c>
      <c r="H1500" t="s">
        <v>3369</v>
      </c>
    </row>
    <row r="1501" spans="1:8" x14ac:dyDescent="0.25">
      <c r="A1501" t="s">
        <v>2793</v>
      </c>
      <c r="B1501" t="s">
        <v>2794</v>
      </c>
      <c r="C1501" s="27">
        <v>45412</v>
      </c>
      <c r="D1501" t="s">
        <v>3372</v>
      </c>
      <c r="E1501" t="s">
        <v>3371</v>
      </c>
      <c r="F1501">
        <v>488.2</v>
      </c>
      <c r="G1501">
        <v>9</v>
      </c>
      <c r="H1501" t="s">
        <v>18</v>
      </c>
    </row>
    <row r="1502" spans="1:8" x14ac:dyDescent="0.25">
      <c r="A1502" t="s">
        <v>2795</v>
      </c>
      <c r="B1502" t="s">
        <v>2796</v>
      </c>
      <c r="C1502" s="27">
        <v>45601</v>
      </c>
      <c r="D1502" t="s">
        <v>14</v>
      </c>
      <c r="E1502" t="s">
        <v>22</v>
      </c>
      <c r="G1502">
        <v>6</v>
      </c>
      <c r="H1502" t="s">
        <v>3369</v>
      </c>
    </row>
    <row r="1503" spans="1:8" x14ac:dyDescent="0.25">
      <c r="A1503" t="s">
        <v>2797</v>
      </c>
      <c r="B1503" t="s">
        <v>2798</v>
      </c>
      <c r="C1503" s="27">
        <v>45276</v>
      </c>
      <c r="D1503" t="s">
        <v>10</v>
      </c>
      <c r="E1503" t="s">
        <v>25</v>
      </c>
      <c r="F1503">
        <v>1204.3699999999999</v>
      </c>
      <c r="H1503" t="s">
        <v>3369</v>
      </c>
    </row>
    <row r="1504" spans="1:8" x14ac:dyDescent="0.25">
      <c r="A1504" t="s">
        <v>3425</v>
      </c>
      <c r="B1504" t="s">
        <v>3426</v>
      </c>
      <c r="C1504" s="27">
        <v>45072</v>
      </c>
      <c r="D1504" t="s">
        <v>10</v>
      </c>
      <c r="E1504" t="s">
        <v>22</v>
      </c>
      <c r="F1504">
        <v>1337.93</v>
      </c>
      <c r="G1504">
        <v>1</v>
      </c>
      <c r="H1504" t="s">
        <v>15</v>
      </c>
    </row>
    <row r="1505" spans="1:8" x14ac:dyDescent="0.25">
      <c r="A1505" t="s">
        <v>2799</v>
      </c>
      <c r="B1505" t="s">
        <v>2800</v>
      </c>
      <c r="C1505" s="27">
        <v>45217</v>
      </c>
      <c r="D1505" t="s">
        <v>10</v>
      </c>
      <c r="E1505" t="s">
        <v>22</v>
      </c>
      <c r="F1505">
        <v>380.7</v>
      </c>
      <c r="G1505">
        <v>8</v>
      </c>
      <c r="H1505" t="s">
        <v>18</v>
      </c>
    </row>
    <row r="1506" spans="1:8" x14ac:dyDescent="0.25">
      <c r="A1506" t="s">
        <v>2801</v>
      </c>
      <c r="B1506" t="s">
        <v>2802</v>
      </c>
      <c r="C1506" s="27">
        <v>45813</v>
      </c>
      <c r="D1506" t="s">
        <v>14</v>
      </c>
      <c r="E1506" t="s">
        <v>22</v>
      </c>
      <c r="G1506">
        <v>10</v>
      </c>
      <c r="H1506" t="s">
        <v>35</v>
      </c>
    </row>
    <row r="1507" spans="1:8" x14ac:dyDescent="0.25">
      <c r="A1507" t="s">
        <v>2803</v>
      </c>
      <c r="B1507" t="s">
        <v>2804</v>
      </c>
      <c r="C1507" s="27">
        <v>45652</v>
      </c>
      <c r="D1507" t="s">
        <v>3372</v>
      </c>
      <c r="E1507" t="s">
        <v>22</v>
      </c>
      <c r="F1507">
        <v>1965.04</v>
      </c>
      <c r="G1507">
        <v>9</v>
      </c>
      <c r="H1507" t="s">
        <v>3377</v>
      </c>
    </row>
    <row r="1508" spans="1:8" x14ac:dyDescent="0.25">
      <c r="A1508" t="s">
        <v>2805</v>
      </c>
      <c r="B1508" t="s">
        <v>706</v>
      </c>
      <c r="C1508" s="27">
        <v>45651</v>
      </c>
      <c r="D1508" t="s">
        <v>21</v>
      </c>
      <c r="E1508" t="s">
        <v>34</v>
      </c>
      <c r="F1508">
        <v>1799.96</v>
      </c>
      <c r="G1508">
        <v>1</v>
      </c>
      <c r="H1508" t="s">
        <v>3369</v>
      </c>
    </row>
    <row r="1509" spans="1:8" x14ac:dyDescent="0.25">
      <c r="A1509" t="s">
        <v>2806</v>
      </c>
      <c r="B1509" t="s">
        <v>2807</v>
      </c>
      <c r="C1509" s="27">
        <v>45155</v>
      </c>
      <c r="D1509" t="s">
        <v>10</v>
      </c>
      <c r="E1509" t="s">
        <v>3370</v>
      </c>
      <c r="F1509">
        <v>1849.62</v>
      </c>
      <c r="G1509">
        <v>7</v>
      </c>
      <c r="H1509" t="s">
        <v>35</v>
      </c>
    </row>
    <row r="1510" spans="1:8" x14ac:dyDescent="0.25">
      <c r="A1510" t="s">
        <v>2808</v>
      </c>
      <c r="B1510" t="s">
        <v>2809</v>
      </c>
      <c r="C1510" s="27">
        <v>45640</v>
      </c>
      <c r="D1510" t="s">
        <v>3372</v>
      </c>
      <c r="E1510" t="s">
        <v>34</v>
      </c>
      <c r="F1510">
        <v>830.06</v>
      </c>
      <c r="G1510">
        <v>2</v>
      </c>
      <c r="H1510" t="s">
        <v>35</v>
      </c>
    </row>
    <row r="1511" spans="1:8" x14ac:dyDescent="0.25">
      <c r="A1511" t="s">
        <v>2810</v>
      </c>
      <c r="B1511" t="s">
        <v>2811</v>
      </c>
      <c r="C1511" s="27">
        <v>45699</v>
      </c>
      <c r="D1511" t="s">
        <v>3372</v>
      </c>
      <c r="E1511" t="s">
        <v>25</v>
      </c>
      <c r="F1511">
        <v>260.86</v>
      </c>
      <c r="G1511">
        <v>5</v>
      </c>
      <c r="H1511" t="s">
        <v>35</v>
      </c>
    </row>
    <row r="1512" spans="1:8" x14ac:dyDescent="0.25">
      <c r="A1512" t="s">
        <v>2812</v>
      </c>
      <c r="B1512" t="s">
        <v>2813</v>
      </c>
      <c r="C1512" s="27">
        <v>45496</v>
      </c>
      <c r="D1512" t="s">
        <v>14</v>
      </c>
      <c r="E1512" t="s">
        <v>3370</v>
      </c>
      <c r="F1512">
        <v>626.86</v>
      </c>
      <c r="G1512">
        <v>3</v>
      </c>
      <c r="H1512" t="s">
        <v>3377</v>
      </c>
    </row>
    <row r="1513" spans="1:8" x14ac:dyDescent="0.25">
      <c r="A1513" t="s">
        <v>3390</v>
      </c>
      <c r="B1513" t="s">
        <v>571</v>
      </c>
      <c r="C1513" s="27">
        <v>45742</v>
      </c>
      <c r="D1513" t="s">
        <v>14</v>
      </c>
      <c r="E1513" t="s">
        <v>3370</v>
      </c>
      <c r="F1513">
        <v>429.57</v>
      </c>
      <c r="G1513">
        <v>10</v>
      </c>
      <c r="H1513" t="s">
        <v>3369</v>
      </c>
    </row>
    <row r="1514" spans="1:8" x14ac:dyDescent="0.25">
      <c r="A1514" t="s">
        <v>2814</v>
      </c>
      <c r="B1514" t="s">
        <v>2815</v>
      </c>
      <c r="C1514" s="27">
        <v>45586</v>
      </c>
      <c r="D1514" t="s">
        <v>3372</v>
      </c>
      <c r="E1514" t="s">
        <v>25</v>
      </c>
      <c r="F1514">
        <v>1049.51</v>
      </c>
      <c r="G1514">
        <v>2</v>
      </c>
      <c r="H1514" t="s">
        <v>3377</v>
      </c>
    </row>
    <row r="1515" spans="1:8" x14ac:dyDescent="0.25">
      <c r="A1515" t="s">
        <v>2816</v>
      </c>
      <c r="B1515" t="s">
        <v>2817</v>
      </c>
      <c r="C1515" s="27">
        <v>45772</v>
      </c>
      <c r="D1515" t="s">
        <v>3372</v>
      </c>
      <c r="E1515" t="s">
        <v>22</v>
      </c>
      <c r="F1515">
        <v>110.75</v>
      </c>
      <c r="G1515">
        <v>4</v>
      </c>
      <c r="H1515" t="s">
        <v>3369</v>
      </c>
    </row>
    <row r="1516" spans="1:8" x14ac:dyDescent="0.25">
      <c r="A1516" t="s">
        <v>2818</v>
      </c>
      <c r="B1516" t="s">
        <v>1236</v>
      </c>
      <c r="C1516" s="27">
        <v>45045</v>
      </c>
      <c r="D1516" t="s">
        <v>10</v>
      </c>
      <c r="E1516" t="s">
        <v>3370</v>
      </c>
      <c r="F1516">
        <v>541.17999999999995</v>
      </c>
      <c r="G1516">
        <v>9</v>
      </c>
      <c r="H1516" t="s">
        <v>18</v>
      </c>
    </row>
    <row r="1517" spans="1:8" x14ac:dyDescent="0.25">
      <c r="A1517" t="s">
        <v>2819</v>
      </c>
      <c r="B1517" t="s">
        <v>2820</v>
      </c>
      <c r="C1517" s="27">
        <v>44866</v>
      </c>
      <c r="D1517" t="s">
        <v>14</v>
      </c>
      <c r="E1517" t="s">
        <v>25</v>
      </c>
      <c r="F1517">
        <v>180.15</v>
      </c>
      <c r="G1517">
        <v>7</v>
      </c>
      <c r="H1517" t="s">
        <v>3369</v>
      </c>
    </row>
    <row r="1518" spans="1:8" x14ac:dyDescent="0.25">
      <c r="A1518" t="s">
        <v>2821</v>
      </c>
      <c r="B1518" t="s">
        <v>2822</v>
      </c>
      <c r="C1518" s="27">
        <v>45116</v>
      </c>
      <c r="D1518" t="s">
        <v>14</v>
      </c>
      <c r="E1518" t="s">
        <v>34</v>
      </c>
      <c r="G1518">
        <v>1</v>
      </c>
      <c r="H1518" t="s">
        <v>18</v>
      </c>
    </row>
    <row r="1519" spans="1:8" x14ac:dyDescent="0.25">
      <c r="A1519" t="s">
        <v>2823</v>
      </c>
      <c r="B1519" t="s">
        <v>2824</v>
      </c>
      <c r="C1519" s="27">
        <v>45580</v>
      </c>
      <c r="D1519" t="s">
        <v>10</v>
      </c>
      <c r="E1519" t="s">
        <v>34</v>
      </c>
      <c r="F1519">
        <v>1690.84</v>
      </c>
      <c r="G1519">
        <v>3</v>
      </c>
      <c r="H1519" t="s">
        <v>35</v>
      </c>
    </row>
    <row r="1520" spans="1:8" x14ac:dyDescent="0.25">
      <c r="A1520" t="s">
        <v>2825</v>
      </c>
      <c r="B1520" t="s">
        <v>2826</v>
      </c>
      <c r="C1520" s="27">
        <v>45276</v>
      </c>
      <c r="D1520" t="s">
        <v>10</v>
      </c>
      <c r="E1520" t="s">
        <v>34</v>
      </c>
      <c r="F1520">
        <v>1047.28</v>
      </c>
      <c r="G1520">
        <v>5</v>
      </c>
      <c r="H1520" t="s">
        <v>35</v>
      </c>
    </row>
    <row r="1521" spans="1:8" x14ac:dyDescent="0.25">
      <c r="A1521" t="s">
        <v>2827</v>
      </c>
      <c r="B1521" t="s">
        <v>2828</v>
      </c>
      <c r="C1521" s="27">
        <v>45103</v>
      </c>
      <c r="D1521" t="s">
        <v>14</v>
      </c>
      <c r="E1521" t="s">
        <v>34</v>
      </c>
      <c r="G1521">
        <v>3</v>
      </c>
      <c r="H1521" t="s">
        <v>35</v>
      </c>
    </row>
    <row r="1522" spans="1:8" x14ac:dyDescent="0.25">
      <c r="A1522" t="s">
        <v>2829</v>
      </c>
      <c r="B1522" t="s">
        <v>2830</v>
      </c>
      <c r="C1522" s="27">
        <v>45416</v>
      </c>
      <c r="D1522" t="s">
        <v>14</v>
      </c>
      <c r="E1522" t="s">
        <v>3371</v>
      </c>
      <c r="F1522">
        <v>1765.17</v>
      </c>
      <c r="G1522">
        <v>6</v>
      </c>
      <c r="H1522" t="s">
        <v>3369</v>
      </c>
    </row>
    <row r="1523" spans="1:8" x14ac:dyDescent="0.25">
      <c r="A1523" t="s">
        <v>2831</v>
      </c>
      <c r="B1523" t="s">
        <v>1619</v>
      </c>
      <c r="C1523" s="27">
        <v>45615</v>
      </c>
      <c r="D1523" t="s">
        <v>14</v>
      </c>
      <c r="E1523" t="s">
        <v>3370</v>
      </c>
      <c r="F1523">
        <v>170.63</v>
      </c>
      <c r="G1523">
        <v>10</v>
      </c>
      <c r="H1523" t="s">
        <v>35</v>
      </c>
    </row>
    <row r="1524" spans="1:8" x14ac:dyDescent="0.25">
      <c r="A1524" t="s">
        <v>2832</v>
      </c>
      <c r="B1524" t="s">
        <v>2833</v>
      </c>
      <c r="C1524" s="27">
        <v>44942</v>
      </c>
      <c r="D1524" t="s">
        <v>3372</v>
      </c>
      <c r="E1524" t="s">
        <v>22</v>
      </c>
      <c r="F1524">
        <v>1685.66</v>
      </c>
      <c r="G1524">
        <v>6</v>
      </c>
      <c r="H1524" t="s">
        <v>18</v>
      </c>
    </row>
    <row r="1525" spans="1:8" x14ac:dyDescent="0.25">
      <c r="A1525" t="s">
        <v>2834</v>
      </c>
      <c r="B1525" t="s">
        <v>2835</v>
      </c>
      <c r="C1525" s="27">
        <v>45428</v>
      </c>
      <c r="D1525" t="s">
        <v>21</v>
      </c>
      <c r="E1525" t="s">
        <v>22</v>
      </c>
      <c r="F1525">
        <v>1571.1</v>
      </c>
      <c r="G1525">
        <v>10</v>
      </c>
      <c r="H1525" t="s">
        <v>3369</v>
      </c>
    </row>
    <row r="1526" spans="1:8" x14ac:dyDescent="0.25">
      <c r="A1526" t="s">
        <v>2836</v>
      </c>
      <c r="B1526" t="s">
        <v>2837</v>
      </c>
      <c r="C1526" s="27">
        <v>45803</v>
      </c>
      <c r="D1526" t="s">
        <v>3372</v>
      </c>
      <c r="E1526" t="s">
        <v>22</v>
      </c>
      <c r="F1526">
        <v>1478.36</v>
      </c>
      <c r="H1526" t="s">
        <v>35</v>
      </c>
    </row>
    <row r="1527" spans="1:8" x14ac:dyDescent="0.25">
      <c r="A1527" t="s">
        <v>2838</v>
      </c>
      <c r="B1527" t="s">
        <v>2839</v>
      </c>
      <c r="C1527" s="27">
        <v>45877</v>
      </c>
      <c r="D1527" t="s">
        <v>3372</v>
      </c>
      <c r="E1527" t="s">
        <v>3371</v>
      </c>
      <c r="F1527">
        <v>80.62</v>
      </c>
      <c r="G1527">
        <v>6</v>
      </c>
      <c r="H1527" t="s">
        <v>15</v>
      </c>
    </row>
    <row r="1528" spans="1:8" x14ac:dyDescent="0.25">
      <c r="A1528" t="s">
        <v>2840</v>
      </c>
      <c r="B1528" t="s">
        <v>2841</v>
      </c>
      <c r="C1528" s="27">
        <v>45844</v>
      </c>
      <c r="D1528" t="s">
        <v>10</v>
      </c>
      <c r="E1528" t="s">
        <v>25</v>
      </c>
      <c r="F1528">
        <v>191.32</v>
      </c>
      <c r="G1528">
        <v>5</v>
      </c>
      <c r="H1528" t="s">
        <v>3377</v>
      </c>
    </row>
    <row r="1529" spans="1:8" x14ac:dyDescent="0.25">
      <c r="A1529" t="s">
        <v>2842</v>
      </c>
      <c r="B1529" t="s">
        <v>2843</v>
      </c>
      <c r="C1529" s="27">
        <v>44993</v>
      </c>
      <c r="D1529" t="s">
        <v>14</v>
      </c>
      <c r="E1529" t="s">
        <v>3370</v>
      </c>
      <c r="F1529">
        <v>1534.5</v>
      </c>
      <c r="G1529">
        <v>4</v>
      </c>
      <c r="H1529" t="s">
        <v>18</v>
      </c>
    </row>
    <row r="1530" spans="1:8" x14ac:dyDescent="0.25">
      <c r="A1530" t="s">
        <v>2844</v>
      </c>
      <c r="B1530" t="s">
        <v>2845</v>
      </c>
      <c r="C1530" s="27">
        <v>45882</v>
      </c>
      <c r="D1530" t="s">
        <v>10</v>
      </c>
      <c r="E1530" t="s">
        <v>11</v>
      </c>
      <c r="F1530">
        <v>1852.5</v>
      </c>
      <c r="G1530">
        <v>9</v>
      </c>
      <c r="H1530" t="s">
        <v>35</v>
      </c>
    </row>
    <row r="1531" spans="1:8" x14ac:dyDescent="0.25">
      <c r="A1531" t="s">
        <v>2846</v>
      </c>
      <c r="B1531" t="s">
        <v>2847</v>
      </c>
      <c r="C1531" s="27">
        <v>45217</v>
      </c>
      <c r="D1531" t="s">
        <v>14</v>
      </c>
      <c r="E1531" t="s">
        <v>22</v>
      </c>
      <c r="F1531">
        <v>187.37</v>
      </c>
      <c r="G1531">
        <v>10</v>
      </c>
      <c r="H1531" t="s">
        <v>35</v>
      </c>
    </row>
    <row r="1532" spans="1:8" x14ac:dyDescent="0.25">
      <c r="A1532" t="s">
        <v>2848</v>
      </c>
      <c r="B1532" t="s">
        <v>2849</v>
      </c>
      <c r="C1532" s="27">
        <v>45833</v>
      </c>
      <c r="D1532" t="s">
        <v>21</v>
      </c>
      <c r="E1532" t="s">
        <v>11</v>
      </c>
      <c r="G1532">
        <v>1</v>
      </c>
      <c r="H1532" t="s">
        <v>3377</v>
      </c>
    </row>
    <row r="1533" spans="1:8" x14ac:dyDescent="0.25">
      <c r="A1533" t="s">
        <v>2850</v>
      </c>
      <c r="B1533" t="s">
        <v>2851</v>
      </c>
      <c r="C1533" s="27">
        <v>45002</v>
      </c>
      <c r="D1533" t="s">
        <v>10</v>
      </c>
      <c r="E1533" t="s">
        <v>34</v>
      </c>
      <c r="G1533">
        <v>9</v>
      </c>
      <c r="H1533" t="s">
        <v>15</v>
      </c>
    </row>
    <row r="1534" spans="1:8" x14ac:dyDescent="0.25">
      <c r="A1534" t="s">
        <v>2852</v>
      </c>
      <c r="B1534" t="s">
        <v>2853</v>
      </c>
      <c r="C1534" s="27">
        <v>45237</v>
      </c>
      <c r="D1534" t="s">
        <v>21</v>
      </c>
      <c r="E1534" t="s">
        <v>11</v>
      </c>
      <c r="F1534">
        <v>1868.12</v>
      </c>
      <c r="H1534" t="s">
        <v>35</v>
      </c>
    </row>
    <row r="1535" spans="1:8" x14ac:dyDescent="0.25">
      <c r="A1535" t="s">
        <v>2854</v>
      </c>
      <c r="B1535" t="s">
        <v>2855</v>
      </c>
      <c r="C1535" s="27">
        <v>45362</v>
      </c>
      <c r="D1535" t="s">
        <v>21</v>
      </c>
      <c r="E1535" t="s">
        <v>22</v>
      </c>
      <c r="F1535">
        <v>1836.85</v>
      </c>
      <c r="G1535">
        <v>1</v>
      </c>
      <c r="H1535" t="s">
        <v>3377</v>
      </c>
    </row>
    <row r="1536" spans="1:8" x14ac:dyDescent="0.25">
      <c r="A1536" t="s">
        <v>2856</v>
      </c>
      <c r="B1536" t="s">
        <v>2857</v>
      </c>
      <c r="C1536" s="27">
        <v>45273</v>
      </c>
      <c r="D1536" t="s">
        <v>3372</v>
      </c>
      <c r="E1536" t="s">
        <v>34</v>
      </c>
      <c r="G1536">
        <v>5</v>
      </c>
      <c r="H1536" t="s">
        <v>3369</v>
      </c>
    </row>
    <row r="1537" spans="1:8" x14ac:dyDescent="0.25">
      <c r="A1537" t="s">
        <v>2858</v>
      </c>
      <c r="B1537" t="s">
        <v>2859</v>
      </c>
      <c r="C1537" s="27">
        <v>45594</v>
      </c>
      <c r="D1537" t="s">
        <v>21</v>
      </c>
      <c r="E1537" t="s">
        <v>22</v>
      </c>
      <c r="F1537">
        <v>1194.9000000000001</v>
      </c>
      <c r="H1537" t="s">
        <v>18</v>
      </c>
    </row>
    <row r="1538" spans="1:8" x14ac:dyDescent="0.25">
      <c r="A1538" t="s">
        <v>2860</v>
      </c>
      <c r="B1538" t="s">
        <v>1984</v>
      </c>
      <c r="C1538" s="27">
        <v>45777</v>
      </c>
      <c r="D1538" t="s">
        <v>10</v>
      </c>
      <c r="E1538" t="s">
        <v>25</v>
      </c>
      <c r="F1538">
        <v>1954.88</v>
      </c>
      <c r="G1538">
        <v>1</v>
      </c>
      <c r="H1538" t="s">
        <v>35</v>
      </c>
    </row>
    <row r="1539" spans="1:8" x14ac:dyDescent="0.25">
      <c r="A1539" t="s">
        <v>2861</v>
      </c>
      <c r="B1539" t="s">
        <v>2862</v>
      </c>
      <c r="C1539" s="27">
        <v>45474</v>
      </c>
      <c r="D1539" t="s">
        <v>10</v>
      </c>
      <c r="E1539" t="s">
        <v>34</v>
      </c>
      <c r="F1539">
        <v>120.16</v>
      </c>
      <c r="G1539">
        <v>1</v>
      </c>
      <c r="H1539" t="s">
        <v>3369</v>
      </c>
    </row>
    <row r="1540" spans="1:8" x14ac:dyDescent="0.25">
      <c r="A1540" t="s">
        <v>2863</v>
      </c>
      <c r="B1540" t="s">
        <v>2864</v>
      </c>
      <c r="C1540" s="27">
        <v>45386</v>
      </c>
      <c r="D1540" t="s">
        <v>21</v>
      </c>
      <c r="E1540" t="s">
        <v>11</v>
      </c>
      <c r="F1540">
        <v>1777.6</v>
      </c>
      <c r="G1540">
        <v>9</v>
      </c>
      <c r="H1540" t="s">
        <v>3377</v>
      </c>
    </row>
    <row r="1541" spans="1:8" x14ac:dyDescent="0.25">
      <c r="A1541" t="s">
        <v>2865</v>
      </c>
      <c r="B1541" t="s">
        <v>2866</v>
      </c>
      <c r="C1541" s="27">
        <v>44932</v>
      </c>
      <c r="D1541" t="s">
        <v>14</v>
      </c>
      <c r="E1541" t="s">
        <v>25</v>
      </c>
      <c r="F1541">
        <v>1774.28</v>
      </c>
      <c r="H1541" t="s">
        <v>35</v>
      </c>
    </row>
    <row r="1542" spans="1:8" x14ac:dyDescent="0.25">
      <c r="A1542" t="s">
        <v>2867</v>
      </c>
      <c r="B1542" t="s">
        <v>2868</v>
      </c>
      <c r="C1542" s="27">
        <v>45091</v>
      </c>
      <c r="D1542" t="s">
        <v>10</v>
      </c>
      <c r="E1542" t="s">
        <v>3370</v>
      </c>
      <c r="G1542">
        <v>4</v>
      </c>
      <c r="H1542" t="s">
        <v>15</v>
      </c>
    </row>
    <row r="1543" spans="1:8" x14ac:dyDescent="0.25">
      <c r="A1543" t="s">
        <v>2869</v>
      </c>
      <c r="B1543" t="s">
        <v>2870</v>
      </c>
      <c r="C1543" s="27">
        <v>44989</v>
      </c>
      <c r="D1543" t="s">
        <v>3372</v>
      </c>
      <c r="E1543" t="s">
        <v>11</v>
      </c>
      <c r="F1543">
        <v>1913.15</v>
      </c>
      <c r="G1543">
        <v>4</v>
      </c>
      <c r="H1543" t="s">
        <v>3369</v>
      </c>
    </row>
    <row r="1544" spans="1:8" x14ac:dyDescent="0.25">
      <c r="A1544" t="s">
        <v>2871</v>
      </c>
      <c r="B1544" t="s">
        <v>2872</v>
      </c>
      <c r="C1544" s="27">
        <v>45364</v>
      </c>
      <c r="D1544" t="s">
        <v>21</v>
      </c>
      <c r="E1544" t="s">
        <v>3370</v>
      </c>
      <c r="F1544">
        <v>800.49</v>
      </c>
      <c r="G1544">
        <v>1</v>
      </c>
      <c r="H1544" t="s">
        <v>18</v>
      </c>
    </row>
    <row r="1545" spans="1:8" x14ac:dyDescent="0.25">
      <c r="A1545" t="s">
        <v>2873</v>
      </c>
      <c r="B1545" t="s">
        <v>2874</v>
      </c>
      <c r="C1545" s="27">
        <v>44951</v>
      </c>
      <c r="D1545" t="s">
        <v>3372</v>
      </c>
      <c r="E1545" t="s">
        <v>11</v>
      </c>
      <c r="F1545">
        <v>617.69000000000005</v>
      </c>
      <c r="G1545">
        <v>6</v>
      </c>
      <c r="H1545" t="s">
        <v>3369</v>
      </c>
    </row>
    <row r="1546" spans="1:8" x14ac:dyDescent="0.25">
      <c r="A1546" t="s">
        <v>2875</v>
      </c>
      <c r="B1546" t="s">
        <v>2876</v>
      </c>
      <c r="C1546" s="27">
        <v>45061</v>
      </c>
      <c r="D1546" t="s">
        <v>14</v>
      </c>
      <c r="E1546" t="s">
        <v>11</v>
      </c>
      <c r="F1546">
        <v>1197.79</v>
      </c>
      <c r="G1546">
        <v>3</v>
      </c>
      <c r="H1546" t="s">
        <v>35</v>
      </c>
    </row>
    <row r="1547" spans="1:8" x14ac:dyDescent="0.25">
      <c r="A1547" t="s">
        <v>2877</v>
      </c>
      <c r="B1547" t="s">
        <v>2878</v>
      </c>
      <c r="C1547" s="27">
        <v>45406</v>
      </c>
      <c r="D1547" t="s">
        <v>14</v>
      </c>
      <c r="E1547" t="s">
        <v>3371</v>
      </c>
      <c r="F1547">
        <v>284.43</v>
      </c>
      <c r="G1547">
        <v>8</v>
      </c>
      <c r="H1547" t="s">
        <v>18</v>
      </c>
    </row>
    <row r="1548" spans="1:8" x14ac:dyDescent="0.25">
      <c r="A1548" t="s">
        <v>2879</v>
      </c>
      <c r="B1548" t="s">
        <v>2880</v>
      </c>
      <c r="C1548" s="27">
        <v>45140</v>
      </c>
      <c r="D1548" t="s">
        <v>3372</v>
      </c>
      <c r="E1548" t="s">
        <v>34</v>
      </c>
      <c r="F1548">
        <v>1536.38</v>
      </c>
      <c r="G1548">
        <v>9</v>
      </c>
      <c r="H1548" t="s">
        <v>18</v>
      </c>
    </row>
    <row r="1549" spans="1:8" x14ac:dyDescent="0.25">
      <c r="A1549" t="s">
        <v>2881</v>
      </c>
      <c r="B1549" t="s">
        <v>2882</v>
      </c>
      <c r="C1549" s="27">
        <v>45408</v>
      </c>
      <c r="D1549" t="s">
        <v>3372</v>
      </c>
      <c r="E1549" t="s">
        <v>3371</v>
      </c>
      <c r="F1549">
        <v>539.38</v>
      </c>
      <c r="G1549">
        <v>10</v>
      </c>
      <c r="H1549" t="s">
        <v>15</v>
      </c>
    </row>
    <row r="1550" spans="1:8" x14ac:dyDescent="0.25">
      <c r="A1550" t="s">
        <v>2883</v>
      </c>
      <c r="B1550" t="s">
        <v>2884</v>
      </c>
      <c r="C1550" s="27">
        <v>45455</v>
      </c>
      <c r="D1550" t="s">
        <v>3372</v>
      </c>
      <c r="E1550" t="s">
        <v>34</v>
      </c>
      <c r="F1550">
        <v>401.8</v>
      </c>
      <c r="G1550">
        <v>5</v>
      </c>
      <c r="H1550" t="s">
        <v>3369</v>
      </c>
    </row>
    <row r="1551" spans="1:8" x14ac:dyDescent="0.25">
      <c r="A1551" t="s">
        <v>2885</v>
      </c>
      <c r="B1551" t="s">
        <v>2886</v>
      </c>
      <c r="C1551" s="27">
        <v>44949</v>
      </c>
      <c r="D1551" t="s">
        <v>10</v>
      </c>
      <c r="E1551" t="s">
        <v>25</v>
      </c>
      <c r="F1551">
        <v>1253.0999999999999</v>
      </c>
      <c r="G1551">
        <v>1</v>
      </c>
      <c r="H1551" t="s">
        <v>3377</v>
      </c>
    </row>
    <row r="1552" spans="1:8" x14ac:dyDescent="0.25">
      <c r="A1552" t="s">
        <v>2887</v>
      </c>
      <c r="B1552" t="s">
        <v>2440</v>
      </c>
      <c r="C1552" s="27">
        <v>45192</v>
      </c>
      <c r="D1552" t="s">
        <v>3372</v>
      </c>
      <c r="E1552" t="s">
        <v>11</v>
      </c>
      <c r="F1552">
        <v>1871.12</v>
      </c>
      <c r="G1552">
        <v>6</v>
      </c>
      <c r="H1552" t="s">
        <v>15</v>
      </c>
    </row>
    <row r="1553" spans="1:8" x14ac:dyDescent="0.25">
      <c r="A1553" t="s">
        <v>2888</v>
      </c>
      <c r="B1553" t="s">
        <v>2889</v>
      </c>
      <c r="C1553" s="27">
        <v>45931</v>
      </c>
      <c r="D1553" t="s">
        <v>10</v>
      </c>
      <c r="E1553" t="s">
        <v>25</v>
      </c>
      <c r="F1553">
        <v>301.87</v>
      </c>
      <c r="G1553">
        <v>6</v>
      </c>
      <c r="H1553" t="s">
        <v>15</v>
      </c>
    </row>
    <row r="1554" spans="1:8" x14ac:dyDescent="0.25">
      <c r="A1554" t="s">
        <v>2890</v>
      </c>
      <c r="B1554" t="s">
        <v>2891</v>
      </c>
      <c r="C1554" s="27">
        <v>45130</v>
      </c>
      <c r="D1554" t="s">
        <v>21</v>
      </c>
      <c r="E1554" t="s">
        <v>25</v>
      </c>
      <c r="F1554">
        <v>978.88</v>
      </c>
      <c r="G1554">
        <v>9</v>
      </c>
      <c r="H1554" t="s">
        <v>3377</v>
      </c>
    </row>
    <row r="1555" spans="1:8" x14ac:dyDescent="0.25">
      <c r="A1555" t="s">
        <v>2892</v>
      </c>
      <c r="B1555" t="s">
        <v>2893</v>
      </c>
      <c r="C1555" s="27">
        <v>44916</v>
      </c>
      <c r="D1555" t="s">
        <v>21</v>
      </c>
      <c r="E1555" t="s">
        <v>25</v>
      </c>
      <c r="F1555">
        <v>1931.13</v>
      </c>
      <c r="G1555">
        <v>3</v>
      </c>
      <c r="H1555" t="s">
        <v>3377</v>
      </c>
    </row>
    <row r="1556" spans="1:8" x14ac:dyDescent="0.25">
      <c r="A1556" t="s">
        <v>2894</v>
      </c>
      <c r="B1556" t="s">
        <v>2895</v>
      </c>
      <c r="C1556" s="27">
        <v>45104</v>
      </c>
      <c r="D1556" t="s">
        <v>10</v>
      </c>
      <c r="E1556" t="s">
        <v>11</v>
      </c>
      <c r="F1556">
        <v>1953.73</v>
      </c>
      <c r="H1556" t="s">
        <v>3377</v>
      </c>
    </row>
    <row r="1557" spans="1:8" x14ac:dyDescent="0.25">
      <c r="A1557" t="s">
        <v>2896</v>
      </c>
      <c r="B1557" t="s">
        <v>2897</v>
      </c>
      <c r="C1557" s="27">
        <v>45662</v>
      </c>
      <c r="D1557" t="s">
        <v>14</v>
      </c>
      <c r="E1557" t="s">
        <v>22</v>
      </c>
      <c r="F1557">
        <v>621.59</v>
      </c>
      <c r="G1557">
        <v>7</v>
      </c>
      <c r="H1557" t="s">
        <v>18</v>
      </c>
    </row>
    <row r="1558" spans="1:8" x14ac:dyDescent="0.25">
      <c r="A1558" t="s">
        <v>2898</v>
      </c>
      <c r="B1558" t="s">
        <v>2899</v>
      </c>
      <c r="C1558" s="27">
        <v>45058</v>
      </c>
      <c r="D1558" t="s">
        <v>3372</v>
      </c>
      <c r="E1558" t="s">
        <v>25</v>
      </c>
      <c r="F1558">
        <v>783.58</v>
      </c>
      <c r="G1558">
        <v>3</v>
      </c>
      <c r="H1558" t="s">
        <v>18</v>
      </c>
    </row>
    <row r="1559" spans="1:8" x14ac:dyDescent="0.25">
      <c r="A1559" t="s">
        <v>2900</v>
      </c>
      <c r="B1559" t="s">
        <v>2824</v>
      </c>
      <c r="C1559" s="27">
        <v>45926</v>
      </c>
      <c r="D1559" t="s">
        <v>14</v>
      </c>
      <c r="E1559" t="s">
        <v>34</v>
      </c>
      <c r="F1559">
        <v>1506.26</v>
      </c>
      <c r="H1559" t="s">
        <v>15</v>
      </c>
    </row>
    <row r="1560" spans="1:8" x14ac:dyDescent="0.25">
      <c r="A1560" t="s">
        <v>3415</v>
      </c>
      <c r="B1560" t="s">
        <v>3416</v>
      </c>
      <c r="C1560" s="27">
        <v>45474</v>
      </c>
      <c r="D1560" t="s">
        <v>3372</v>
      </c>
      <c r="E1560" t="s">
        <v>22</v>
      </c>
      <c r="F1560">
        <v>172.05</v>
      </c>
      <c r="G1560">
        <v>5</v>
      </c>
      <c r="H1560" t="s">
        <v>35</v>
      </c>
    </row>
    <row r="1561" spans="1:8" x14ac:dyDescent="0.25">
      <c r="A1561" t="s">
        <v>2901</v>
      </c>
      <c r="B1561" t="s">
        <v>2902</v>
      </c>
      <c r="C1561" s="27">
        <v>45056</v>
      </c>
      <c r="D1561" t="s">
        <v>21</v>
      </c>
      <c r="E1561" t="s">
        <v>34</v>
      </c>
      <c r="F1561">
        <v>1086.1099999999999</v>
      </c>
      <c r="G1561">
        <v>5</v>
      </c>
      <c r="H1561" t="s">
        <v>18</v>
      </c>
    </row>
    <row r="1562" spans="1:8" x14ac:dyDescent="0.25">
      <c r="A1562" t="s">
        <v>2903</v>
      </c>
      <c r="B1562" t="s">
        <v>2904</v>
      </c>
      <c r="C1562" s="27">
        <v>45388</v>
      </c>
      <c r="D1562" t="s">
        <v>3372</v>
      </c>
      <c r="E1562" t="s">
        <v>11</v>
      </c>
      <c r="G1562">
        <v>9</v>
      </c>
      <c r="H1562" t="s">
        <v>18</v>
      </c>
    </row>
    <row r="1563" spans="1:8" x14ac:dyDescent="0.25">
      <c r="A1563" t="s">
        <v>2905</v>
      </c>
      <c r="B1563" t="s">
        <v>2906</v>
      </c>
      <c r="C1563" s="27">
        <v>45357</v>
      </c>
      <c r="D1563" t="s">
        <v>10</v>
      </c>
      <c r="E1563" t="s">
        <v>11</v>
      </c>
      <c r="F1563">
        <v>999.07</v>
      </c>
      <c r="G1563">
        <v>3</v>
      </c>
      <c r="H1563" t="s">
        <v>15</v>
      </c>
    </row>
    <row r="1564" spans="1:8" x14ac:dyDescent="0.25">
      <c r="A1564" t="s">
        <v>2907</v>
      </c>
      <c r="B1564" t="s">
        <v>2908</v>
      </c>
      <c r="C1564" s="27">
        <v>45489</v>
      </c>
      <c r="D1564" t="s">
        <v>10</v>
      </c>
      <c r="E1564" t="s">
        <v>11</v>
      </c>
      <c r="G1564">
        <v>5</v>
      </c>
      <c r="H1564" t="s">
        <v>3369</v>
      </c>
    </row>
    <row r="1565" spans="1:8" x14ac:dyDescent="0.25">
      <c r="A1565" t="s">
        <v>2909</v>
      </c>
      <c r="B1565" t="s">
        <v>2910</v>
      </c>
      <c r="C1565" s="27">
        <v>45894</v>
      </c>
      <c r="D1565" t="s">
        <v>14</v>
      </c>
      <c r="E1565" t="s">
        <v>34</v>
      </c>
      <c r="F1565">
        <v>298.82</v>
      </c>
      <c r="G1565">
        <v>4</v>
      </c>
      <c r="H1565" t="s">
        <v>18</v>
      </c>
    </row>
    <row r="1566" spans="1:8" x14ac:dyDescent="0.25">
      <c r="A1566" t="s">
        <v>2911</v>
      </c>
      <c r="B1566" t="s">
        <v>2912</v>
      </c>
      <c r="C1566" s="27">
        <v>45385</v>
      </c>
      <c r="D1566" t="s">
        <v>21</v>
      </c>
      <c r="E1566" t="s">
        <v>34</v>
      </c>
      <c r="F1566">
        <v>1324.35</v>
      </c>
      <c r="G1566">
        <v>9</v>
      </c>
      <c r="H1566" t="s">
        <v>18</v>
      </c>
    </row>
    <row r="1567" spans="1:8" x14ac:dyDescent="0.25">
      <c r="A1567" t="s">
        <v>2913</v>
      </c>
      <c r="B1567" t="s">
        <v>2914</v>
      </c>
      <c r="C1567" s="27">
        <v>45726</v>
      </c>
      <c r="D1567" t="s">
        <v>10</v>
      </c>
      <c r="E1567" t="s">
        <v>3371</v>
      </c>
      <c r="F1567">
        <v>116.07</v>
      </c>
      <c r="G1567">
        <v>8</v>
      </c>
      <c r="H1567" t="s">
        <v>3369</v>
      </c>
    </row>
    <row r="1568" spans="1:8" x14ac:dyDescent="0.25">
      <c r="A1568" t="s">
        <v>2915</v>
      </c>
      <c r="B1568" t="s">
        <v>2916</v>
      </c>
      <c r="C1568" s="27">
        <v>45910</v>
      </c>
      <c r="D1568" t="s">
        <v>10</v>
      </c>
      <c r="E1568" t="s">
        <v>25</v>
      </c>
      <c r="F1568">
        <v>1512.88</v>
      </c>
      <c r="G1568">
        <v>7</v>
      </c>
      <c r="H1568" t="s">
        <v>3377</v>
      </c>
    </row>
    <row r="1569" spans="1:8" x14ac:dyDescent="0.25">
      <c r="A1569" t="s">
        <v>2917</v>
      </c>
      <c r="B1569" t="s">
        <v>1764</v>
      </c>
      <c r="C1569" s="27">
        <v>45800</v>
      </c>
      <c r="D1569" t="s">
        <v>21</v>
      </c>
      <c r="E1569" t="s">
        <v>3371</v>
      </c>
      <c r="F1569">
        <v>183.39</v>
      </c>
      <c r="G1569">
        <v>3</v>
      </c>
      <c r="H1569" t="s">
        <v>3377</v>
      </c>
    </row>
    <row r="1570" spans="1:8" x14ac:dyDescent="0.25">
      <c r="A1570" t="s">
        <v>3437</v>
      </c>
      <c r="B1570" t="s">
        <v>610</v>
      </c>
      <c r="C1570" s="27">
        <v>45904</v>
      </c>
      <c r="D1570" t="s">
        <v>3372</v>
      </c>
      <c r="E1570" t="s">
        <v>3371</v>
      </c>
      <c r="F1570">
        <v>522.26</v>
      </c>
      <c r="G1570">
        <v>6</v>
      </c>
      <c r="H1570" t="s">
        <v>3377</v>
      </c>
    </row>
    <row r="1571" spans="1:8" x14ac:dyDescent="0.25">
      <c r="A1571" t="s">
        <v>2918</v>
      </c>
      <c r="B1571" t="s">
        <v>2919</v>
      </c>
      <c r="C1571" s="27">
        <v>45388</v>
      </c>
      <c r="D1571" t="s">
        <v>3372</v>
      </c>
      <c r="E1571" t="s">
        <v>25</v>
      </c>
      <c r="F1571">
        <v>1356.76</v>
      </c>
      <c r="G1571">
        <v>3</v>
      </c>
      <c r="H1571" t="s">
        <v>3369</v>
      </c>
    </row>
    <row r="1572" spans="1:8" x14ac:dyDescent="0.25">
      <c r="A1572" t="s">
        <v>2920</v>
      </c>
      <c r="B1572" t="s">
        <v>2921</v>
      </c>
      <c r="C1572" s="27">
        <v>45650</v>
      </c>
      <c r="D1572" t="s">
        <v>21</v>
      </c>
      <c r="E1572" t="s">
        <v>34</v>
      </c>
      <c r="G1572">
        <v>1</v>
      </c>
      <c r="H1572" t="s">
        <v>35</v>
      </c>
    </row>
    <row r="1573" spans="1:8" x14ac:dyDescent="0.25">
      <c r="A1573" t="s">
        <v>2922</v>
      </c>
      <c r="B1573" t="s">
        <v>2923</v>
      </c>
      <c r="C1573" s="27">
        <v>45717</v>
      </c>
      <c r="D1573" t="s">
        <v>14</v>
      </c>
      <c r="E1573" t="s">
        <v>3371</v>
      </c>
      <c r="F1573">
        <v>1206.74</v>
      </c>
      <c r="G1573">
        <v>1</v>
      </c>
      <c r="H1573" t="s">
        <v>18</v>
      </c>
    </row>
    <row r="1574" spans="1:8" x14ac:dyDescent="0.25">
      <c r="A1574" t="s">
        <v>2924</v>
      </c>
      <c r="B1574" t="s">
        <v>2925</v>
      </c>
      <c r="C1574" s="27">
        <v>45224</v>
      </c>
      <c r="D1574" t="s">
        <v>10</v>
      </c>
      <c r="E1574" t="s">
        <v>3370</v>
      </c>
      <c r="F1574">
        <v>738.09</v>
      </c>
      <c r="G1574">
        <v>9</v>
      </c>
      <c r="H1574" t="s">
        <v>35</v>
      </c>
    </row>
    <row r="1575" spans="1:8" x14ac:dyDescent="0.25">
      <c r="A1575" t="s">
        <v>2926</v>
      </c>
      <c r="B1575" t="s">
        <v>2927</v>
      </c>
      <c r="C1575" s="27">
        <v>45258</v>
      </c>
      <c r="D1575" t="s">
        <v>14</v>
      </c>
      <c r="E1575" t="s">
        <v>25</v>
      </c>
      <c r="F1575">
        <v>641.97</v>
      </c>
      <c r="G1575">
        <v>2</v>
      </c>
      <c r="H1575" t="s">
        <v>15</v>
      </c>
    </row>
    <row r="1576" spans="1:8" x14ac:dyDescent="0.25">
      <c r="A1576" t="s">
        <v>2928</v>
      </c>
      <c r="B1576" t="s">
        <v>2893</v>
      </c>
      <c r="C1576" s="27">
        <v>45038</v>
      </c>
      <c r="D1576" t="s">
        <v>21</v>
      </c>
      <c r="E1576" t="s">
        <v>22</v>
      </c>
      <c r="G1576">
        <v>10</v>
      </c>
      <c r="H1576" t="s">
        <v>18</v>
      </c>
    </row>
    <row r="1577" spans="1:8" x14ac:dyDescent="0.25">
      <c r="A1577" t="s">
        <v>2929</v>
      </c>
      <c r="B1577" t="s">
        <v>978</v>
      </c>
      <c r="C1577" s="27">
        <v>45230</v>
      </c>
      <c r="D1577" t="s">
        <v>10</v>
      </c>
      <c r="E1577" t="s">
        <v>3371</v>
      </c>
      <c r="F1577">
        <v>1477.49</v>
      </c>
      <c r="G1577">
        <v>2</v>
      </c>
      <c r="H1577" t="s">
        <v>15</v>
      </c>
    </row>
    <row r="1578" spans="1:8" x14ac:dyDescent="0.25">
      <c r="A1578" t="s">
        <v>2930</v>
      </c>
      <c r="B1578" t="s">
        <v>2931</v>
      </c>
      <c r="C1578" s="27">
        <v>45581</v>
      </c>
      <c r="D1578" t="s">
        <v>10</v>
      </c>
      <c r="E1578" t="s">
        <v>3370</v>
      </c>
      <c r="F1578">
        <v>1319.53</v>
      </c>
      <c r="G1578">
        <v>6</v>
      </c>
      <c r="H1578" t="s">
        <v>15</v>
      </c>
    </row>
    <row r="1579" spans="1:8" x14ac:dyDescent="0.25">
      <c r="A1579" t="s">
        <v>2932</v>
      </c>
      <c r="B1579" t="s">
        <v>2933</v>
      </c>
      <c r="C1579" s="27">
        <v>45391</v>
      </c>
      <c r="D1579" t="s">
        <v>10</v>
      </c>
      <c r="E1579" t="s">
        <v>22</v>
      </c>
      <c r="F1579">
        <v>1624.52</v>
      </c>
      <c r="G1579">
        <v>10</v>
      </c>
      <c r="H1579" t="s">
        <v>3369</v>
      </c>
    </row>
    <row r="1580" spans="1:8" x14ac:dyDescent="0.25">
      <c r="A1580" t="s">
        <v>2934</v>
      </c>
      <c r="B1580" t="s">
        <v>2935</v>
      </c>
      <c r="C1580" s="27">
        <v>45368</v>
      </c>
      <c r="D1580" t="s">
        <v>21</v>
      </c>
      <c r="E1580" t="s">
        <v>34</v>
      </c>
      <c r="F1580">
        <v>1276.44</v>
      </c>
      <c r="H1580" t="s">
        <v>18</v>
      </c>
    </row>
    <row r="1581" spans="1:8" x14ac:dyDescent="0.25">
      <c r="A1581" t="s">
        <v>2936</v>
      </c>
      <c r="B1581" t="s">
        <v>2937</v>
      </c>
      <c r="C1581" s="27">
        <v>44859</v>
      </c>
      <c r="D1581" t="s">
        <v>21</v>
      </c>
      <c r="E1581" t="s">
        <v>25</v>
      </c>
      <c r="F1581">
        <v>349.14</v>
      </c>
      <c r="G1581">
        <v>3</v>
      </c>
      <c r="H1581" t="s">
        <v>15</v>
      </c>
    </row>
    <row r="1582" spans="1:8" x14ac:dyDescent="0.25">
      <c r="A1582" t="s">
        <v>2938</v>
      </c>
      <c r="B1582" t="s">
        <v>2939</v>
      </c>
      <c r="C1582" s="27">
        <v>45770</v>
      </c>
      <c r="D1582" t="s">
        <v>3372</v>
      </c>
      <c r="E1582" t="s">
        <v>34</v>
      </c>
      <c r="F1582">
        <v>1529.79</v>
      </c>
      <c r="H1582" t="s">
        <v>18</v>
      </c>
    </row>
    <row r="1583" spans="1:8" x14ac:dyDescent="0.25">
      <c r="A1583" t="s">
        <v>2940</v>
      </c>
      <c r="B1583" t="s">
        <v>2941</v>
      </c>
      <c r="C1583" s="27">
        <v>45094</v>
      </c>
      <c r="D1583" t="s">
        <v>21</v>
      </c>
      <c r="E1583" t="s">
        <v>22</v>
      </c>
      <c r="F1583">
        <v>1714.07</v>
      </c>
      <c r="G1583">
        <v>2</v>
      </c>
      <c r="H1583" t="s">
        <v>15</v>
      </c>
    </row>
    <row r="1584" spans="1:8" x14ac:dyDescent="0.25">
      <c r="A1584" t="s">
        <v>2942</v>
      </c>
      <c r="B1584" t="s">
        <v>2943</v>
      </c>
      <c r="C1584" s="27">
        <v>45059</v>
      </c>
      <c r="D1584" t="s">
        <v>10</v>
      </c>
      <c r="E1584" t="s">
        <v>25</v>
      </c>
      <c r="F1584">
        <v>1252.8499999999999</v>
      </c>
      <c r="G1584">
        <v>3</v>
      </c>
      <c r="H1584" t="s">
        <v>15</v>
      </c>
    </row>
    <row r="1585" spans="1:8" x14ac:dyDescent="0.25">
      <c r="A1585" t="s">
        <v>2944</v>
      </c>
      <c r="B1585" t="s">
        <v>2945</v>
      </c>
      <c r="C1585" s="27">
        <v>45481</v>
      </c>
      <c r="D1585" t="s">
        <v>14</v>
      </c>
      <c r="E1585" t="s">
        <v>11</v>
      </c>
      <c r="F1585">
        <v>1404.15</v>
      </c>
      <c r="G1585">
        <v>3</v>
      </c>
      <c r="H1585" t="s">
        <v>35</v>
      </c>
    </row>
    <row r="1586" spans="1:8" x14ac:dyDescent="0.25">
      <c r="A1586" t="s">
        <v>2946</v>
      </c>
      <c r="B1586" t="s">
        <v>2947</v>
      </c>
      <c r="C1586" s="27">
        <v>45767</v>
      </c>
      <c r="D1586" t="s">
        <v>14</v>
      </c>
      <c r="E1586" t="s">
        <v>11</v>
      </c>
      <c r="F1586">
        <v>1292.19</v>
      </c>
      <c r="G1586">
        <v>9</v>
      </c>
      <c r="H1586" t="s">
        <v>18</v>
      </c>
    </row>
    <row r="1587" spans="1:8" x14ac:dyDescent="0.25">
      <c r="A1587" t="s">
        <v>2948</v>
      </c>
      <c r="B1587" t="s">
        <v>2949</v>
      </c>
      <c r="C1587" s="27">
        <v>45550</v>
      </c>
      <c r="D1587" t="s">
        <v>10</v>
      </c>
      <c r="E1587" t="s">
        <v>11</v>
      </c>
      <c r="F1587">
        <v>1461.14</v>
      </c>
      <c r="G1587">
        <v>6</v>
      </c>
      <c r="H1587" t="s">
        <v>35</v>
      </c>
    </row>
    <row r="1588" spans="1:8" x14ac:dyDescent="0.25">
      <c r="A1588" t="s">
        <v>2950</v>
      </c>
      <c r="B1588" t="s">
        <v>2424</v>
      </c>
      <c r="C1588" s="27">
        <v>45578</v>
      </c>
      <c r="D1588" t="s">
        <v>21</v>
      </c>
      <c r="E1588" t="s">
        <v>11</v>
      </c>
      <c r="G1588">
        <v>2</v>
      </c>
      <c r="H1588" t="s">
        <v>15</v>
      </c>
    </row>
    <row r="1589" spans="1:8" x14ac:dyDescent="0.25">
      <c r="A1589" t="s">
        <v>2951</v>
      </c>
      <c r="B1589" t="s">
        <v>2952</v>
      </c>
      <c r="C1589" s="27">
        <v>45395</v>
      </c>
      <c r="D1589" t="s">
        <v>3372</v>
      </c>
      <c r="E1589" t="s">
        <v>11</v>
      </c>
      <c r="F1589">
        <v>1931.81</v>
      </c>
      <c r="G1589">
        <v>3</v>
      </c>
      <c r="H1589" t="s">
        <v>18</v>
      </c>
    </row>
    <row r="1590" spans="1:8" x14ac:dyDescent="0.25">
      <c r="A1590" t="s">
        <v>2953</v>
      </c>
      <c r="B1590" t="s">
        <v>1789</v>
      </c>
      <c r="C1590" s="27">
        <v>45708</v>
      </c>
      <c r="D1590" t="s">
        <v>14</v>
      </c>
      <c r="E1590" t="s">
        <v>22</v>
      </c>
      <c r="F1590">
        <v>130.34</v>
      </c>
      <c r="G1590">
        <v>1</v>
      </c>
      <c r="H1590" t="s">
        <v>3369</v>
      </c>
    </row>
    <row r="1591" spans="1:8" x14ac:dyDescent="0.25">
      <c r="A1591" t="s">
        <v>2954</v>
      </c>
      <c r="B1591" t="s">
        <v>2955</v>
      </c>
      <c r="C1591" s="27">
        <v>45284</v>
      </c>
      <c r="D1591" t="s">
        <v>10</v>
      </c>
      <c r="E1591" t="s">
        <v>3370</v>
      </c>
      <c r="F1591">
        <v>1272.49</v>
      </c>
      <c r="G1591">
        <v>5</v>
      </c>
      <c r="H1591" t="s">
        <v>3369</v>
      </c>
    </row>
    <row r="1592" spans="1:8" x14ac:dyDescent="0.25">
      <c r="A1592" t="s">
        <v>2956</v>
      </c>
      <c r="B1592" t="s">
        <v>2957</v>
      </c>
      <c r="C1592" s="27">
        <v>45098</v>
      </c>
      <c r="D1592" t="s">
        <v>21</v>
      </c>
      <c r="E1592" t="s">
        <v>25</v>
      </c>
      <c r="G1592">
        <v>8</v>
      </c>
      <c r="H1592" t="s">
        <v>3369</v>
      </c>
    </row>
    <row r="1593" spans="1:8" x14ac:dyDescent="0.25">
      <c r="A1593" t="s">
        <v>2958</v>
      </c>
      <c r="B1593" t="s">
        <v>2959</v>
      </c>
      <c r="C1593" s="27">
        <v>44900</v>
      </c>
      <c r="D1593" t="s">
        <v>3372</v>
      </c>
      <c r="E1593" t="s">
        <v>34</v>
      </c>
      <c r="G1593">
        <v>6</v>
      </c>
      <c r="H1593" t="s">
        <v>18</v>
      </c>
    </row>
    <row r="1594" spans="1:8" x14ac:dyDescent="0.25">
      <c r="A1594" t="s">
        <v>2960</v>
      </c>
      <c r="B1594" t="s">
        <v>2961</v>
      </c>
      <c r="C1594" s="27">
        <v>45784</v>
      </c>
      <c r="D1594" t="s">
        <v>14</v>
      </c>
      <c r="E1594" t="s">
        <v>25</v>
      </c>
      <c r="F1594">
        <v>1528.24</v>
      </c>
      <c r="G1594">
        <v>6</v>
      </c>
      <c r="H1594" t="s">
        <v>18</v>
      </c>
    </row>
    <row r="1595" spans="1:8" x14ac:dyDescent="0.25">
      <c r="A1595" t="s">
        <v>2962</v>
      </c>
      <c r="B1595" t="s">
        <v>2963</v>
      </c>
      <c r="C1595" s="27">
        <v>44952</v>
      </c>
      <c r="D1595" t="s">
        <v>10</v>
      </c>
      <c r="E1595" t="s">
        <v>3370</v>
      </c>
      <c r="F1595">
        <v>1341.65</v>
      </c>
      <c r="G1595">
        <v>9</v>
      </c>
      <c r="H1595" t="s">
        <v>18</v>
      </c>
    </row>
    <row r="1596" spans="1:8" x14ac:dyDescent="0.25">
      <c r="A1596" t="s">
        <v>2964</v>
      </c>
      <c r="B1596" t="s">
        <v>2965</v>
      </c>
      <c r="C1596" s="27">
        <v>45688</v>
      </c>
      <c r="D1596" t="s">
        <v>3372</v>
      </c>
      <c r="E1596" t="s">
        <v>25</v>
      </c>
      <c r="G1596">
        <v>2</v>
      </c>
      <c r="H1596" t="s">
        <v>3369</v>
      </c>
    </row>
    <row r="1597" spans="1:8" x14ac:dyDescent="0.25">
      <c r="A1597" t="s">
        <v>2966</v>
      </c>
      <c r="B1597" t="s">
        <v>2967</v>
      </c>
      <c r="C1597" s="27">
        <v>45730</v>
      </c>
      <c r="D1597" t="s">
        <v>21</v>
      </c>
      <c r="E1597" t="s">
        <v>34</v>
      </c>
      <c r="F1597">
        <v>1508.17</v>
      </c>
      <c r="G1597">
        <v>2</v>
      </c>
      <c r="H1597" t="s">
        <v>3377</v>
      </c>
    </row>
    <row r="1598" spans="1:8" x14ac:dyDescent="0.25">
      <c r="A1598" t="s">
        <v>2968</v>
      </c>
      <c r="B1598" t="s">
        <v>2969</v>
      </c>
      <c r="C1598" s="27">
        <v>45077</v>
      </c>
      <c r="D1598" t="s">
        <v>21</v>
      </c>
      <c r="E1598" t="s">
        <v>3371</v>
      </c>
      <c r="F1598">
        <v>1551.64</v>
      </c>
      <c r="G1598">
        <v>5</v>
      </c>
      <c r="H1598" t="s">
        <v>35</v>
      </c>
    </row>
    <row r="1599" spans="1:8" x14ac:dyDescent="0.25">
      <c r="A1599" t="s">
        <v>2970</v>
      </c>
      <c r="B1599" t="s">
        <v>2971</v>
      </c>
      <c r="C1599" s="27">
        <v>45069</v>
      </c>
      <c r="D1599" t="s">
        <v>14</v>
      </c>
      <c r="E1599" t="s">
        <v>22</v>
      </c>
      <c r="F1599">
        <v>725.79</v>
      </c>
      <c r="H1599" t="s">
        <v>18</v>
      </c>
    </row>
    <row r="1600" spans="1:8" x14ac:dyDescent="0.25">
      <c r="A1600" t="s">
        <v>2972</v>
      </c>
      <c r="B1600" t="s">
        <v>2973</v>
      </c>
      <c r="C1600" s="27">
        <v>45326</v>
      </c>
      <c r="D1600" t="s">
        <v>21</v>
      </c>
      <c r="E1600" t="s">
        <v>25</v>
      </c>
      <c r="F1600">
        <v>1897.33</v>
      </c>
      <c r="H1600" t="s">
        <v>15</v>
      </c>
    </row>
    <row r="1601" spans="1:8" x14ac:dyDescent="0.25">
      <c r="A1601" t="s">
        <v>2974</v>
      </c>
      <c r="B1601" t="s">
        <v>2975</v>
      </c>
      <c r="C1601" s="27">
        <v>45713</v>
      </c>
      <c r="D1601" t="s">
        <v>10</v>
      </c>
      <c r="E1601" t="s">
        <v>3371</v>
      </c>
      <c r="F1601">
        <v>957.52</v>
      </c>
      <c r="G1601">
        <v>3</v>
      </c>
      <c r="H1601" t="s">
        <v>18</v>
      </c>
    </row>
    <row r="1602" spans="1:8" x14ac:dyDescent="0.25">
      <c r="A1602" t="s">
        <v>2976</v>
      </c>
      <c r="B1602" t="s">
        <v>2977</v>
      </c>
      <c r="C1602" s="27">
        <v>44990</v>
      </c>
      <c r="D1602" t="s">
        <v>3372</v>
      </c>
      <c r="E1602" t="s">
        <v>3371</v>
      </c>
      <c r="F1602">
        <v>1663.4</v>
      </c>
      <c r="G1602">
        <v>1</v>
      </c>
      <c r="H1602" t="s">
        <v>3377</v>
      </c>
    </row>
    <row r="1603" spans="1:8" x14ac:dyDescent="0.25">
      <c r="A1603" t="s">
        <v>2978</v>
      </c>
      <c r="B1603" t="s">
        <v>2979</v>
      </c>
      <c r="C1603" s="27">
        <v>45100</v>
      </c>
      <c r="D1603" t="s">
        <v>3372</v>
      </c>
      <c r="E1603" t="s">
        <v>3371</v>
      </c>
      <c r="F1603">
        <v>549.16</v>
      </c>
      <c r="G1603">
        <v>9</v>
      </c>
      <c r="H1603" t="s">
        <v>3377</v>
      </c>
    </row>
    <row r="1604" spans="1:8" x14ac:dyDescent="0.25">
      <c r="A1604" t="s">
        <v>2980</v>
      </c>
      <c r="B1604" t="s">
        <v>2981</v>
      </c>
      <c r="C1604" s="27">
        <v>45520</v>
      </c>
      <c r="D1604" t="s">
        <v>10</v>
      </c>
      <c r="E1604" t="s">
        <v>3370</v>
      </c>
      <c r="F1604">
        <v>251.66</v>
      </c>
      <c r="G1604">
        <v>9</v>
      </c>
      <c r="H1604" t="s">
        <v>3369</v>
      </c>
    </row>
    <row r="1605" spans="1:8" x14ac:dyDescent="0.25">
      <c r="A1605" t="s">
        <v>2982</v>
      </c>
      <c r="B1605" t="s">
        <v>2983</v>
      </c>
      <c r="C1605" s="27">
        <v>44929</v>
      </c>
      <c r="D1605" t="s">
        <v>3372</v>
      </c>
      <c r="E1605" t="s">
        <v>22</v>
      </c>
      <c r="F1605">
        <v>1855.05</v>
      </c>
      <c r="G1605">
        <v>4</v>
      </c>
      <c r="H1605" t="s">
        <v>35</v>
      </c>
    </row>
    <row r="1606" spans="1:8" x14ac:dyDescent="0.25">
      <c r="A1606" t="s">
        <v>2984</v>
      </c>
      <c r="B1606" t="s">
        <v>2985</v>
      </c>
      <c r="C1606" s="27">
        <v>45335</v>
      </c>
      <c r="D1606" t="s">
        <v>10</v>
      </c>
      <c r="E1606" t="s">
        <v>34</v>
      </c>
      <c r="F1606">
        <v>1193.8599999999999</v>
      </c>
      <c r="G1606">
        <v>3</v>
      </c>
      <c r="H1606" t="s">
        <v>15</v>
      </c>
    </row>
    <row r="1607" spans="1:8" x14ac:dyDescent="0.25">
      <c r="A1607" t="s">
        <v>2986</v>
      </c>
      <c r="B1607" t="s">
        <v>2987</v>
      </c>
      <c r="C1607" s="27">
        <v>45604</v>
      </c>
      <c r="D1607" t="s">
        <v>21</v>
      </c>
      <c r="E1607" t="s">
        <v>3371</v>
      </c>
      <c r="F1607">
        <v>496.99</v>
      </c>
      <c r="G1607">
        <v>4</v>
      </c>
      <c r="H1607" t="s">
        <v>35</v>
      </c>
    </row>
    <row r="1608" spans="1:8" x14ac:dyDescent="0.25">
      <c r="A1608" t="s">
        <v>2988</v>
      </c>
      <c r="B1608" t="s">
        <v>2989</v>
      </c>
      <c r="C1608" s="27">
        <v>45125</v>
      </c>
      <c r="D1608" t="s">
        <v>14</v>
      </c>
      <c r="E1608" t="s">
        <v>25</v>
      </c>
      <c r="F1608">
        <v>1590.02</v>
      </c>
      <c r="G1608">
        <v>5</v>
      </c>
      <c r="H1608" t="s">
        <v>3377</v>
      </c>
    </row>
    <row r="1609" spans="1:8" x14ac:dyDescent="0.25">
      <c r="A1609" t="s">
        <v>2990</v>
      </c>
      <c r="B1609" t="s">
        <v>1231</v>
      </c>
      <c r="C1609" s="27">
        <v>45940</v>
      </c>
      <c r="D1609" t="s">
        <v>14</v>
      </c>
      <c r="E1609" t="s">
        <v>3370</v>
      </c>
      <c r="F1609">
        <v>1416.1</v>
      </c>
      <c r="H1609" t="s">
        <v>15</v>
      </c>
    </row>
    <row r="1610" spans="1:8" x14ac:dyDescent="0.25">
      <c r="A1610" t="s">
        <v>2991</v>
      </c>
      <c r="B1610" t="s">
        <v>2992</v>
      </c>
      <c r="C1610" s="27">
        <v>45822</v>
      </c>
      <c r="D1610" t="s">
        <v>14</v>
      </c>
      <c r="E1610" t="s">
        <v>3370</v>
      </c>
      <c r="F1610">
        <v>1321.24</v>
      </c>
      <c r="G1610">
        <v>9</v>
      </c>
      <c r="H1610" t="s">
        <v>35</v>
      </c>
    </row>
    <row r="1611" spans="1:8" x14ac:dyDescent="0.25">
      <c r="A1611" t="s">
        <v>2993</v>
      </c>
      <c r="B1611" t="s">
        <v>2994</v>
      </c>
      <c r="C1611" s="27">
        <v>45754</v>
      </c>
      <c r="D1611" t="s">
        <v>3372</v>
      </c>
      <c r="E1611" t="s">
        <v>25</v>
      </c>
      <c r="F1611">
        <v>480.75</v>
      </c>
      <c r="G1611">
        <v>10</v>
      </c>
      <c r="H1611" t="s">
        <v>15</v>
      </c>
    </row>
    <row r="1612" spans="1:8" x14ac:dyDescent="0.25">
      <c r="A1612" t="s">
        <v>2995</v>
      </c>
      <c r="B1612" t="s">
        <v>2996</v>
      </c>
      <c r="C1612" s="27">
        <v>45856</v>
      </c>
      <c r="D1612" t="s">
        <v>3372</v>
      </c>
      <c r="E1612" t="s">
        <v>34</v>
      </c>
      <c r="F1612">
        <v>1602.73</v>
      </c>
      <c r="G1612">
        <v>2</v>
      </c>
      <c r="H1612" t="s">
        <v>35</v>
      </c>
    </row>
    <row r="1613" spans="1:8" x14ac:dyDescent="0.25">
      <c r="A1613" t="s">
        <v>2997</v>
      </c>
      <c r="B1613" t="s">
        <v>2998</v>
      </c>
      <c r="C1613" s="27">
        <v>45175</v>
      </c>
      <c r="D1613" t="s">
        <v>10</v>
      </c>
      <c r="E1613" t="s">
        <v>22</v>
      </c>
      <c r="F1613">
        <v>1827.82</v>
      </c>
      <c r="G1613">
        <v>1</v>
      </c>
      <c r="H1613" t="s">
        <v>3377</v>
      </c>
    </row>
    <row r="1614" spans="1:8" x14ac:dyDescent="0.25">
      <c r="A1614" t="s">
        <v>2999</v>
      </c>
      <c r="B1614" t="s">
        <v>3000</v>
      </c>
      <c r="C1614" s="27">
        <v>45013</v>
      </c>
      <c r="D1614" t="s">
        <v>3372</v>
      </c>
      <c r="E1614" t="s">
        <v>3370</v>
      </c>
      <c r="F1614">
        <v>1661.6</v>
      </c>
      <c r="G1614">
        <v>1</v>
      </c>
      <c r="H1614" t="s">
        <v>3377</v>
      </c>
    </row>
    <row r="1615" spans="1:8" x14ac:dyDescent="0.25">
      <c r="A1615" t="s">
        <v>3001</v>
      </c>
      <c r="B1615" t="s">
        <v>3002</v>
      </c>
      <c r="C1615" s="27">
        <v>45232</v>
      </c>
      <c r="D1615" t="s">
        <v>3372</v>
      </c>
      <c r="E1615" t="s">
        <v>22</v>
      </c>
      <c r="F1615">
        <v>1335.53</v>
      </c>
      <c r="G1615">
        <v>2</v>
      </c>
      <c r="H1615" t="s">
        <v>3369</v>
      </c>
    </row>
    <row r="1616" spans="1:8" x14ac:dyDescent="0.25">
      <c r="A1616" t="s">
        <v>3003</v>
      </c>
      <c r="B1616" t="s">
        <v>3004</v>
      </c>
      <c r="C1616" s="27">
        <v>45879</v>
      </c>
      <c r="D1616" t="s">
        <v>14</v>
      </c>
      <c r="E1616" t="s">
        <v>25</v>
      </c>
      <c r="F1616">
        <v>418.38</v>
      </c>
      <c r="G1616">
        <v>10</v>
      </c>
      <c r="H1616" t="s">
        <v>15</v>
      </c>
    </row>
    <row r="1617" spans="1:8" x14ac:dyDescent="0.25">
      <c r="A1617" t="s">
        <v>3005</v>
      </c>
      <c r="B1617" t="s">
        <v>1442</v>
      </c>
      <c r="C1617" s="27">
        <v>45478</v>
      </c>
      <c r="D1617" t="s">
        <v>3372</v>
      </c>
      <c r="E1617" t="s">
        <v>25</v>
      </c>
      <c r="F1617">
        <v>964.28</v>
      </c>
      <c r="G1617">
        <v>9</v>
      </c>
      <c r="H1617" t="s">
        <v>3369</v>
      </c>
    </row>
    <row r="1618" spans="1:8" x14ac:dyDescent="0.25">
      <c r="A1618" t="s">
        <v>3006</v>
      </c>
      <c r="B1618" t="s">
        <v>498</v>
      </c>
      <c r="C1618" s="27">
        <v>44941</v>
      </c>
      <c r="D1618" t="s">
        <v>3372</v>
      </c>
      <c r="E1618" t="s">
        <v>11</v>
      </c>
      <c r="F1618">
        <v>1393.75</v>
      </c>
      <c r="G1618">
        <v>1</v>
      </c>
      <c r="H1618" t="s">
        <v>15</v>
      </c>
    </row>
    <row r="1619" spans="1:8" x14ac:dyDescent="0.25">
      <c r="A1619" t="s">
        <v>3007</v>
      </c>
      <c r="B1619" t="s">
        <v>3008</v>
      </c>
      <c r="C1619" s="27">
        <v>45017</v>
      </c>
      <c r="D1619" t="s">
        <v>14</v>
      </c>
      <c r="E1619" t="s">
        <v>3370</v>
      </c>
      <c r="F1619">
        <v>42.28</v>
      </c>
      <c r="G1619">
        <v>1</v>
      </c>
      <c r="H1619" t="s">
        <v>18</v>
      </c>
    </row>
    <row r="1620" spans="1:8" x14ac:dyDescent="0.25">
      <c r="A1620" t="s">
        <v>3009</v>
      </c>
      <c r="B1620" t="s">
        <v>1438</v>
      </c>
      <c r="C1620" s="27">
        <v>45557</v>
      </c>
      <c r="D1620" t="s">
        <v>21</v>
      </c>
      <c r="E1620" t="s">
        <v>3371</v>
      </c>
      <c r="F1620">
        <v>1915.84</v>
      </c>
      <c r="G1620">
        <v>3</v>
      </c>
      <c r="H1620" t="s">
        <v>15</v>
      </c>
    </row>
    <row r="1621" spans="1:8" x14ac:dyDescent="0.25">
      <c r="A1621" t="s">
        <v>3010</v>
      </c>
      <c r="B1621" t="s">
        <v>3011</v>
      </c>
      <c r="C1621" s="27">
        <v>45516</v>
      </c>
      <c r="D1621" t="s">
        <v>3372</v>
      </c>
      <c r="E1621" t="s">
        <v>22</v>
      </c>
      <c r="F1621">
        <v>1280.92</v>
      </c>
      <c r="G1621">
        <v>5</v>
      </c>
      <c r="H1621" t="s">
        <v>35</v>
      </c>
    </row>
    <row r="1622" spans="1:8" x14ac:dyDescent="0.25">
      <c r="A1622" t="s">
        <v>3012</v>
      </c>
      <c r="B1622" t="s">
        <v>3013</v>
      </c>
      <c r="C1622" s="27">
        <v>45026</v>
      </c>
      <c r="D1622" t="s">
        <v>10</v>
      </c>
      <c r="E1622" t="s">
        <v>25</v>
      </c>
      <c r="F1622">
        <v>1241.01</v>
      </c>
      <c r="G1622">
        <v>6</v>
      </c>
      <c r="H1622" t="s">
        <v>3377</v>
      </c>
    </row>
    <row r="1623" spans="1:8" x14ac:dyDescent="0.25">
      <c r="A1623" t="s">
        <v>3014</v>
      </c>
      <c r="B1623" t="s">
        <v>3015</v>
      </c>
      <c r="C1623" s="27">
        <v>45079</v>
      </c>
      <c r="D1623" t="s">
        <v>21</v>
      </c>
      <c r="E1623" t="s">
        <v>3371</v>
      </c>
      <c r="F1623">
        <v>1282.21</v>
      </c>
      <c r="G1623">
        <v>9</v>
      </c>
      <c r="H1623" t="s">
        <v>3377</v>
      </c>
    </row>
    <row r="1624" spans="1:8" x14ac:dyDescent="0.25">
      <c r="A1624" t="s">
        <v>3016</v>
      </c>
      <c r="B1624" t="s">
        <v>3017</v>
      </c>
      <c r="C1624" s="27">
        <v>45573</v>
      </c>
      <c r="D1624" t="s">
        <v>14</v>
      </c>
      <c r="E1624" t="s">
        <v>25</v>
      </c>
      <c r="F1624">
        <v>1527.82</v>
      </c>
      <c r="G1624">
        <v>5</v>
      </c>
      <c r="H1624" t="s">
        <v>15</v>
      </c>
    </row>
    <row r="1625" spans="1:8" x14ac:dyDescent="0.25">
      <c r="A1625" t="s">
        <v>3018</v>
      </c>
      <c r="B1625" t="s">
        <v>3019</v>
      </c>
      <c r="C1625" s="27">
        <v>44883</v>
      </c>
      <c r="D1625" t="s">
        <v>3372</v>
      </c>
      <c r="E1625" t="s">
        <v>3370</v>
      </c>
      <c r="F1625">
        <v>320.58</v>
      </c>
      <c r="G1625">
        <v>7</v>
      </c>
      <c r="H1625" t="s">
        <v>3377</v>
      </c>
    </row>
    <row r="1626" spans="1:8" x14ac:dyDescent="0.25">
      <c r="A1626" t="s">
        <v>3020</v>
      </c>
      <c r="B1626" t="s">
        <v>931</v>
      </c>
      <c r="C1626" s="27">
        <v>45084</v>
      </c>
      <c r="D1626" t="s">
        <v>3372</v>
      </c>
      <c r="E1626" t="s">
        <v>11</v>
      </c>
      <c r="F1626">
        <v>78.989999999999995</v>
      </c>
      <c r="H1626" t="s">
        <v>18</v>
      </c>
    </row>
    <row r="1627" spans="1:8" x14ac:dyDescent="0.25">
      <c r="A1627" t="s">
        <v>3021</v>
      </c>
      <c r="B1627" t="s">
        <v>1762</v>
      </c>
      <c r="C1627" s="27">
        <v>45583</v>
      </c>
      <c r="D1627" t="s">
        <v>3372</v>
      </c>
      <c r="E1627" t="s">
        <v>25</v>
      </c>
      <c r="F1627">
        <v>14.75</v>
      </c>
      <c r="G1627">
        <v>8</v>
      </c>
      <c r="H1627" t="s">
        <v>3369</v>
      </c>
    </row>
    <row r="1628" spans="1:8" x14ac:dyDescent="0.25">
      <c r="A1628" t="s">
        <v>3022</v>
      </c>
      <c r="B1628" t="s">
        <v>3023</v>
      </c>
      <c r="C1628" s="27">
        <v>45434</v>
      </c>
      <c r="D1628" t="s">
        <v>14</v>
      </c>
      <c r="E1628" t="s">
        <v>22</v>
      </c>
      <c r="F1628">
        <v>487.35</v>
      </c>
      <c r="G1628">
        <v>8</v>
      </c>
      <c r="H1628" t="s">
        <v>18</v>
      </c>
    </row>
    <row r="1629" spans="1:8" x14ac:dyDescent="0.25">
      <c r="A1629" t="s">
        <v>3024</v>
      </c>
      <c r="B1629" t="s">
        <v>3025</v>
      </c>
      <c r="C1629" s="27">
        <v>45673</v>
      </c>
      <c r="D1629" t="s">
        <v>21</v>
      </c>
      <c r="E1629" t="s">
        <v>25</v>
      </c>
      <c r="F1629">
        <v>790.79</v>
      </c>
      <c r="G1629">
        <v>9</v>
      </c>
      <c r="H1629" t="s">
        <v>3369</v>
      </c>
    </row>
    <row r="1630" spans="1:8" x14ac:dyDescent="0.25">
      <c r="A1630" t="s">
        <v>3026</v>
      </c>
      <c r="B1630" t="s">
        <v>3027</v>
      </c>
      <c r="C1630" s="27">
        <v>45741</v>
      </c>
      <c r="D1630" t="s">
        <v>21</v>
      </c>
      <c r="E1630" t="s">
        <v>34</v>
      </c>
      <c r="G1630">
        <v>5</v>
      </c>
      <c r="H1630" t="s">
        <v>15</v>
      </c>
    </row>
    <row r="1631" spans="1:8" x14ac:dyDescent="0.25">
      <c r="A1631" t="s">
        <v>3028</v>
      </c>
      <c r="B1631" t="s">
        <v>3029</v>
      </c>
      <c r="C1631" s="27">
        <v>45559</v>
      </c>
      <c r="D1631" t="s">
        <v>14</v>
      </c>
      <c r="E1631" t="s">
        <v>34</v>
      </c>
      <c r="F1631">
        <v>1270.42</v>
      </c>
      <c r="G1631">
        <v>7</v>
      </c>
      <c r="H1631" t="s">
        <v>3377</v>
      </c>
    </row>
    <row r="1632" spans="1:8" x14ac:dyDescent="0.25">
      <c r="A1632" t="s">
        <v>3030</v>
      </c>
      <c r="B1632" t="s">
        <v>3031</v>
      </c>
      <c r="C1632" s="27">
        <v>45781</v>
      </c>
      <c r="D1632" t="s">
        <v>21</v>
      </c>
      <c r="E1632" t="s">
        <v>3371</v>
      </c>
      <c r="F1632">
        <v>1323.04</v>
      </c>
      <c r="G1632">
        <v>8</v>
      </c>
      <c r="H1632" t="s">
        <v>35</v>
      </c>
    </row>
    <row r="1633" spans="1:8" x14ac:dyDescent="0.25">
      <c r="A1633" t="s">
        <v>3032</v>
      </c>
      <c r="B1633" t="s">
        <v>3033</v>
      </c>
      <c r="C1633" s="27">
        <v>45511</v>
      </c>
      <c r="D1633" t="s">
        <v>10</v>
      </c>
      <c r="E1633" t="s">
        <v>22</v>
      </c>
      <c r="F1633">
        <v>1357.19</v>
      </c>
      <c r="G1633">
        <v>3</v>
      </c>
      <c r="H1633" t="s">
        <v>35</v>
      </c>
    </row>
    <row r="1634" spans="1:8" x14ac:dyDescent="0.25">
      <c r="A1634" t="s">
        <v>3034</v>
      </c>
      <c r="B1634" t="s">
        <v>3035</v>
      </c>
      <c r="C1634" s="27">
        <v>45827</v>
      </c>
      <c r="D1634" t="s">
        <v>21</v>
      </c>
      <c r="E1634" t="s">
        <v>22</v>
      </c>
      <c r="F1634">
        <v>823.59</v>
      </c>
      <c r="G1634">
        <v>5</v>
      </c>
      <c r="H1634" t="s">
        <v>3369</v>
      </c>
    </row>
    <row r="1635" spans="1:8" x14ac:dyDescent="0.25">
      <c r="A1635" t="s">
        <v>3036</v>
      </c>
      <c r="B1635" t="s">
        <v>3037</v>
      </c>
      <c r="C1635" s="27">
        <v>45506</v>
      </c>
      <c r="D1635" t="s">
        <v>14</v>
      </c>
      <c r="E1635" t="s">
        <v>22</v>
      </c>
      <c r="F1635">
        <v>572.88</v>
      </c>
      <c r="G1635">
        <v>6</v>
      </c>
      <c r="H1635" t="s">
        <v>15</v>
      </c>
    </row>
    <row r="1636" spans="1:8" x14ac:dyDescent="0.25">
      <c r="A1636" t="s">
        <v>3038</v>
      </c>
      <c r="B1636" t="s">
        <v>3039</v>
      </c>
      <c r="C1636" s="27">
        <v>45879</v>
      </c>
      <c r="D1636" t="s">
        <v>10</v>
      </c>
      <c r="E1636" t="s">
        <v>3370</v>
      </c>
      <c r="F1636">
        <v>12.91</v>
      </c>
      <c r="H1636" t="s">
        <v>35</v>
      </c>
    </row>
    <row r="1637" spans="1:8" x14ac:dyDescent="0.25">
      <c r="A1637" t="s">
        <v>3040</v>
      </c>
      <c r="B1637" t="s">
        <v>3041</v>
      </c>
      <c r="C1637" s="27">
        <v>45329</v>
      </c>
      <c r="D1637" t="s">
        <v>3372</v>
      </c>
      <c r="E1637" t="s">
        <v>25</v>
      </c>
      <c r="G1637">
        <v>8</v>
      </c>
      <c r="H1637" t="s">
        <v>3377</v>
      </c>
    </row>
    <row r="1638" spans="1:8" x14ac:dyDescent="0.25">
      <c r="A1638" t="s">
        <v>3042</v>
      </c>
      <c r="B1638" t="s">
        <v>2198</v>
      </c>
      <c r="C1638" s="27">
        <v>45756</v>
      </c>
      <c r="D1638" t="s">
        <v>3372</v>
      </c>
      <c r="E1638" t="s">
        <v>11</v>
      </c>
      <c r="F1638">
        <v>1886.45</v>
      </c>
      <c r="G1638">
        <v>6</v>
      </c>
      <c r="H1638" t="s">
        <v>15</v>
      </c>
    </row>
    <row r="1639" spans="1:8" x14ac:dyDescent="0.25">
      <c r="A1639" t="s">
        <v>3043</v>
      </c>
      <c r="B1639" t="s">
        <v>3044</v>
      </c>
      <c r="C1639" s="27">
        <v>45155</v>
      </c>
      <c r="D1639" t="s">
        <v>10</v>
      </c>
      <c r="E1639" t="s">
        <v>3371</v>
      </c>
      <c r="G1639">
        <v>7</v>
      </c>
      <c r="H1639" t="s">
        <v>3369</v>
      </c>
    </row>
    <row r="1640" spans="1:8" x14ac:dyDescent="0.25">
      <c r="A1640" t="s">
        <v>3045</v>
      </c>
      <c r="B1640" t="s">
        <v>3029</v>
      </c>
      <c r="C1640" s="27">
        <v>45282</v>
      </c>
      <c r="D1640" t="s">
        <v>14</v>
      </c>
      <c r="E1640" t="s">
        <v>22</v>
      </c>
      <c r="F1640">
        <v>30.76</v>
      </c>
      <c r="G1640">
        <v>10</v>
      </c>
      <c r="H1640" t="s">
        <v>3377</v>
      </c>
    </row>
    <row r="1641" spans="1:8" x14ac:dyDescent="0.25">
      <c r="A1641" t="s">
        <v>3046</v>
      </c>
      <c r="B1641" t="s">
        <v>3047</v>
      </c>
      <c r="C1641" s="27">
        <v>45895</v>
      </c>
      <c r="D1641" t="s">
        <v>3372</v>
      </c>
      <c r="E1641" t="s">
        <v>34</v>
      </c>
      <c r="F1641">
        <v>1727.17</v>
      </c>
      <c r="G1641">
        <v>5</v>
      </c>
      <c r="H1641" t="s">
        <v>35</v>
      </c>
    </row>
    <row r="1642" spans="1:8" x14ac:dyDescent="0.25">
      <c r="A1642" t="s">
        <v>3048</v>
      </c>
      <c r="B1642" t="s">
        <v>3049</v>
      </c>
      <c r="C1642" s="27">
        <v>45647</v>
      </c>
      <c r="D1642" t="s">
        <v>14</v>
      </c>
      <c r="E1642" t="s">
        <v>25</v>
      </c>
      <c r="F1642">
        <v>1708.25</v>
      </c>
      <c r="G1642">
        <v>3</v>
      </c>
      <c r="H1642" t="s">
        <v>18</v>
      </c>
    </row>
    <row r="1643" spans="1:8" x14ac:dyDescent="0.25">
      <c r="A1643" t="s">
        <v>3050</v>
      </c>
      <c r="B1643" t="s">
        <v>3051</v>
      </c>
      <c r="C1643" s="27">
        <v>45064</v>
      </c>
      <c r="D1643" t="s">
        <v>3372</v>
      </c>
      <c r="E1643" t="s">
        <v>3370</v>
      </c>
      <c r="F1643">
        <v>490.09</v>
      </c>
      <c r="G1643">
        <v>8</v>
      </c>
      <c r="H1643" t="s">
        <v>35</v>
      </c>
    </row>
    <row r="1644" spans="1:8" x14ac:dyDescent="0.25">
      <c r="A1644" t="s">
        <v>3052</v>
      </c>
      <c r="B1644" t="s">
        <v>3053</v>
      </c>
      <c r="C1644" s="27">
        <v>45094</v>
      </c>
      <c r="D1644" t="s">
        <v>14</v>
      </c>
      <c r="E1644" t="s">
        <v>34</v>
      </c>
      <c r="F1644">
        <v>1903.84</v>
      </c>
      <c r="G1644">
        <v>6</v>
      </c>
      <c r="H1644" t="s">
        <v>18</v>
      </c>
    </row>
    <row r="1645" spans="1:8" x14ac:dyDescent="0.25">
      <c r="A1645" t="s">
        <v>3389</v>
      </c>
      <c r="B1645" t="s">
        <v>498</v>
      </c>
      <c r="C1645" s="27">
        <v>44985</v>
      </c>
      <c r="D1645" t="s">
        <v>10</v>
      </c>
      <c r="E1645" t="s">
        <v>34</v>
      </c>
      <c r="F1645">
        <v>1733.25</v>
      </c>
      <c r="G1645">
        <v>1</v>
      </c>
      <c r="H1645" t="s">
        <v>35</v>
      </c>
    </row>
    <row r="1646" spans="1:8" x14ac:dyDescent="0.25">
      <c r="A1646" t="s">
        <v>3054</v>
      </c>
      <c r="B1646" t="s">
        <v>3049</v>
      </c>
      <c r="C1646" s="27">
        <v>45204</v>
      </c>
      <c r="D1646" t="s">
        <v>10</v>
      </c>
      <c r="E1646" t="s">
        <v>25</v>
      </c>
      <c r="F1646">
        <v>1777.9</v>
      </c>
      <c r="G1646">
        <v>6</v>
      </c>
      <c r="H1646" t="s">
        <v>15</v>
      </c>
    </row>
    <row r="1647" spans="1:8" x14ac:dyDescent="0.25">
      <c r="A1647" t="s">
        <v>3055</v>
      </c>
      <c r="B1647" t="s">
        <v>3056</v>
      </c>
      <c r="C1647" s="27">
        <v>45887</v>
      </c>
      <c r="D1647" t="s">
        <v>21</v>
      </c>
      <c r="E1647" t="s">
        <v>3371</v>
      </c>
      <c r="F1647">
        <v>1150.96</v>
      </c>
      <c r="G1647">
        <v>1</v>
      </c>
      <c r="H1647" t="s">
        <v>35</v>
      </c>
    </row>
    <row r="1648" spans="1:8" x14ac:dyDescent="0.25">
      <c r="A1648" t="s">
        <v>3057</v>
      </c>
      <c r="B1648" t="s">
        <v>2068</v>
      </c>
      <c r="C1648" s="27">
        <v>44968</v>
      </c>
      <c r="D1648" t="s">
        <v>14</v>
      </c>
      <c r="E1648" t="s">
        <v>3371</v>
      </c>
      <c r="G1648">
        <v>2</v>
      </c>
      <c r="H1648" t="s">
        <v>35</v>
      </c>
    </row>
    <row r="1649" spans="1:8" x14ac:dyDescent="0.25">
      <c r="A1649" t="s">
        <v>3058</v>
      </c>
      <c r="B1649" t="s">
        <v>3059</v>
      </c>
      <c r="C1649" s="27">
        <v>45599</v>
      </c>
      <c r="D1649" t="s">
        <v>3372</v>
      </c>
      <c r="E1649" t="s">
        <v>3371</v>
      </c>
      <c r="F1649">
        <v>228.09</v>
      </c>
      <c r="G1649">
        <v>6</v>
      </c>
      <c r="H1649" t="s">
        <v>3377</v>
      </c>
    </row>
    <row r="1650" spans="1:8" x14ac:dyDescent="0.25">
      <c r="A1650" t="s">
        <v>3060</v>
      </c>
      <c r="B1650" t="s">
        <v>3061</v>
      </c>
      <c r="C1650" s="27">
        <v>45097</v>
      </c>
      <c r="D1650" t="s">
        <v>10</v>
      </c>
      <c r="E1650" t="s">
        <v>25</v>
      </c>
      <c r="F1650">
        <v>1028.69</v>
      </c>
      <c r="G1650">
        <v>8</v>
      </c>
      <c r="H1650" t="s">
        <v>15</v>
      </c>
    </row>
    <row r="1651" spans="1:8" x14ac:dyDescent="0.25">
      <c r="A1651" t="s">
        <v>3062</v>
      </c>
      <c r="B1651" t="s">
        <v>3063</v>
      </c>
      <c r="C1651" s="27">
        <v>45441</v>
      </c>
      <c r="D1651" t="s">
        <v>14</v>
      </c>
      <c r="E1651" t="s">
        <v>3371</v>
      </c>
      <c r="F1651">
        <v>67.489999999999995</v>
      </c>
      <c r="G1651">
        <v>4</v>
      </c>
      <c r="H1651" t="s">
        <v>15</v>
      </c>
    </row>
    <row r="1652" spans="1:8" x14ac:dyDescent="0.25">
      <c r="A1652" t="s">
        <v>3064</v>
      </c>
      <c r="B1652" t="s">
        <v>3065</v>
      </c>
      <c r="C1652" s="27">
        <v>45692</v>
      </c>
      <c r="D1652" t="s">
        <v>10</v>
      </c>
      <c r="E1652" t="s">
        <v>11</v>
      </c>
      <c r="F1652">
        <v>667.07</v>
      </c>
      <c r="G1652">
        <v>5</v>
      </c>
      <c r="H1652" t="s">
        <v>35</v>
      </c>
    </row>
    <row r="1653" spans="1:8" x14ac:dyDescent="0.25">
      <c r="A1653" t="s">
        <v>3066</v>
      </c>
      <c r="B1653" t="s">
        <v>3067</v>
      </c>
      <c r="C1653" s="27">
        <v>45306</v>
      </c>
      <c r="D1653" t="s">
        <v>21</v>
      </c>
      <c r="E1653" t="s">
        <v>3370</v>
      </c>
      <c r="F1653">
        <v>1032.31</v>
      </c>
      <c r="H1653" t="s">
        <v>3369</v>
      </c>
    </row>
    <row r="1654" spans="1:8" x14ac:dyDescent="0.25">
      <c r="A1654" t="s">
        <v>3068</v>
      </c>
      <c r="B1654" t="s">
        <v>1007</v>
      </c>
      <c r="C1654" s="27">
        <v>45830</v>
      </c>
      <c r="D1654" t="s">
        <v>3372</v>
      </c>
      <c r="E1654" t="s">
        <v>34</v>
      </c>
      <c r="F1654">
        <v>260.08999999999997</v>
      </c>
      <c r="G1654">
        <v>6</v>
      </c>
      <c r="H1654" t="s">
        <v>18</v>
      </c>
    </row>
    <row r="1655" spans="1:8" x14ac:dyDescent="0.25">
      <c r="A1655" t="s">
        <v>3069</v>
      </c>
      <c r="B1655" t="s">
        <v>3070</v>
      </c>
      <c r="C1655" s="27">
        <v>45839</v>
      </c>
      <c r="D1655" t="s">
        <v>10</v>
      </c>
      <c r="E1655" t="s">
        <v>34</v>
      </c>
      <c r="F1655">
        <v>1855.01</v>
      </c>
      <c r="G1655">
        <v>8</v>
      </c>
      <c r="H1655" t="s">
        <v>35</v>
      </c>
    </row>
    <row r="1656" spans="1:8" x14ac:dyDescent="0.25">
      <c r="A1656" t="s">
        <v>3071</v>
      </c>
      <c r="B1656" t="s">
        <v>29</v>
      </c>
      <c r="C1656" s="27">
        <v>45191</v>
      </c>
      <c r="D1656" t="s">
        <v>10</v>
      </c>
      <c r="E1656" t="s">
        <v>3371</v>
      </c>
      <c r="F1656">
        <v>153.53</v>
      </c>
      <c r="G1656">
        <v>1</v>
      </c>
      <c r="H1656" t="s">
        <v>18</v>
      </c>
    </row>
    <row r="1657" spans="1:8" x14ac:dyDescent="0.25">
      <c r="A1657" t="s">
        <v>3072</v>
      </c>
      <c r="B1657" t="s">
        <v>3073</v>
      </c>
      <c r="C1657" s="27">
        <v>45239</v>
      </c>
      <c r="D1657" t="s">
        <v>10</v>
      </c>
      <c r="E1657" t="s">
        <v>11</v>
      </c>
      <c r="F1657">
        <v>666.54</v>
      </c>
      <c r="G1657">
        <v>3</v>
      </c>
      <c r="H1657" t="s">
        <v>3377</v>
      </c>
    </row>
    <row r="1658" spans="1:8" x14ac:dyDescent="0.25">
      <c r="A1658" t="s">
        <v>3074</v>
      </c>
      <c r="B1658" t="s">
        <v>3075</v>
      </c>
      <c r="C1658" s="27">
        <v>45897</v>
      </c>
      <c r="D1658" t="s">
        <v>21</v>
      </c>
      <c r="E1658" t="s">
        <v>11</v>
      </c>
      <c r="F1658">
        <v>224.75</v>
      </c>
      <c r="G1658">
        <v>4</v>
      </c>
      <c r="H1658" t="s">
        <v>3369</v>
      </c>
    </row>
    <row r="1659" spans="1:8" x14ac:dyDescent="0.25">
      <c r="A1659" t="s">
        <v>3076</v>
      </c>
      <c r="B1659" t="s">
        <v>3077</v>
      </c>
      <c r="C1659" s="27">
        <v>45458</v>
      </c>
      <c r="D1659" t="s">
        <v>21</v>
      </c>
      <c r="E1659" t="s">
        <v>3370</v>
      </c>
      <c r="F1659">
        <v>926.2</v>
      </c>
      <c r="G1659">
        <v>8</v>
      </c>
      <c r="H1659" t="s">
        <v>3369</v>
      </c>
    </row>
    <row r="1660" spans="1:8" x14ac:dyDescent="0.25">
      <c r="A1660" t="s">
        <v>3078</v>
      </c>
      <c r="B1660" t="s">
        <v>3079</v>
      </c>
      <c r="C1660" s="27">
        <v>45375</v>
      </c>
      <c r="D1660" t="s">
        <v>21</v>
      </c>
      <c r="E1660" t="s">
        <v>22</v>
      </c>
      <c r="F1660">
        <v>1840.81</v>
      </c>
      <c r="G1660">
        <v>9</v>
      </c>
      <c r="H1660" t="s">
        <v>35</v>
      </c>
    </row>
    <row r="1661" spans="1:8" x14ac:dyDescent="0.25">
      <c r="A1661" t="s">
        <v>3080</v>
      </c>
      <c r="B1661" t="s">
        <v>3081</v>
      </c>
      <c r="C1661" s="27">
        <v>45324</v>
      </c>
      <c r="D1661" t="s">
        <v>10</v>
      </c>
      <c r="E1661" t="s">
        <v>25</v>
      </c>
      <c r="F1661">
        <v>1772.78</v>
      </c>
      <c r="G1661">
        <v>10</v>
      </c>
      <c r="H1661" t="s">
        <v>15</v>
      </c>
    </row>
    <row r="1662" spans="1:8" x14ac:dyDescent="0.25">
      <c r="A1662" t="s">
        <v>3082</v>
      </c>
      <c r="B1662" t="s">
        <v>3083</v>
      </c>
      <c r="C1662" s="27">
        <v>45932</v>
      </c>
      <c r="D1662" t="s">
        <v>3372</v>
      </c>
      <c r="E1662" t="s">
        <v>22</v>
      </c>
      <c r="F1662">
        <v>1248.1300000000001</v>
      </c>
      <c r="H1662" t="s">
        <v>3369</v>
      </c>
    </row>
    <row r="1663" spans="1:8" x14ac:dyDescent="0.25">
      <c r="A1663" t="s">
        <v>3084</v>
      </c>
      <c r="B1663" t="s">
        <v>3085</v>
      </c>
      <c r="C1663" s="27">
        <v>45072</v>
      </c>
      <c r="D1663" t="s">
        <v>3372</v>
      </c>
      <c r="E1663" t="s">
        <v>25</v>
      </c>
      <c r="F1663">
        <v>1794.01</v>
      </c>
      <c r="G1663">
        <v>7</v>
      </c>
      <c r="H1663" t="s">
        <v>15</v>
      </c>
    </row>
    <row r="1664" spans="1:8" x14ac:dyDescent="0.25">
      <c r="A1664" t="s">
        <v>3086</v>
      </c>
      <c r="B1664" t="s">
        <v>3087</v>
      </c>
      <c r="C1664" s="27">
        <v>45087</v>
      </c>
      <c r="D1664" t="s">
        <v>14</v>
      </c>
      <c r="E1664" t="s">
        <v>34</v>
      </c>
      <c r="F1664">
        <v>1576.94</v>
      </c>
      <c r="G1664">
        <v>10</v>
      </c>
      <c r="H1664" t="s">
        <v>3377</v>
      </c>
    </row>
    <row r="1665" spans="1:8" x14ac:dyDescent="0.25">
      <c r="A1665" t="s">
        <v>3088</v>
      </c>
      <c r="B1665" t="s">
        <v>3089</v>
      </c>
      <c r="C1665" s="27">
        <v>45151</v>
      </c>
      <c r="D1665" t="s">
        <v>3372</v>
      </c>
      <c r="E1665" t="s">
        <v>22</v>
      </c>
      <c r="F1665">
        <v>94.96</v>
      </c>
      <c r="G1665">
        <v>5</v>
      </c>
      <c r="H1665" t="s">
        <v>3369</v>
      </c>
    </row>
    <row r="1666" spans="1:8" x14ac:dyDescent="0.25">
      <c r="A1666" t="s">
        <v>3090</v>
      </c>
      <c r="B1666" t="s">
        <v>3091</v>
      </c>
      <c r="C1666" s="27">
        <v>45121</v>
      </c>
      <c r="D1666" t="s">
        <v>14</v>
      </c>
      <c r="E1666" t="s">
        <v>3371</v>
      </c>
      <c r="F1666">
        <v>1976.89</v>
      </c>
      <c r="G1666">
        <v>7</v>
      </c>
      <c r="H1666" t="s">
        <v>18</v>
      </c>
    </row>
    <row r="1667" spans="1:8" x14ac:dyDescent="0.25">
      <c r="A1667" t="s">
        <v>3092</v>
      </c>
      <c r="B1667" t="s">
        <v>3093</v>
      </c>
      <c r="C1667" s="27">
        <v>45441</v>
      </c>
      <c r="D1667" t="s">
        <v>3372</v>
      </c>
      <c r="E1667" t="s">
        <v>22</v>
      </c>
      <c r="F1667">
        <v>1929.12</v>
      </c>
      <c r="G1667">
        <v>1</v>
      </c>
      <c r="H1667" t="s">
        <v>3369</v>
      </c>
    </row>
    <row r="1668" spans="1:8" x14ac:dyDescent="0.25">
      <c r="A1668" t="s">
        <v>3094</v>
      </c>
      <c r="B1668" t="s">
        <v>3095</v>
      </c>
      <c r="C1668" s="27">
        <v>45762</v>
      </c>
      <c r="D1668" t="s">
        <v>3372</v>
      </c>
      <c r="E1668" t="s">
        <v>3370</v>
      </c>
      <c r="F1668">
        <v>99.46</v>
      </c>
      <c r="G1668">
        <v>3</v>
      </c>
      <c r="H1668" t="s">
        <v>3377</v>
      </c>
    </row>
    <row r="1669" spans="1:8" x14ac:dyDescent="0.25">
      <c r="A1669" t="s">
        <v>3096</v>
      </c>
      <c r="B1669" t="s">
        <v>3097</v>
      </c>
      <c r="C1669" s="27">
        <v>45733</v>
      </c>
      <c r="D1669" t="s">
        <v>21</v>
      </c>
      <c r="E1669" t="s">
        <v>34</v>
      </c>
      <c r="F1669">
        <v>20.83</v>
      </c>
      <c r="G1669">
        <v>3</v>
      </c>
      <c r="H1669" t="s">
        <v>3377</v>
      </c>
    </row>
    <row r="1670" spans="1:8" x14ac:dyDescent="0.25">
      <c r="A1670" t="s">
        <v>3098</v>
      </c>
      <c r="B1670" t="s">
        <v>3099</v>
      </c>
      <c r="C1670" s="27">
        <v>45503</v>
      </c>
      <c r="D1670" t="s">
        <v>10</v>
      </c>
      <c r="E1670" t="s">
        <v>3371</v>
      </c>
      <c r="F1670">
        <v>702.35</v>
      </c>
      <c r="G1670">
        <v>8</v>
      </c>
      <c r="H1670" t="s">
        <v>18</v>
      </c>
    </row>
    <row r="1671" spans="1:8" x14ac:dyDescent="0.25">
      <c r="A1671" t="s">
        <v>3100</v>
      </c>
      <c r="B1671" t="s">
        <v>3101</v>
      </c>
      <c r="C1671" s="27">
        <v>45557</v>
      </c>
      <c r="D1671" t="s">
        <v>10</v>
      </c>
      <c r="E1671" t="s">
        <v>3371</v>
      </c>
      <c r="F1671">
        <v>143.69</v>
      </c>
      <c r="G1671">
        <v>5</v>
      </c>
      <c r="H1671" t="s">
        <v>3369</v>
      </c>
    </row>
    <row r="1672" spans="1:8" x14ac:dyDescent="0.25">
      <c r="A1672" t="s">
        <v>3102</v>
      </c>
      <c r="B1672" t="s">
        <v>3103</v>
      </c>
      <c r="C1672" s="27">
        <v>45661</v>
      </c>
      <c r="D1672" t="s">
        <v>21</v>
      </c>
      <c r="E1672" t="s">
        <v>3371</v>
      </c>
      <c r="F1672">
        <v>199.72</v>
      </c>
      <c r="G1672">
        <v>6</v>
      </c>
      <c r="H1672" t="s">
        <v>3369</v>
      </c>
    </row>
    <row r="1673" spans="1:8" x14ac:dyDescent="0.25">
      <c r="A1673" t="s">
        <v>3104</v>
      </c>
      <c r="B1673" t="s">
        <v>3105</v>
      </c>
      <c r="C1673" s="27">
        <v>45762</v>
      </c>
      <c r="D1673" t="s">
        <v>10</v>
      </c>
      <c r="E1673" t="s">
        <v>11</v>
      </c>
      <c r="F1673">
        <v>1126.6199999999999</v>
      </c>
      <c r="G1673">
        <v>1</v>
      </c>
      <c r="H1673" t="s">
        <v>3369</v>
      </c>
    </row>
    <row r="1674" spans="1:8" x14ac:dyDescent="0.25">
      <c r="A1674" t="s">
        <v>3106</v>
      </c>
      <c r="B1674" t="s">
        <v>3107</v>
      </c>
      <c r="C1674" s="27">
        <v>45388</v>
      </c>
      <c r="D1674" t="s">
        <v>10</v>
      </c>
      <c r="E1674" t="s">
        <v>22</v>
      </c>
      <c r="F1674">
        <v>772.35</v>
      </c>
      <c r="G1674">
        <v>1</v>
      </c>
      <c r="H1674" t="s">
        <v>15</v>
      </c>
    </row>
    <row r="1675" spans="1:8" x14ac:dyDescent="0.25">
      <c r="A1675" t="s">
        <v>3108</v>
      </c>
      <c r="B1675" t="s">
        <v>3109</v>
      </c>
      <c r="C1675" s="27">
        <v>45394</v>
      </c>
      <c r="D1675" t="s">
        <v>10</v>
      </c>
      <c r="E1675" t="s">
        <v>34</v>
      </c>
      <c r="F1675">
        <v>508.01</v>
      </c>
      <c r="G1675">
        <v>9</v>
      </c>
      <c r="H1675" t="s">
        <v>35</v>
      </c>
    </row>
    <row r="1676" spans="1:8" x14ac:dyDescent="0.25">
      <c r="A1676" t="s">
        <v>3110</v>
      </c>
      <c r="B1676" t="s">
        <v>3111</v>
      </c>
      <c r="C1676" s="27">
        <v>45527</v>
      </c>
      <c r="D1676" t="s">
        <v>14</v>
      </c>
      <c r="E1676" t="s">
        <v>3370</v>
      </c>
      <c r="G1676">
        <v>9</v>
      </c>
      <c r="H1676" t="s">
        <v>3377</v>
      </c>
    </row>
    <row r="1677" spans="1:8" x14ac:dyDescent="0.25">
      <c r="A1677" t="s">
        <v>3112</v>
      </c>
      <c r="B1677" t="s">
        <v>3113</v>
      </c>
      <c r="C1677" s="27">
        <v>45926</v>
      </c>
      <c r="D1677" t="s">
        <v>3372</v>
      </c>
      <c r="E1677" t="s">
        <v>3371</v>
      </c>
      <c r="F1677">
        <v>874.08</v>
      </c>
      <c r="G1677">
        <v>3</v>
      </c>
      <c r="H1677" t="s">
        <v>3377</v>
      </c>
    </row>
    <row r="1678" spans="1:8" x14ac:dyDescent="0.25">
      <c r="A1678" t="s">
        <v>3114</v>
      </c>
      <c r="B1678" t="s">
        <v>3115</v>
      </c>
      <c r="C1678" s="27">
        <v>45237</v>
      </c>
      <c r="D1678" t="s">
        <v>21</v>
      </c>
      <c r="E1678" t="s">
        <v>34</v>
      </c>
      <c r="G1678">
        <v>2</v>
      </c>
      <c r="H1678" t="s">
        <v>35</v>
      </c>
    </row>
    <row r="1679" spans="1:8" x14ac:dyDescent="0.25">
      <c r="A1679" t="s">
        <v>3116</v>
      </c>
      <c r="B1679" t="s">
        <v>3117</v>
      </c>
      <c r="C1679" s="27">
        <v>44932</v>
      </c>
      <c r="D1679" t="s">
        <v>3372</v>
      </c>
      <c r="E1679" t="s">
        <v>25</v>
      </c>
      <c r="F1679">
        <v>1542.56</v>
      </c>
      <c r="G1679">
        <v>1</v>
      </c>
      <c r="H1679" t="s">
        <v>35</v>
      </c>
    </row>
    <row r="1680" spans="1:8" x14ac:dyDescent="0.25">
      <c r="A1680" t="s">
        <v>3118</v>
      </c>
      <c r="B1680" t="s">
        <v>1298</v>
      </c>
      <c r="C1680" s="27">
        <v>45648</v>
      </c>
      <c r="D1680" t="s">
        <v>14</v>
      </c>
      <c r="E1680" t="s">
        <v>3370</v>
      </c>
      <c r="F1680">
        <v>1633.81</v>
      </c>
      <c r="G1680">
        <v>2</v>
      </c>
      <c r="H1680" t="s">
        <v>3377</v>
      </c>
    </row>
    <row r="1681" spans="1:8" x14ac:dyDescent="0.25">
      <c r="A1681" t="s">
        <v>3119</v>
      </c>
      <c r="B1681" t="s">
        <v>3120</v>
      </c>
      <c r="C1681" s="27">
        <v>45099</v>
      </c>
      <c r="D1681" t="s">
        <v>21</v>
      </c>
      <c r="E1681" t="s">
        <v>3370</v>
      </c>
      <c r="F1681">
        <v>1151.06</v>
      </c>
      <c r="G1681">
        <v>5</v>
      </c>
      <c r="H1681" t="s">
        <v>18</v>
      </c>
    </row>
    <row r="1682" spans="1:8" x14ac:dyDescent="0.25">
      <c r="A1682" t="s">
        <v>3121</v>
      </c>
      <c r="B1682" t="s">
        <v>3122</v>
      </c>
      <c r="C1682" s="27">
        <v>45236</v>
      </c>
      <c r="D1682" t="s">
        <v>3372</v>
      </c>
      <c r="E1682" t="s">
        <v>3371</v>
      </c>
      <c r="F1682">
        <v>1930.81</v>
      </c>
      <c r="G1682">
        <v>5</v>
      </c>
      <c r="H1682" t="s">
        <v>3369</v>
      </c>
    </row>
    <row r="1683" spans="1:8" x14ac:dyDescent="0.25">
      <c r="A1683" t="s">
        <v>3123</v>
      </c>
      <c r="B1683" t="s">
        <v>3124</v>
      </c>
      <c r="C1683" s="27">
        <v>45148</v>
      </c>
      <c r="D1683" t="s">
        <v>14</v>
      </c>
      <c r="E1683" t="s">
        <v>3370</v>
      </c>
      <c r="F1683">
        <v>1354.85</v>
      </c>
      <c r="G1683">
        <v>1</v>
      </c>
      <c r="H1683" t="s">
        <v>3369</v>
      </c>
    </row>
    <row r="1684" spans="1:8" x14ac:dyDescent="0.25">
      <c r="A1684" t="s">
        <v>3125</v>
      </c>
      <c r="B1684" t="s">
        <v>3126</v>
      </c>
      <c r="C1684" s="27">
        <v>44881</v>
      </c>
      <c r="D1684" t="s">
        <v>3372</v>
      </c>
      <c r="E1684" t="s">
        <v>34</v>
      </c>
      <c r="F1684">
        <v>1475.6</v>
      </c>
      <c r="G1684">
        <v>2</v>
      </c>
      <c r="H1684" t="s">
        <v>3377</v>
      </c>
    </row>
    <row r="1685" spans="1:8" x14ac:dyDescent="0.25">
      <c r="A1685" t="s">
        <v>3127</v>
      </c>
      <c r="B1685" t="s">
        <v>732</v>
      </c>
      <c r="C1685" s="27">
        <v>45416</v>
      </c>
      <c r="D1685" t="s">
        <v>10</v>
      </c>
      <c r="E1685" t="s">
        <v>34</v>
      </c>
      <c r="F1685">
        <v>383.85</v>
      </c>
      <c r="G1685">
        <v>10</v>
      </c>
      <c r="H1685" t="s">
        <v>35</v>
      </c>
    </row>
    <row r="1686" spans="1:8" x14ac:dyDescent="0.25">
      <c r="A1686" t="s">
        <v>3128</v>
      </c>
      <c r="B1686" t="s">
        <v>421</v>
      </c>
      <c r="C1686" s="27">
        <v>45608</v>
      </c>
      <c r="D1686" t="s">
        <v>3372</v>
      </c>
      <c r="E1686" t="s">
        <v>22</v>
      </c>
      <c r="F1686">
        <v>1498.23</v>
      </c>
      <c r="G1686">
        <v>1</v>
      </c>
      <c r="H1686" t="s">
        <v>3377</v>
      </c>
    </row>
    <row r="1687" spans="1:8" x14ac:dyDescent="0.25">
      <c r="A1687" t="s">
        <v>3129</v>
      </c>
      <c r="B1687" t="s">
        <v>3130</v>
      </c>
      <c r="C1687" s="27">
        <v>44885</v>
      </c>
      <c r="D1687" t="s">
        <v>3372</v>
      </c>
      <c r="E1687" t="s">
        <v>11</v>
      </c>
      <c r="F1687">
        <v>1836.07</v>
      </c>
      <c r="G1687">
        <v>7</v>
      </c>
      <c r="H1687" t="s">
        <v>18</v>
      </c>
    </row>
    <row r="1688" spans="1:8" x14ac:dyDescent="0.25">
      <c r="A1688" t="s">
        <v>3131</v>
      </c>
      <c r="B1688" t="s">
        <v>3132</v>
      </c>
      <c r="C1688" s="27">
        <v>44966</v>
      </c>
      <c r="D1688" t="s">
        <v>21</v>
      </c>
      <c r="E1688" t="s">
        <v>11</v>
      </c>
      <c r="F1688">
        <v>1915.48</v>
      </c>
      <c r="G1688">
        <v>9</v>
      </c>
      <c r="H1688" t="s">
        <v>3369</v>
      </c>
    </row>
    <row r="1689" spans="1:8" x14ac:dyDescent="0.25">
      <c r="A1689" t="s">
        <v>3133</v>
      </c>
      <c r="B1689" t="s">
        <v>3134</v>
      </c>
      <c r="C1689" s="27">
        <v>45125</v>
      </c>
      <c r="D1689" t="s">
        <v>3372</v>
      </c>
      <c r="E1689" t="s">
        <v>34</v>
      </c>
      <c r="G1689">
        <v>3</v>
      </c>
      <c r="H1689" t="s">
        <v>3369</v>
      </c>
    </row>
    <row r="1690" spans="1:8" x14ac:dyDescent="0.25">
      <c r="A1690" t="s">
        <v>3135</v>
      </c>
      <c r="B1690" t="s">
        <v>3136</v>
      </c>
      <c r="C1690" s="27">
        <v>45125</v>
      </c>
      <c r="D1690" t="s">
        <v>21</v>
      </c>
      <c r="E1690" t="s">
        <v>3370</v>
      </c>
      <c r="F1690">
        <v>483.02</v>
      </c>
      <c r="G1690">
        <v>9</v>
      </c>
      <c r="H1690" t="s">
        <v>3369</v>
      </c>
    </row>
    <row r="1691" spans="1:8" x14ac:dyDescent="0.25">
      <c r="A1691" t="s">
        <v>3137</v>
      </c>
      <c r="B1691" t="s">
        <v>1242</v>
      </c>
      <c r="C1691" s="27">
        <v>45535</v>
      </c>
      <c r="D1691" t="s">
        <v>21</v>
      </c>
      <c r="E1691" t="s">
        <v>11</v>
      </c>
      <c r="F1691">
        <v>1156.9100000000001</v>
      </c>
      <c r="G1691">
        <v>3</v>
      </c>
      <c r="H1691" t="s">
        <v>18</v>
      </c>
    </row>
    <row r="1692" spans="1:8" x14ac:dyDescent="0.25">
      <c r="A1692" t="s">
        <v>3138</v>
      </c>
      <c r="B1692" t="s">
        <v>3139</v>
      </c>
      <c r="C1692" s="27">
        <v>45855</v>
      </c>
      <c r="D1692" t="s">
        <v>14</v>
      </c>
      <c r="E1692" t="s">
        <v>22</v>
      </c>
      <c r="G1692">
        <v>5</v>
      </c>
      <c r="H1692" t="s">
        <v>35</v>
      </c>
    </row>
    <row r="1693" spans="1:8" x14ac:dyDescent="0.25">
      <c r="A1693" t="s">
        <v>3140</v>
      </c>
      <c r="B1693" t="s">
        <v>3141</v>
      </c>
      <c r="C1693" s="27">
        <v>45551</v>
      </c>
      <c r="D1693" t="s">
        <v>21</v>
      </c>
      <c r="E1693" t="s">
        <v>3370</v>
      </c>
      <c r="F1693">
        <v>89.14</v>
      </c>
      <c r="G1693">
        <v>7</v>
      </c>
      <c r="H1693" t="s">
        <v>15</v>
      </c>
    </row>
    <row r="1694" spans="1:8" x14ac:dyDescent="0.25">
      <c r="A1694" t="s">
        <v>3142</v>
      </c>
      <c r="B1694" t="s">
        <v>3143</v>
      </c>
      <c r="C1694" s="27">
        <v>45679</v>
      </c>
      <c r="D1694" t="s">
        <v>21</v>
      </c>
      <c r="E1694" t="s">
        <v>11</v>
      </c>
      <c r="F1694">
        <v>1328.41</v>
      </c>
      <c r="G1694">
        <v>3</v>
      </c>
      <c r="H1694" t="s">
        <v>35</v>
      </c>
    </row>
    <row r="1695" spans="1:8" x14ac:dyDescent="0.25">
      <c r="A1695" t="s">
        <v>3144</v>
      </c>
      <c r="B1695" t="s">
        <v>411</v>
      </c>
      <c r="C1695" s="27">
        <v>45929</v>
      </c>
      <c r="D1695" t="s">
        <v>14</v>
      </c>
      <c r="E1695" t="s">
        <v>25</v>
      </c>
      <c r="F1695">
        <v>987.81</v>
      </c>
      <c r="H1695" t="s">
        <v>35</v>
      </c>
    </row>
    <row r="1696" spans="1:8" x14ac:dyDescent="0.25">
      <c r="A1696" t="s">
        <v>3145</v>
      </c>
      <c r="B1696" t="s">
        <v>3146</v>
      </c>
      <c r="C1696" s="27">
        <v>44939</v>
      </c>
      <c r="D1696" t="s">
        <v>3372</v>
      </c>
      <c r="E1696" t="s">
        <v>11</v>
      </c>
      <c r="F1696">
        <v>1734.83</v>
      </c>
      <c r="G1696">
        <v>8</v>
      </c>
      <c r="H1696" t="s">
        <v>3369</v>
      </c>
    </row>
    <row r="1697" spans="1:8" x14ac:dyDescent="0.25">
      <c r="A1697" t="s">
        <v>3147</v>
      </c>
      <c r="B1697" t="s">
        <v>3148</v>
      </c>
      <c r="C1697" s="27">
        <v>45555</v>
      </c>
      <c r="D1697" t="s">
        <v>14</v>
      </c>
      <c r="E1697" t="s">
        <v>34</v>
      </c>
      <c r="F1697">
        <v>521.63</v>
      </c>
      <c r="G1697">
        <v>10</v>
      </c>
      <c r="H1697" t="s">
        <v>15</v>
      </c>
    </row>
    <row r="1698" spans="1:8" x14ac:dyDescent="0.25">
      <c r="A1698" t="s">
        <v>3411</v>
      </c>
      <c r="B1698" t="s">
        <v>3412</v>
      </c>
      <c r="C1698" s="27">
        <v>45529</v>
      </c>
      <c r="D1698" t="s">
        <v>21</v>
      </c>
      <c r="E1698" t="s">
        <v>34</v>
      </c>
      <c r="F1698">
        <v>1274.51</v>
      </c>
      <c r="G1698">
        <v>5</v>
      </c>
      <c r="H1698" t="s">
        <v>18</v>
      </c>
    </row>
    <row r="1699" spans="1:8" x14ac:dyDescent="0.25">
      <c r="A1699" t="s">
        <v>3149</v>
      </c>
      <c r="B1699" t="s">
        <v>3150</v>
      </c>
      <c r="C1699" s="27">
        <v>44959</v>
      </c>
      <c r="D1699" t="s">
        <v>3372</v>
      </c>
      <c r="E1699" t="s">
        <v>22</v>
      </c>
      <c r="F1699">
        <v>1999.32</v>
      </c>
      <c r="G1699">
        <v>4</v>
      </c>
      <c r="H1699" t="s">
        <v>3369</v>
      </c>
    </row>
    <row r="1700" spans="1:8" x14ac:dyDescent="0.25">
      <c r="A1700" t="s">
        <v>3151</v>
      </c>
      <c r="B1700" t="s">
        <v>3152</v>
      </c>
      <c r="C1700" s="27">
        <v>44934</v>
      </c>
      <c r="D1700" t="s">
        <v>3372</v>
      </c>
      <c r="E1700" t="s">
        <v>11</v>
      </c>
      <c r="G1700">
        <v>7</v>
      </c>
      <c r="H1700" t="s">
        <v>3369</v>
      </c>
    </row>
    <row r="1701" spans="1:8" x14ac:dyDescent="0.25">
      <c r="A1701" t="s">
        <v>3153</v>
      </c>
      <c r="B1701" t="s">
        <v>3154</v>
      </c>
      <c r="C1701" s="27">
        <v>45442</v>
      </c>
      <c r="D1701" t="s">
        <v>14</v>
      </c>
      <c r="E1701" t="s">
        <v>34</v>
      </c>
      <c r="F1701">
        <v>1021.8</v>
      </c>
      <c r="G1701">
        <v>4</v>
      </c>
      <c r="H1701" t="s">
        <v>15</v>
      </c>
    </row>
    <row r="1702" spans="1:8" x14ac:dyDescent="0.25">
      <c r="A1702" t="s">
        <v>3155</v>
      </c>
      <c r="B1702" t="s">
        <v>3156</v>
      </c>
      <c r="C1702" s="27">
        <v>45284</v>
      </c>
      <c r="D1702" t="s">
        <v>3372</v>
      </c>
      <c r="E1702" t="s">
        <v>11</v>
      </c>
      <c r="F1702">
        <v>299.10000000000002</v>
      </c>
      <c r="G1702">
        <v>2</v>
      </c>
      <c r="H1702" t="s">
        <v>18</v>
      </c>
    </row>
    <row r="1703" spans="1:8" x14ac:dyDescent="0.25">
      <c r="A1703" t="s">
        <v>3447</v>
      </c>
      <c r="B1703" t="s">
        <v>3448</v>
      </c>
      <c r="C1703" s="27">
        <v>45149</v>
      </c>
      <c r="D1703" t="s">
        <v>14</v>
      </c>
      <c r="E1703" t="s">
        <v>34</v>
      </c>
      <c r="H1703" t="s">
        <v>3369</v>
      </c>
    </row>
    <row r="1704" spans="1:8" x14ac:dyDescent="0.25">
      <c r="A1704" t="s">
        <v>3157</v>
      </c>
      <c r="B1704" t="s">
        <v>3158</v>
      </c>
      <c r="C1704" s="27">
        <v>45186</v>
      </c>
      <c r="D1704" t="s">
        <v>10</v>
      </c>
      <c r="E1704" t="s">
        <v>3370</v>
      </c>
      <c r="F1704">
        <v>659.57</v>
      </c>
      <c r="H1704" t="s">
        <v>35</v>
      </c>
    </row>
    <row r="1705" spans="1:8" x14ac:dyDescent="0.25">
      <c r="A1705" t="s">
        <v>3159</v>
      </c>
      <c r="B1705" t="s">
        <v>3160</v>
      </c>
      <c r="C1705" s="27">
        <v>45361</v>
      </c>
      <c r="D1705" t="s">
        <v>21</v>
      </c>
      <c r="E1705" t="s">
        <v>11</v>
      </c>
      <c r="F1705">
        <v>210.85</v>
      </c>
      <c r="G1705">
        <v>9</v>
      </c>
      <c r="H1705" t="s">
        <v>35</v>
      </c>
    </row>
    <row r="1706" spans="1:8" x14ac:dyDescent="0.25">
      <c r="A1706" t="s">
        <v>3161</v>
      </c>
      <c r="B1706" t="s">
        <v>1116</v>
      </c>
      <c r="C1706" s="27">
        <v>45237</v>
      </c>
      <c r="D1706" t="s">
        <v>21</v>
      </c>
      <c r="E1706" t="s">
        <v>22</v>
      </c>
      <c r="F1706">
        <v>560.37</v>
      </c>
      <c r="G1706">
        <v>8</v>
      </c>
      <c r="H1706" t="s">
        <v>18</v>
      </c>
    </row>
    <row r="1707" spans="1:8" x14ac:dyDescent="0.25">
      <c r="A1707" t="s">
        <v>3162</v>
      </c>
      <c r="B1707" t="s">
        <v>3163</v>
      </c>
      <c r="C1707" s="27">
        <v>45070</v>
      </c>
      <c r="D1707" t="s">
        <v>14</v>
      </c>
      <c r="E1707" t="s">
        <v>22</v>
      </c>
      <c r="F1707">
        <v>1447.56</v>
      </c>
      <c r="G1707">
        <v>5</v>
      </c>
      <c r="H1707" t="s">
        <v>18</v>
      </c>
    </row>
    <row r="1708" spans="1:8" x14ac:dyDescent="0.25">
      <c r="A1708" t="s">
        <v>3164</v>
      </c>
      <c r="B1708" t="s">
        <v>1972</v>
      </c>
      <c r="C1708" s="27">
        <v>45591</v>
      </c>
      <c r="D1708" t="s">
        <v>3372</v>
      </c>
      <c r="E1708" t="s">
        <v>25</v>
      </c>
      <c r="F1708">
        <v>874.53</v>
      </c>
      <c r="G1708">
        <v>1</v>
      </c>
      <c r="H1708" t="s">
        <v>35</v>
      </c>
    </row>
    <row r="1709" spans="1:8" x14ac:dyDescent="0.25">
      <c r="A1709" t="s">
        <v>3165</v>
      </c>
      <c r="B1709" t="s">
        <v>3166</v>
      </c>
      <c r="C1709" s="27">
        <v>45938</v>
      </c>
      <c r="D1709" t="s">
        <v>21</v>
      </c>
      <c r="E1709" t="s">
        <v>3370</v>
      </c>
      <c r="F1709">
        <v>694.51</v>
      </c>
      <c r="G1709">
        <v>4</v>
      </c>
      <c r="H1709" t="s">
        <v>35</v>
      </c>
    </row>
    <row r="1710" spans="1:8" x14ac:dyDescent="0.25">
      <c r="A1710" t="s">
        <v>3167</v>
      </c>
      <c r="B1710" t="s">
        <v>3168</v>
      </c>
      <c r="C1710" s="27">
        <v>45282</v>
      </c>
      <c r="D1710" t="s">
        <v>14</v>
      </c>
      <c r="E1710" t="s">
        <v>3370</v>
      </c>
      <c r="F1710">
        <v>117.9</v>
      </c>
      <c r="G1710">
        <v>3</v>
      </c>
      <c r="H1710" t="s">
        <v>3369</v>
      </c>
    </row>
    <row r="1711" spans="1:8" x14ac:dyDescent="0.25">
      <c r="A1711" t="s">
        <v>3169</v>
      </c>
      <c r="B1711" t="s">
        <v>3170</v>
      </c>
      <c r="C1711" s="27">
        <v>45307</v>
      </c>
      <c r="D1711" t="s">
        <v>14</v>
      </c>
      <c r="E1711" t="s">
        <v>11</v>
      </c>
      <c r="F1711">
        <v>962.47</v>
      </c>
      <c r="G1711">
        <v>5</v>
      </c>
      <c r="H1711" t="s">
        <v>3369</v>
      </c>
    </row>
    <row r="1712" spans="1:8" x14ac:dyDescent="0.25">
      <c r="A1712" t="s">
        <v>3171</v>
      </c>
      <c r="B1712" t="s">
        <v>3172</v>
      </c>
      <c r="C1712" s="27">
        <v>45712</v>
      </c>
      <c r="D1712" t="s">
        <v>3372</v>
      </c>
      <c r="E1712" t="s">
        <v>34</v>
      </c>
      <c r="F1712">
        <v>463.51</v>
      </c>
      <c r="G1712">
        <v>2</v>
      </c>
      <c r="H1712" t="s">
        <v>35</v>
      </c>
    </row>
    <row r="1713" spans="1:8" x14ac:dyDescent="0.25">
      <c r="A1713" t="s">
        <v>3173</v>
      </c>
      <c r="B1713" t="s">
        <v>2691</v>
      </c>
      <c r="C1713" s="27">
        <v>45372</v>
      </c>
      <c r="D1713" t="s">
        <v>21</v>
      </c>
      <c r="E1713" t="s">
        <v>22</v>
      </c>
      <c r="F1713">
        <v>1185.6400000000001</v>
      </c>
      <c r="G1713">
        <v>4</v>
      </c>
      <c r="H1713" t="s">
        <v>18</v>
      </c>
    </row>
    <row r="1714" spans="1:8" x14ac:dyDescent="0.25">
      <c r="A1714" t="s">
        <v>3174</v>
      </c>
      <c r="B1714" t="s">
        <v>3175</v>
      </c>
      <c r="C1714" s="27">
        <v>45832</v>
      </c>
      <c r="D1714" t="s">
        <v>14</v>
      </c>
      <c r="E1714" t="s">
        <v>22</v>
      </c>
      <c r="F1714">
        <v>1157.32</v>
      </c>
      <c r="G1714">
        <v>2</v>
      </c>
      <c r="H1714" t="s">
        <v>3377</v>
      </c>
    </row>
    <row r="1715" spans="1:8" x14ac:dyDescent="0.25">
      <c r="A1715" t="s">
        <v>3176</v>
      </c>
      <c r="B1715" t="s">
        <v>3177</v>
      </c>
      <c r="C1715" s="27">
        <v>45044</v>
      </c>
      <c r="D1715" t="s">
        <v>3372</v>
      </c>
      <c r="E1715" t="s">
        <v>25</v>
      </c>
      <c r="G1715">
        <v>10</v>
      </c>
      <c r="H1715" t="s">
        <v>3369</v>
      </c>
    </row>
    <row r="1716" spans="1:8" x14ac:dyDescent="0.25">
      <c r="A1716" t="s">
        <v>3178</v>
      </c>
      <c r="B1716" t="s">
        <v>3179</v>
      </c>
      <c r="C1716" s="27">
        <v>45800</v>
      </c>
      <c r="D1716" t="s">
        <v>3372</v>
      </c>
      <c r="E1716" t="s">
        <v>11</v>
      </c>
      <c r="F1716">
        <v>769.89</v>
      </c>
      <c r="G1716">
        <v>4</v>
      </c>
      <c r="H1716" t="s">
        <v>3369</v>
      </c>
    </row>
    <row r="1717" spans="1:8" x14ac:dyDescent="0.25">
      <c r="A1717" t="s">
        <v>3180</v>
      </c>
      <c r="B1717" t="s">
        <v>1972</v>
      </c>
      <c r="C1717" s="27">
        <v>45336</v>
      </c>
      <c r="D1717" t="s">
        <v>21</v>
      </c>
      <c r="E1717" t="s">
        <v>25</v>
      </c>
      <c r="F1717">
        <v>96.93</v>
      </c>
      <c r="G1717">
        <v>6</v>
      </c>
      <c r="H1717" t="s">
        <v>15</v>
      </c>
    </row>
    <row r="1718" spans="1:8" x14ac:dyDescent="0.25">
      <c r="A1718" t="s">
        <v>3181</v>
      </c>
      <c r="B1718" t="s">
        <v>3182</v>
      </c>
      <c r="C1718" s="27">
        <v>45074</v>
      </c>
      <c r="D1718" t="s">
        <v>14</v>
      </c>
      <c r="E1718" t="s">
        <v>34</v>
      </c>
      <c r="F1718">
        <v>373.73</v>
      </c>
      <c r="G1718">
        <v>4</v>
      </c>
      <c r="H1718" t="s">
        <v>3369</v>
      </c>
    </row>
    <row r="1719" spans="1:8" x14ac:dyDescent="0.25">
      <c r="A1719" t="s">
        <v>3183</v>
      </c>
      <c r="B1719" t="s">
        <v>1627</v>
      </c>
      <c r="C1719" s="27">
        <v>45030</v>
      </c>
      <c r="D1719" t="s">
        <v>3372</v>
      </c>
      <c r="E1719" t="s">
        <v>3371</v>
      </c>
      <c r="F1719">
        <v>218.8</v>
      </c>
      <c r="G1719">
        <v>2</v>
      </c>
      <c r="H1719" t="s">
        <v>15</v>
      </c>
    </row>
    <row r="1720" spans="1:8" x14ac:dyDescent="0.25">
      <c r="A1720" t="s">
        <v>3184</v>
      </c>
      <c r="B1720" t="s">
        <v>3185</v>
      </c>
      <c r="C1720" s="27">
        <v>44940</v>
      </c>
      <c r="D1720" t="s">
        <v>3372</v>
      </c>
      <c r="E1720" t="s">
        <v>25</v>
      </c>
      <c r="F1720">
        <v>36.71</v>
      </c>
      <c r="G1720">
        <v>7</v>
      </c>
      <c r="H1720" t="s">
        <v>18</v>
      </c>
    </row>
    <row r="1721" spans="1:8" x14ac:dyDescent="0.25">
      <c r="A1721" t="s">
        <v>3186</v>
      </c>
      <c r="B1721" t="s">
        <v>3187</v>
      </c>
      <c r="C1721" s="27">
        <v>45216</v>
      </c>
      <c r="D1721" t="s">
        <v>14</v>
      </c>
      <c r="E1721" t="s">
        <v>25</v>
      </c>
      <c r="F1721">
        <v>1109.3800000000001</v>
      </c>
      <c r="H1721" t="s">
        <v>35</v>
      </c>
    </row>
    <row r="1722" spans="1:8" x14ac:dyDescent="0.25">
      <c r="A1722" t="s">
        <v>3188</v>
      </c>
      <c r="B1722" t="s">
        <v>229</v>
      </c>
      <c r="C1722" s="27">
        <v>45296</v>
      </c>
      <c r="D1722" t="s">
        <v>3372</v>
      </c>
      <c r="E1722" t="s">
        <v>22</v>
      </c>
      <c r="F1722">
        <v>752.85</v>
      </c>
      <c r="G1722">
        <v>7</v>
      </c>
      <c r="H1722" t="s">
        <v>3377</v>
      </c>
    </row>
    <row r="1723" spans="1:8" x14ac:dyDescent="0.25">
      <c r="A1723" t="s">
        <v>3189</v>
      </c>
      <c r="B1723" t="s">
        <v>2282</v>
      </c>
      <c r="C1723" s="27">
        <v>45257</v>
      </c>
      <c r="D1723" t="s">
        <v>10</v>
      </c>
      <c r="E1723" t="s">
        <v>25</v>
      </c>
      <c r="F1723">
        <v>1745.83</v>
      </c>
      <c r="G1723">
        <v>7</v>
      </c>
      <c r="H1723" t="s">
        <v>18</v>
      </c>
    </row>
    <row r="1724" spans="1:8" x14ac:dyDescent="0.25">
      <c r="A1724" t="s">
        <v>3190</v>
      </c>
      <c r="B1724" t="s">
        <v>3191</v>
      </c>
      <c r="C1724" s="27">
        <v>45040</v>
      </c>
      <c r="D1724" t="s">
        <v>10</v>
      </c>
      <c r="E1724" t="s">
        <v>22</v>
      </c>
      <c r="G1724">
        <v>2</v>
      </c>
      <c r="H1724" t="s">
        <v>15</v>
      </c>
    </row>
    <row r="1725" spans="1:8" x14ac:dyDescent="0.25">
      <c r="A1725" t="s">
        <v>3192</v>
      </c>
      <c r="B1725" t="s">
        <v>119</v>
      </c>
      <c r="C1725" s="27">
        <v>45528</v>
      </c>
      <c r="D1725" t="s">
        <v>21</v>
      </c>
      <c r="E1725" t="s">
        <v>34</v>
      </c>
      <c r="F1725">
        <v>1543.93</v>
      </c>
      <c r="G1725">
        <v>6</v>
      </c>
      <c r="H1725" t="s">
        <v>3377</v>
      </c>
    </row>
    <row r="1726" spans="1:8" x14ac:dyDescent="0.25">
      <c r="A1726" t="s">
        <v>3193</v>
      </c>
      <c r="B1726" t="s">
        <v>2624</v>
      </c>
      <c r="C1726" s="27">
        <v>44896</v>
      </c>
      <c r="D1726" t="s">
        <v>21</v>
      </c>
      <c r="E1726" t="s">
        <v>11</v>
      </c>
      <c r="F1726">
        <v>1625.08</v>
      </c>
      <c r="G1726">
        <v>7</v>
      </c>
      <c r="H1726" t="s">
        <v>18</v>
      </c>
    </row>
    <row r="1727" spans="1:8" x14ac:dyDescent="0.25">
      <c r="A1727" t="s">
        <v>3194</v>
      </c>
      <c r="B1727" t="s">
        <v>3195</v>
      </c>
      <c r="C1727" s="27">
        <v>45361</v>
      </c>
      <c r="D1727" t="s">
        <v>10</v>
      </c>
      <c r="E1727" t="s">
        <v>22</v>
      </c>
      <c r="F1727">
        <v>842.26</v>
      </c>
      <c r="G1727">
        <v>9</v>
      </c>
      <c r="H1727" t="s">
        <v>35</v>
      </c>
    </row>
    <row r="1728" spans="1:8" x14ac:dyDescent="0.25">
      <c r="A1728" t="s">
        <v>3196</v>
      </c>
      <c r="B1728" t="s">
        <v>3197</v>
      </c>
      <c r="C1728" s="27">
        <v>44913</v>
      </c>
      <c r="D1728" t="s">
        <v>14</v>
      </c>
      <c r="E1728" t="s">
        <v>22</v>
      </c>
      <c r="F1728">
        <v>86.6</v>
      </c>
      <c r="G1728">
        <v>3</v>
      </c>
      <c r="H1728" t="s">
        <v>35</v>
      </c>
    </row>
    <row r="1729" spans="1:8" x14ac:dyDescent="0.25">
      <c r="A1729" t="s">
        <v>3198</v>
      </c>
      <c r="B1729" t="s">
        <v>3199</v>
      </c>
      <c r="C1729" s="27">
        <v>45314</v>
      </c>
      <c r="D1729" t="s">
        <v>21</v>
      </c>
      <c r="E1729" t="s">
        <v>22</v>
      </c>
      <c r="F1729">
        <v>1395.64</v>
      </c>
      <c r="G1729">
        <v>6</v>
      </c>
      <c r="H1729" t="s">
        <v>18</v>
      </c>
    </row>
    <row r="1730" spans="1:8" x14ac:dyDescent="0.25">
      <c r="A1730" t="s">
        <v>3200</v>
      </c>
      <c r="B1730" t="s">
        <v>3201</v>
      </c>
      <c r="C1730" s="27">
        <v>45903</v>
      </c>
      <c r="D1730" t="s">
        <v>10</v>
      </c>
      <c r="E1730" t="s">
        <v>22</v>
      </c>
      <c r="F1730">
        <v>1255.53</v>
      </c>
      <c r="G1730">
        <v>7</v>
      </c>
      <c r="H1730" t="s">
        <v>18</v>
      </c>
    </row>
    <row r="1731" spans="1:8" x14ac:dyDescent="0.25">
      <c r="A1731" t="s">
        <v>3202</v>
      </c>
      <c r="B1731" t="s">
        <v>1623</v>
      </c>
      <c r="C1731" s="27">
        <v>45369</v>
      </c>
      <c r="D1731" t="s">
        <v>3372</v>
      </c>
      <c r="E1731" t="s">
        <v>34</v>
      </c>
      <c r="F1731">
        <v>1974.37</v>
      </c>
      <c r="G1731">
        <v>4</v>
      </c>
      <c r="H1731" t="s">
        <v>3369</v>
      </c>
    </row>
    <row r="1732" spans="1:8" x14ac:dyDescent="0.25">
      <c r="A1732" t="s">
        <v>3203</v>
      </c>
      <c r="B1732" t="s">
        <v>3204</v>
      </c>
      <c r="C1732" s="27">
        <v>44943</v>
      </c>
      <c r="D1732" t="s">
        <v>14</v>
      </c>
      <c r="E1732" t="s">
        <v>11</v>
      </c>
      <c r="F1732">
        <v>1818.76</v>
      </c>
      <c r="G1732">
        <v>2</v>
      </c>
      <c r="H1732" t="s">
        <v>3377</v>
      </c>
    </row>
    <row r="1733" spans="1:8" x14ac:dyDescent="0.25">
      <c r="A1733" t="s">
        <v>3205</v>
      </c>
      <c r="B1733" t="s">
        <v>3206</v>
      </c>
      <c r="C1733" s="27">
        <v>45742</v>
      </c>
      <c r="D1733" t="s">
        <v>10</v>
      </c>
      <c r="E1733" t="s">
        <v>11</v>
      </c>
      <c r="F1733">
        <v>468.67</v>
      </c>
      <c r="G1733">
        <v>6</v>
      </c>
      <c r="H1733" t="s">
        <v>35</v>
      </c>
    </row>
    <row r="1734" spans="1:8" x14ac:dyDescent="0.25">
      <c r="A1734" t="s">
        <v>3207</v>
      </c>
      <c r="B1734" t="s">
        <v>3208</v>
      </c>
      <c r="C1734" s="27">
        <v>45007</v>
      </c>
      <c r="D1734" t="s">
        <v>10</v>
      </c>
      <c r="E1734" t="s">
        <v>22</v>
      </c>
      <c r="F1734">
        <v>1318.27</v>
      </c>
      <c r="G1734">
        <v>6</v>
      </c>
      <c r="H1734" t="s">
        <v>35</v>
      </c>
    </row>
    <row r="1735" spans="1:8" x14ac:dyDescent="0.25">
      <c r="A1735" t="s">
        <v>3209</v>
      </c>
      <c r="B1735" t="s">
        <v>3210</v>
      </c>
      <c r="C1735" s="27">
        <v>45453</v>
      </c>
      <c r="D1735" t="s">
        <v>21</v>
      </c>
      <c r="E1735" t="s">
        <v>25</v>
      </c>
      <c r="F1735">
        <v>1653.92</v>
      </c>
      <c r="G1735">
        <v>4</v>
      </c>
      <c r="H1735" t="s">
        <v>3369</v>
      </c>
    </row>
    <row r="1736" spans="1:8" x14ac:dyDescent="0.25">
      <c r="A1736" t="s">
        <v>3211</v>
      </c>
      <c r="B1736" t="s">
        <v>3212</v>
      </c>
      <c r="C1736" s="27">
        <v>44970</v>
      </c>
      <c r="D1736" t="s">
        <v>10</v>
      </c>
      <c r="E1736" t="s">
        <v>22</v>
      </c>
      <c r="F1736">
        <v>149.38</v>
      </c>
      <c r="G1736">
        <v>5</v>
      </c>
      <c r="H1736" t="s">
        <v>15</v>
      </c>
    </row>
    <row r="1737" spans="1:8" x14ac:dyDescent="0.25">
      <c r="A1737" t="s">
        <v>3213</v>
      </c>
      <c r="B1737" t="s">
        <v>2338</v>
      </c>
      <c r="C1737" s="27">
        <v>45259</v>
      </c>
      <c r="D1737" t="s">
        <v>21</v>
      </c>
      <c r="E1737" t="s">
        <v>22</v>
      </c>
      <c r="F1737">
        <v>1908.78</v>
      </c>
      <c r="G1737">
        <v>9</v>
      </c>
      <c r="H1737" t="s">
        <v>3377</v>
      </c>
    </row>
    <row r="1738" spans="1:8" x14ac:dyDescent="0.25">
      <c r="A1738" t="s">
        <v>3214</v>
      </c>
      <c r="B1738" t="s">
        <v>3215</v>
      </c>
      <c r="C1738" s="27">
        <v>45587</v>
      </c>
      <c r="D1738" t="s">
        <v>10</v>
      </c>
      <c r="E1738" t="s">
        <v>11</v>
      </c>
      <c r="G1738">
        <v>5</v>
      </c>
      <c r="H1738" t="s">
        <v>3369</v>
      </c>
    </row>
    <row r="1739" spans="1:8" x14ac:dyDescent="0.25">
      <c r="A1739" t="s">
        <v>3216</v>
      </c>
      <c r="B1739" t="s">
        <v>3217</v>
      </c>
      <c r="C1739" s="27">
        <v>45195</v>
      </c>
      <c r="D1739" t="s">
        <v>10</v>
      </c>
      <c r="E1739" t="s">
        <v>11</v>
      </c>
      <c r="F1739">
        <v>1428.96</v>
      </c>
      <c r="G1739">
        <v>5</v>
      </c>
      <c r="H1739" t="s">
        <v>3369</v>
      </c>
    </row>
    <row r="1740" spans="1:8" x14ac:dyDescent="0.25">
      <c r="A1740" t="s">
        <v>3218</v>
      </c>
      <c r="B1740" t="s">
        <v>3219</v>
      </c>
      <c r="C1740" s="27">
        <v>45785</v>
      </c>
      <c r="D1740" t="s">
        <v>3372</v>
      </c>
      <c r="E1740" t="s">
        <v>22</v>
      </c>
      <c r="G1740">
        <v>1</v>
      </c>
      <c r="H1740" t="s">
        <v>3369</v>
      </c>
    </row>
    <row r="1741" spans="1:8" x14ac:dyDescent="0.25">
      <c r="A1741" t="s">
        <v>3220</v>
      </c>
      <c r="B1741" t="s">
        <v>3221</v>
      </c>
      <c r="C1741" s="27">
        <v>45306</v>
      </c>
      <c r="D1741" t="s">
        <v>3372</v>
      </c>
      <c r="E1741" t="s">
        <v>3370</v>
      </c>
      <c r="F1741">
        <v>338.36</v>
      </c>
      <c r="G1741">
        <v>6</v>
      </c>
      <c r="H1741" t="s">
        <v>18</v>
      </c>
    </row>
    <row r="1742" spans="1:8" x14ac:dyDescent="0.25">
      <c r="A1742" t="s">
        <v>3222</v>
      </c>
      <c r="B1742" t="s">
        <v>3223</v>
      </c>
      <c r="C1742" s="27">
        <v>45665</v>
      </c>
      <c r="D1742" t="s">
        <v>14</v>
      </c>
      <c r="E1742" t="s">
        <v>22</v>
      </c>
      <c r="F1742">
        <v>1535.68</v>
      </c>
      <c r="G1742">
        <v>9</v>
      </c>
      <c r="H1742" t="s">
        <v>18</v>
      </c>
    </row>
    <row r="1743" spans="1:8" x14ac:dyDescent="0.25">
      <c r="A1743" t="s">
        <v>3224</v>
      </c>
      <c r="B1743" t="s">
        <v>3225</v>
      </c>
      <c r="C1743" s="27">
        <v>44986</v>
      </c>
      <c r="D1743" t="s">
        <v>14</v>
      </c>
      <c r="E1743" t="s">
        <v>3371</v>
      </c>
      <c r="F1743">
        <v>935.5</v>
      </c>
      <c r="G1743">
        <v>3</v>
      </c>
      <c r="H1743" t="s">
        <v>3369</v>
      </c>
    </row>
    <row r="1744" spans="1:8" x14ac:dyDescent="0.25">
      <c r="A1744" t="s">
        <v>3226</v>
      </c>
      <c r="B1744" t="s">
        <v>3227</v>
      </c>
      <c r="C1744" s="27">
        <v>45712</v>
      </c>
      <c r="D1744" t="s">
        <v>10</v>
      </c>
      <c r="E1744" t="s">
        <v>11</v>
      </c>
      <c r="F1744">
        <v>1301.1400000000001</v>
      </c>
      <c r="G1744">
        <v>8</v>
      </c>
      <c r="H1744" t="s">
        <v>18</v>
      </c>
    </row>
    <row r="1745" spans="1:8" x14ac:dyDescent="0.25">
      <c r="A1745" t="s">
        <v>3228</v>
      </c>
      <c r="B1745" t="s">
        <v>3229</v>
      </c>
      <c r="C1745" s="27">
        <v>45819</v>
      </c>
      <c r="D1745" t="s">
        <v>3372</v>
      </c>
      <c r="E1745" t="s">
        <v>22</v>
      </c>
      <c r="F1745">
        <v>1718.36</v>
      </c>
      <c r="H1745" t="s">
        <v>35</v>
      </c>
    </row>
    <row r="1746" spans="1:8" x14ac:dyDescent="0.25">
      <c r="A1746" t="s">
        <v>3230</v>
      </c>
      <c r="B1746" t="s">
        <v>3231</v>
      </c>
      <c r="C1746" s="27">
        <v>44872</v>
      </c>
      <c r="D1746" t="s">
        <v>14</v>
      </c>
      <c r="E1746" t="s">
        <v>34</v>
      </c>
      <c r="F1746">
        <v>1235.58</v>
      </c>
      <c r="G1746">
        <v>9</v>
      </c>
      <c r="H1746" t="s">
        <v>35</v>
      </c>
    </row>
    <row r="1747" spans="1:8" x14ac:dyDescent="0.25">
      <c r="A1747" t="s">
        <v>3232</v>
      </c>
      <c r="B1747" t="s">
        <v>3233</v>
      </c>
      <c r="C1747" s="27">
        <v>45465</v>
      </c>
      <c r="D1747" t="s">
        <v>3372</v>
      </c>
      <c r="E1747" t="s">
        <v>3371</v>
      </c>
      <c r="F1747">
        <v>988.52</v>
      </c>
      <c r="G1747">
        <v>10</v>
      </c>
      <c r="H1747" t="s">
        <v>18</v>
      </c>
    </row>
    <row r="1748" spans="1:8" x14ac:dyDescent="0.25">
      <c r="A1748" t="s">
        <v>3380</v>
      </c>
      <c r="B1748" t="s">
        <v>3381</v>
      </c>
      <c r="C1748" s="27">
        <v>44937</v>
      </c>
      <c r="D1748" t="s">
        <v>10</v>
      </c>
      <c r="E1748" t="s">
        <v>25</v>
      </c>
      <c r="F1748">
        <v>1867.09</v>
      </c>
      <c r="G1748">
        <v>6</v>
      </c>
      <c r="H1748" t="s">
        <v>3377</v>
      </c>
    </row>
    <row r="1749" spans="1:8" x14ac:dyDescent="0.25">
      <c r="A1749" t="s">
        <v>3234</v>
      </c>
      <c r="B1749" t="s">
        <v>3235</v>
      </c>
      <c r="C1749" s="27">
        <v>45540</v>
      </c>
      <c r="D1749" t="s">
        <v>10</v>
      </c>
      <c r="E1749" t="s">
        <v>22</v>
      </c>
      <c r="F1749">
        <v>216.2</v>
      </c>
      <c r="G1749">
        <v>10</v>
      </c>
      <c r="H1749" t="s">
        <v>3369</v>
      </c>
    </row>
    <row r="1750" spans="1:8" x14ac:dyDescent="0.25">
      <c r="A1750" t="s">
        <v>3236</v>
      </c>
      <c r="B1750" t="s">
        <v>3237</v>
      </c>
      <c r="C1750" s="27">
        <v>44938</v>
      </c>
      <c r="D1750" t="s">
        <v>14</v>
      </c>
      <c r="E1750" t="s">
        <v>25</v>
      </c>
      <c r="F1750">
        <v>1726.82</v>
      </c>
      <c r="G1750">
        <v>9</v>
      </c>
      <c r="H1750" t="s">
        <v>3369</v>
      </c>
    </row>
    <row r="1751" spans="1:8" x14ac:dyDescent="0.25">
      <c r="A1751" t="s">
        <v>3238</v>
      </c>
      <c r="B1751" t="s">
        <v>3239</v>
      </c>
      <c r="C1751" s="27">
        <v>45732</v>
      </c>
      <c r="D1751" t="s">
        <v>10</v>
      </c>
      <c r="E1751" t="s">
        <v>22</v>
      </c>
      <c r="F1751">
        <v>1069.43</v>
      </c>
      <c r="G1751">
        <v>6</v>
      </c>
      <c r="H1751" t="s">
        <v>3369</v>
      </c>
    </row>
    <row r="1752" spans="1:8" x14ac:dyDescent="0.25">
      <c r="A1752" t="s">
        <v>3240</v>
      </c>
      <c r="B1752" t="s">
        <v>3241</v>
      </c>
      <c r="C1752" s="27">
        <v>45144</v>
      </c>
      <c r="D1752" t="s">
        <v>14</v>
      </c>
      <c r="E1752" t="s">
        <v>11</v>
      </c>
      <c r="F1752">
        <v>1512.3</v>
      </c>
      <c r="G1752">
        <v>2</v>
      </c>
      <c r="H1752" t="s">
        <v>3377</v>
      </c>
    </row>
    <row r="1753" spans="1:8" x14ac:dyDescent="0.25">
      <c r="A1753" t="s">
        <v>3242</v>
      </c>
      <c r="B1753" t="s">
        <v>3243</v>
      </c>
      <c r="C1753" s="27">
        <v>45470</v>
      </c>
      <c r="D1753" t="s">
        <v>3372</v>
      </c>
      <c r="E1753" t="s">
        <v>25</v>
      </c>
      <c r="F1753">
        <v>1496.68</v>
      </c>
      <c r="G1753">
        <v>2</v>
      </c>
      <c r="H1753" t="s">
        <v>35</v>
      </c>
    </row>
    <row r="1754" spans="1:8" x14ac:dyDescent="0.25">
      <c r="A1754" t="s">
        <v>3244</v>
      </c>
      <c r="B1754" t="s">
        <v>3245</v>
      </c>
      <c r="C1754" s="27">
        <v>45790</v>
      </c>
      <c r="D1754" t="s">
        <v>10</v>
      </c>
      <c r="E1754" t="s">
        <v>34</v>
      </c>
      <c r="F1754">
        <v>351.52</v>
      </c>
      <c r="H1754" t="s">
        <v>15</v>
      </c>
    </row>
    <row r="1755" spans="1:8" x14ac:dyDescent="0.25">
      <c r="A1755" t="s">
        <v>3246</v>
      </c>
      <c r="B1755" t="s">
        <v>534</v>
      </c>
      <c r="C1755" s="27">
        <v>45774</v>
      </c>
      <c r="D1755" t="s">
        <v>10</v>
      </c>
      <c r="E1755" t="s">
        <v>11</v>
      </c>
      <c r="F1755">
        <v>417.51</v>
      </c>
      <c r="G1755">
        <v>10</v>
      </c>
      <c r="H1755" t="s">
        <v>18</v>
      </c>
    </row>
    <row r="1756" spans="1:8" x14ac:dyDescent="0.25">
      <c r="A1756" t="s">
        <v>3247</v>
      </c>
      <c r="B1756" t="s">
        <v>3248</v>
      </c>
      <c r="C1756" s="27">
        <v>45215</v>
      </c>
      <c r="D1756" t="s">
        <v>10</v>
      </c>
      <c r="E1756" t="s">
        <v>11</v>
      </c>
      <c r="F1756">
        <v>1896.95</v>
      </c>
      <c r="G1756">
        <v>1</v>
      </c>
      <c r="H1756" t="s">
        <v>15</v>
      </c>
    </row>
    <row r="1757" spans="1:8" x14ac:dyDescent="0.25">
      <c r="A1757" t="s">
        <v>3249</v>
      </c>
      <c r="B1757" t="s">
        <v>3250</v>
      </c>
      <c r="C1757" s="27">
        <v>44971</v>
      </c>
      <c r="D1757" t="s">
        <v>21</v>
      </c>
      <c r="E1757" t="s">
        <v>22</v>
      </c>
      <c r="F1757">
        <v>444.84</v>
      </c>
      <c r="H1757" t="s">
        <v>18</v>
      </c>
    </row>
    <row r="1758" spans="1:8" x14ac:dyDescent="0.25">
      <c r="A1758" t="s">
        <v>3251</v>
      </c>
      <c r="B1758" t="s">
        <v>3252</v>
      </c>
      <c r="C1758" s="27">
        <v>45167</v>
      </c>
      <c r="D1758" t="s">
        <v>14</v>
      </c>
      <c r="E1758" t="s">
        <v>25</v>
      </c>
      <c r="F1758">
        <v>1920.86</v>
      </c>
      <c r="H1758" t="s">
        <v>18</v>
      </c>
    </row>
    <row r="1759" spans="1:8" x14ac:dyDescent="0.25">
      <c r="A1759" t="s">
        <v>3253</v>
      </c>
      <c r="B1759" t="s">
        <v>3254</v>
      </c>
      <c r="C1759" s="27">
        <v>45131</v>
      </c>
      <c r="D1759" t="s">
        <v>3372</v>
      </c>
      <c r="E1759" t="s">
        <v>34</v>
      </c>
      <c r="F1759">
        <v>413.18</v>
      </c>
      <c r="H1759" t="s">
        <v>3369</v>
      </c>
    </row>
    <row r="1760" spans="1:8" x14ac:dyDescent="0.25">
      <c r="A1760" t="s">
        <v>3255</v>
      </c>
      <c r="B1760" t="s">
        <v>2880</v>
      </c>
      <c r="C1760" s="27">
        <v>45683</v>
      </c>
      <c r="D1760" t="s">
        <v>10</v>
      </c>
      <c r="E1760" t="s">
        <v>3370</v>
      </c>
      <c r="F1760">
        <v>493.86</v>
      </c>
      <c r="G1760">
        <v>6</v>
      </c>
      <c r="H1760" t="s">
        <v>3377</v>
      </c>
    </row>
    <row r="1761" spans="1:8" x14ac:dyDescent="0.25">
      <c r="A1761" t="s">
        <v>3256</v>
      </c>
      <c r="B1761" t="s">
        <v>3257</v>
      </c>
      <c r="C1761" s="27">
        <v>45916</v>
      </c>
      <c r="D1761" t="s">
        <v>21</v>
      </c>
      <c r="E1761" t="s">
        <v>3370</v>
      </c>
      <c r="F1761">
        <v>1798.18</v>
      </c>
      <c r="G1761">
        <v>4</v>
      </c>
      <c r="H1761" t="s">
        <v>3377</v>
      </c>
    </row>
    <row r="1762" spans="1:8" x14ac:dyDescent="0.25">
      <c r="A1762" t="s">
        <v>3258</v>
      </c>
      <c r="B1762" t="s">
        <v>3259</v>
      </c>
      <c r="C1762" s="27">
        <v>44994</v>
      </c>
      <c r="D1762" t="s">
        <v>10</v>
      </c>
      <c r="E1762" t="s">
        <v>11</v>
      </c>
      <c r="F1762">
        <v>113.08</v>
      </c>
      <c r="G1762">
        <v>10</v>
      </c>
      <c r="H1762" t="s">
        <v>3377</v>
      </c>
    </row>
    <row r="1763" spans="1:8" x14ac:dyDescent="0.25">
      <c r="A1763" t="s">
        <v>3260</v>
      </c>
      <c r="B1763" t="s">
        <v>3261</v>
      </c>
      <c r="C1763" s="27">
        <v>44933</v>
      </c>
      <c r="D1763" t="s">
        <v>21</v>
      </c>
      <c r="E1763" t="s">
        <v>22</v>
      </c>
      <c r="F1763">
        <v>1520.77</v>
      </c>
      <c r="H1763" t="s">
        <v>3377</v>
      </c>
    </row>
    <row r="1764" spans="1:8" x14ac:dyDescent="0.25">
      <c r="A1764" t="s">
        <v>3262</v>
      </c>
      <c r="B1764" t="s">
        <v>3263</v>
      </c>
      <c r="C1764" s="27">
        <v>45841</v>
      </c>
      <c r="D1764" t="s">
        <v>10</v>
      </c>
      <c r="E1764" t="s">
        <v>3370</v>
      </c>
      <c r="F1764">
        <v>1054.76</v>
      </c>
      <c r="G1764">
        <v>2</v>
      </c>
      <c r="H1764" t="s">
        <v>3377</v>
      </c>
    </row>
    <row r="1765" spans="1:8" x14ac:dyDescent="0.25">
      <c r="A1765" t="s">
        <v>3264</v>
      </c>
      <c r="B1765" t="s">
        <v>3265</v>
      </c>
      <c r="C1765" s="27">
        <v>44897</v>
      </c>
      <c r="D1765" t="s">
        <v>21</v>
      </c>
      <c r="E1765" t="s">
        <v>11</v>
      </c>
      <c r="F1765">
        <v>1281.45</v>
      </c>
      <c r="G1765">
        <v>4</v>
      </c>
      <c r="H1765" t="s">
        <v>18</v>
      </c>
    </row>
    <row r="1766" spans="1:8" x14ac:dyDescent="0.25">
      <c r="A1766" t="s">
        <v>3266</v>
      </c>
      <c r="B1766" t="s">
        <v>3267</v>
      </c>
      <c r="C1766" s="27">
        <v>45870</v>
      </c>
      <c r="D1766" t="s">
        <v>10</v>
      </c>
      <c r="E1766" t="s">
        <v>22</v>
      </c>
      <c r="F1766">
        <v>83.34</v>
      </c>
      <c r="G1766">
        <v>7</v>
      </c>
      <c r="H1766" t="s">
        <v>35</v>
      </c>
    </row>
    <row r="1767" spans="1:8" x14ac:dyDescent="0.25">
      <c r="A1767" t="s">
        <v>3268</v>
      </c>
      <c r="B1767" t="s">
        <v>3269</v>
      </c>
      <c r="C1767" s="27">
        <v>45861</v>
      </c>
      <c r="D1767" t="s">
        <v>21</v>
      </c>
      <c r="E1767" t="s">
        <v>11</v>
      </c>
      <c r="G1767">
        <v>6</v>
      </c>
      <c r="H1767" t="s">
        <v>18</v>
      </c>
    </row>
    <row r="1768" spans="1:8" x14ac:dyDescent="0.25">
      <c r="A1768" t="s">
        <v>3270</v>
      </c>
      <c r="B1768" t="s">
        <v>3271</v>
      </c>
      <c r="C1768" s="27">
        <v>45407</v>
      </c>
      <c r="D1768" t="s">
        <v>10</v>
      </c>
      <c r="E1768" t="s">
        <v>25</v>
      </c>
      <c r="F1768">
        <v>118.39</v>
      </c>
      <c r="G1768">
        <v>4</v>
      </c>
      <c r="H1768" t="s">
        <v>35</v>
      </c>
    </row>
    <row r="1769" spans="1:8" x14ac:dyDescent="0.25">
      <c r="A1769" t="s">
        <v>3272</v>
      </c>
      <c r="B1769" t="s">
        <v>3273</v>
      </c>
      <c r="C1769" s="27">
        <v>45054</v>
      </c>
      <c r="D1769" t="s">
        <v>21</v>
      </c>
      <c r="E1769" t="s">
        <v>25</v>
      </c>
      <c r="F1769">
        <v>1070.96</v>
      </c>
      <c r="G1769">
        <v>6</v>
      </c>
      <c r="H1769" t="s">
        <v>3369</v>
      </c>
    </row>
    <row r="1770" spans="1:8" x14ac:dyDescent="0.25">
      <c r="A1770" t="s">
        <v>3274</v>
      </c>
      <c r="B1770" t="s">
        <v>3275</v>
      </c>
      <c r="C1770" s="27">
        <v>45571</v>
      </c>
      <c r="D1770" t="s">
        <v>21</v>
      </c>
      <c r="E1770" t="s">
        <v>11</v>
      </c>
      <c r="F1770">
        <v>1173.57</v>
      </c>
      <c r="H1770" t="s">
        <v>15</v>
      </c>
    </row>
    <row r="1771" spans="1:8" x14ac:dyDescent="0.25">
      <c r="A1771" t="s">
        <v>3276</v>
      </c>
      <c r="B1771" t="s">
        <v>3277</v>
      </c>
      <c r="C1771" s="27">
        <v>45795</v>
      </c>
      <c r="D1771" t="s">
        <v>3372</v>
      </c>
      <c r="E1771" t="s">
        <v>3371</v>
      </c>
      <c r="F1771">
        <v>1483.52</v>
      </c>
      <c r="G1771">
        <v>4</v>
      </c>
      <c r="H1771" t="s">
        <v>3369</v>
      </c>
    </row>
    <row r="1772" spans="1:8" x14ac:dyDescent="0.25">
      <c r="A1772" t="s">
        <v>3278</v>
      </c>
      <c r="B1772" t="s">
        <v>3279</v>
      </c>
      <c r="C1772" s="27">
        <v>45084</v>
      </c>
      <c r="D1772" t="s">
        <v>10</v>
      </c>
      <c r="E1772" t="s">
        <v>22</v>
      </c>
      <c r="F1772">
        <v>1563.65</v>
      </c>
      <c r="G1772">
        <v>5</v>
      </c>
      <c r="H1772" t="s">
        <v>3369</v>
      </c>
    </row>
    <row r="1773" spans="1:8" x14ac:dyDescent="0.25">
      <c r="A1773" t="s">
        <v>3280</v>
      </c>
      <c r="B1773" t="s">
        <v>3281</v>
      </c>
      <c r="C1773" s="27">
        <v>45517</v>
      </c>
      <c r="D1773" t="s">
        <v>3372</v>
      </c>
      <c r="E1773" t="s">
        <v>11</v>
      </c>
      <c r="F1773">
        <v>827.81</v>
      </c>
      <c r="G1773">
        <v>5</v>
      </c>
      <c r="H1773" t="s">
        <v>15</v>
      </c>
    </row>
    <row r="1774" spans="1:8" x14ac:dyDescent="0.25">
      <c r="A1774" t="s">
        <v>3431</v>
      </c>
      <c r="B1774" t="s">
        <v>3432</v>
      </c>
      <c r="C1774" s="27">
        <v>45275</v>
      </c>
      <c r="D1774" t="s">
        <v>3372</v>
      </c>
      <c r="E1774" t="s">
        <v>25</v>
      </c>
      <c r="F1774">
        <v>1453.79</v>
      </c>
      <c r="H1774" t="s">
        <v>3369</v>
      </c>
    </row>
    <row r="1775" spans="1:8" x14ac:dyDescent="0.25">
      <c r="A1775" t="s">
        <v>3282</v>
      </c>
      <c r="B1775" t="s">
        <v>3283</v>
      </c>
      <c r="C1775" s="27">
        <v>45285</v>
      </c>
      <c r="D1775" t="s">
        <v>10</v>
      </c>
      <c r="E1775" t="s">
        <v>3370</v>
      </c>
      <c r="F1775">
        <v>800.68</v>
      </c>
      <c r="G1775">
        <v>10</v>
      </c>
      <c r="H1775" t="s">
        <v>15</v>
      </c>
    </row>
    <row r="1776" spans="1:8" x14ac:dyDescent="0.25">
      <c r="A1776" t="s">
        <v>3284</v>
      </c>
      <c r="B1776" t="s">
        <v>3285</v>
      </c>
      <c r="C1776" s="27">
        <v>45245</v>
      </c>
      <c r="D1776" t="s">
        <v>3372</v>
      </c>
      <c r="E1776" t="s">
        <v>3370</v>
      </c>
      <c r="F1776">
        <v>1399.64</v>
      </c>
      <c r="G1776">
        <v>3</v>
      </c>
      <c r="H1776" t="s">
        <v>15</v>
      </c>
    </row>
    <row r="1777" spans="1:8" x14ac:dyDescent="0.25">
      <c r="A1777" t="s">
        <v>3286</v>
      </c>
      <c r="B1777" t="s">
        <v>37</v>
      </c>
      <c r="C1777" s="27">
        <v>44936</v>
      </c>
      <c r="D1777" t="s">
        <v>3372</v>
      </c>
      <c r="E1777" t="s">
        <v>34</v>
      </c>
      <c r="F1777">
        <v>1586.04</v>
      </c>
      <c r="G1777">
        <v>3</v>
      </c>
      <c r="H1777" t="s">
        <v>18</v>
      </c>
    </row>
    <row r="1778" spans="1:8" x14ac:dyDescent="0.25">
      <c r="A1778" t="s">
        <v>3287</v>
      </c>
      <c r="B1778" t="s">
        <v>3288</v>
      </c>
      <c r="C1778" s="27">
        <v>45391</v>
      </c>
      <c r="D1778" t="s">
        <v>3372</v>
      </c>
      <c r="E1778" t="s">
        <v>11</v>
      </c>
      <c r="F1778">
        <v>1007.12</v>
      </c>
      <c r="G1778">
        <v>4</v>
      </c>
      <c r="H1778" t="s">
        <v>18</v>
      </c>
    </row>
    <row r="1779" spans="1:8" x14ac:dyDescent="0.25">
      <c r="A1779" t="s">
        <v>3449</v>
      </c>
      <c r="B1779" t="s">
        <v>3450</v>
      </c>
      <c r="C1779" s="27">
        <v>45499</v>
      </c>
      <c r="D1779" t="s">
        <v>21</v>
      </c>
      <c r="E1779" t="s">
        <v>25</v>
      </c>
      <c r="H1779" t="s">
        <v>35</v>
      </c>
    </row>
    <row r="1780" spans="1:8" x14ac:dyDescent="0.25">
      <c r="A1780" t="s">
        <v>3289</v>
      </c>
      <c r="B1780" t="s">
        <v>3290</v>
      </c>
      <c r="C1780" s="27">
        <v>45762</v>
      </c>
      <c r="D1780" t="s">
        <v>14</v>
      </c>
      <c r="E1780" t="s">
        <v>11</v>
      </c>
      <c r="F1780">
        <v>1359.46</v>
      </c>
      <c r="G1780">
        <v>10</v>
      </c>
      <c r="H1780" t="s">
        <v>3369</v>
      </c>
    </row>
    <row r="1781" spans="1:8" x14ac:dyDescent="0.25">
      <c r="A1781" t="s">
        <v>3291</v>
      </c>
      <c r="B1781" t="s">
        <v>3292</v>
      </c>
      <c r="C1781" s="27">
        <v>45906</v>
      </c>
      <c r="D1781" t="s">
        <v>3372</v>
      </c>
      <c r="E1781" t="s">
        <v>34</v>
      </c>
      <c r="G1781">
        <v>8</v>
      </c>
      <c r="H1781" t="s">
        <v>15</v>
      </c>
    </row>
    <row r="1782" spans="1:8" x14ac:dyDescent="0.25">
      <c r="A1782" t="s">
        <v>3293</v>
      </c>
      <c r="B1782" t="s">
        <v>3294</v>
      </c>
      <c r="C1782" s="27">
        <v>44904</v>
      </c>
      <c r="D1782" t="s">
        <v>21</v>
      </c>
      <c r="E1782" t="s">
        <v>11</v>
      </c>
      <c r="F1782">
        <v>1816.51</v>
      </c>
      <c r="G1782">
        <v>7</v>
      </c>
      <c r="H1782" t="s">
        <v>3377</v>
      </c>
    </row>
    <row r="1783" spans="1:8" x14ac:dyDescent="0.25">
      <c r="A1783" t="s">
        <v>3295</v>
      </c>
      <c r="B1783" t="s">
        <v>2027</v>
      </c>
      <c r="C1783" s="27">
        <v>45424</v>
      </c>
      <c r="D1783" t="s">
        <v>14</v>
      </c>
      <c r="E1783" t="s">
        <v>3370</v>
      </c>
      <c r="F1783">
        <v>691.83</v>
      </c>
      <c r="G1783">
        <v>1</v>
      </c>
      <c r="H1783" t="s">
        <v>3377</v>
      </c>
    </row>
    <row r="1784" spans="1:8" x14ac:dyDescent="0.25">
      <c r="A1784" t="s">
        <v>3296</v>
      </c>
      <c r="B1784" t="s">
        <v>3297</v>
      </c>
      <c r="C1784" s="27">
        <v>45563</v>
      </c>
      <c r="D1784" t="s">
        <v>3372</v>
      </c>
      <c r="E1784" t="s">
        <v>3370</v>
      </c>
      <c r="G1784">
        <v>6</v>
      </c>
      <c r="H1784" t="s">
        <v>3377</v>
      </c>
    </row>
    <row r="1785" spans="1:8" x14ac:dyDescent="0.25">
      <c r="A1785" t="s">
        <v>3298</v>
      </c>
      <c r="B1785" t="s">
        <v>3299</v>
      </c>
      <c r="C1785" s="27">
        <v>45024</v>
      </c>
      <c r="D1785" t="s">
        <v>3372</v>
      </c>
      <c r="E1785" t="s">
        <v>11</v>
      </c>
      <c r="F1785">
        <v>1493.22</v>
      </c>
      <c r="H1785" t="s">
        <v>35</v>
      </c>
    </row>
    <row r="1786" spans="1:8" x14ac:dyDescent="0.25">
      <c r="A1786" t="s">
        <v>3300</v>
      </c>
      <c r="B1786" t="s">
        <v>3301</v>
      </c>
      <c r="C1786" s="27">
        <v>45004</v>
      </c>
      <c r="D1786" t="s">
        <v>21</v>
      </c>
      <c r="E1786" t="s">
        <v>11</v>
      </c>
      <c r="F1786">
        <v>1184.77</v>
      </c>
      <c r="G1786">
        <v>5</v>
      </c>
      <c r="H1786" t="s">
        <v>3369</v>
      </c>
    </row>
    <row r="1787" spans="1:8" x14ac:dyDescent="0.25">
      <c r="A1787" t="s">
        <v>3302</v>
      </c>
      <c r="B1787" t="s">
        <v>3303</v>
      </c>
      <c r="C1787" s="27">
        <v>45852</v>
      </c>
      <c r="D1787" t="s">
        <v>3372</v>
      </c>
      <c r="E1787" t="s">
        <v>34</v>
      </c>
      <c r="F1787">
        <v>967.57</v>
      </c>
      <c r="G1787">
        <v>2</v>
      </c>
      <c r="H1787" t="s">
        <v>15</v>
      </c>
    </row>
    <row r="1788" spans="1:8" x14ac:dyDescent="0.25">
      <c r="A1788" t="s">
        <v>3304</v>
      </c>
      <c r="B1788" t="s">
        <v>3305</v>
      </c>
      <c r="C1788" s="27">
        <v>45916</v>
      </c>
      <c r="D1788" t="s">
        <v>10</v>
      </c>
      <c r="E1788" t="s">
        <v>3370</v>
      </c>
      <c r="F1788">
        <v>579.44000000000005</v>
      </c>
      <c r="G1788">
        <v>1</v>
      </c>
      <c r="H1788" t="s">
        <v>18</v>
      </c>
    </row>
    <row r="1789" spans="1:8" x14ac:dyDescent="0.25">
      <c r="A1789" t="s">
        <v>3306</v>
      </c>
      <c r="B1789" t="s">
        <v>3307</v>
      </c>
      <c r="C1789" s="27">
        <v>45902</v>
      </c>
      <c r="D1789" t="s">
        <v>14</v>
      </c>
      <c r="E1789" t="s">
        <v>11</v>
      </c>
      <c r="F1789">
        <v>336.92</v>
      </c>
      <c r="G1789">
        <v>10</v>
      </c>
      <c r="H1789" t="s">
        <v>15</v>
      </c>
    </row>
    <row r="1790" spans="1:8" x14ac:dyDescent="0.25">
      <c r="A1790" t="s">
        <v>3308</v>
      </c>
      <c r="B1790" t="s">
        <v>3309</v>
      </c>
      <c r="C1790" s="27">
        <v>45016</v>
      </c>
      <c r="D1790" t="s">
        <v>14</v>
      </c>
      <c r="E1790" t="s">
        <v>34</v>
      </c>
      <c r="F1790">
        <v>1501.03</v>
      </c>
      <c r="G1790">
        <v>10</v>
      </c>
      <c r="H1790" t="s">
        <v>15</v>
      </c>
    </row>
    <row r="1791" spans="1:8" x14ac:dyDescent="0.25">
      <c r="A1791" t="s">
        <v>3310</v>
      </c>
      <c r="B1791" t="s">
        <v>3311</v>
      </c>
      <c r="C1791" s="27">
        <v>45890</v>
      </c>
      <c r="D1791" t="s">
        <v>3372</v>
      </c>
      <c r="E1791" t="s">
        <v>25</v>
      </c>
      <c r="F1791">
        <v>864.23</v>
      </c>
      <c r="G1791">
        <v>9</v>
      </c>
      <c r="H1791" t="s">
        <v>35</v>
      </c>
    </row>
    <row r="1792" spans="1:8" x14ac:dyDescent="0.25">
      <c r="A1792" t="s">
        <v>3312</v>
      </c>
      <c r="B1792" t="s">
        <v>3313</v>
      </c>
      <c r="C1792" s="27">
        <v>45287</v>
      </c>
      <c r="D1792" t="s">
        <v>10</v>
      </c>
      <c r="E1792" t="s">
        <v>3370</v>
      </c>
      <c r="F1792">
        <v>1635.16</v>
      </c>
      <c r="G1792">
        <v>6</v>
      </c>
      <c r="H1792" t="s">
        <v>15</v>
      </c>
    </row>
    <row r="1793" spans="1:8" x14ac:dyDescent="0.25">
      <c r="A1793" t="s">
        <v>3314</v>
      </c>
      <c r="B1793" t="s">
        <v>3315</v>
      </c>
      <c r="C1793" s="27">
        <v>45417</v>
      </c>
      <c r="D1793" t="s">
        <v>14</v>
      </c>
      <c r="E1793" t="s">
        <v>11</v>
      </c>
      <c r="F1793">
        <v>1470.52</v>
      </c>
      <c r="G1793">
        <v>10</v>
      </c>
      <c r="H1793" t="s">
        <v>18</v>
      </c>
    </row>
    <row r="1794" spans="1:8" x14ac:dyDescent="0.25">
      <c r="A1794" t="s">
        <v>3316</v>
      </c>
      <c r="B1794" t="s">
        <v>3317</v>
      </c>
      <c r="C1794" s="27">
        <v>44861</v>
      </c>
      <c r="D1794" t="s">
        <v>14</v>
      </c>
      <c r="E1794" t="s">
        <v>3371</v>
      </c>
      <c r="F1794">
        <v>521.16999999999996</v>
      </c>
      <c r="G1794">
        <v>3</v>
      </c>
      <c r="H1794" t="s">
        <v>15</v>
      </c>
    </row>
    <row r="1795" spans="1:8" x14ac:dyDescent="0.25">
      <c r="A1795" t="s">
        <v>3318</v>
      </c>
      <c r="B1795" t="s">
        <v>3319</v>
      </c>
      <c r="C1795" s="27">
        <v>45652</v>
      </c>
      <c r="D1795" t="s">
        <v>21</v>
      </c>
      <c r="E1795" t="s">
        <v>25</v>
      </c>
      <c r="F1795">
        <v>1584.23</v>
      </c>
      <c r="G1795">
        <v>9</v>
      </c>
      <c r="H1795" t="s">
        <v>3377</v>
      </c>
    </row>
    <row r="1796" spans="1:8" x14ac:dyDescent="0.25">
      <c r="A1796" t="s">
        <v>3320</v>
      </c>
      <c r="B1796" t="s">
        <v>3254</v>
      </c>
      <c r="C1796" s="27">
        <v>45331</v>
      </c>
      <c r="D1796" t="s">
        <v>3372</v>
      </c>
      <c r="E1796" t="s">
        <v>34</v>
      </c>
      <c r="F1796">
        <v>350.85</v>
      </c>
      <c r="H1796" t="s">
        <v>15</v>
      </c>
    </row>
    <row r="1797" spans="1:8" x14ac:dyDescent="0.25">
      <c r="A1797" t="s">
        <v>3321</v>
      </c>
      <c r="B1797" t="s">
        <v>512</v>
      </c>
      <c r="C1797" s="27">
        <v>45187</v>
      </c>
      <c r="D1797" t="s">
        <v>10</v>
      </c>
      <c r="E1797" t="s">
        <v>3370</v>
      </c>
      <c r="F1797">
        <v>1931.84</v>
      </c>
      <c r="G1797">
        <v>3</v>
      </c>
      <c r="H1797" t="s">
        <v>3377</v>
      </c>
    </row>
    <row r="1798" spans="1:8" x14ac:dyDescent="0.25">
      <c r="A1798" t="s">
        <v>3322</v>
      </c>
      <c r="B1798" t="s">
        <v>1935</v>
      </c>
      <c r="C1798" s="27">
        <v>45717</v>
      </c>
      <c r="D1798" t="s">
        <v>3372</v>
      </c>
      <c r="E1798" t="s">
        <v>11</v>
      </c>
      <c r="F1798">
        <v>1401.08</v>
      </c>
      <c r="H1798" t="s">
        <v>15</v>
      </c>
    </row>
    <row r="1799" spans="1:8" x14ac:dyDescent="0.25">
      <c r="A1799" t="s">
        <v>3323</v>
      </c>
      <c r="B1799" t="s">
        <v>3324</v>
      </c>
      <c r="C1799" s="27">
        <v>45866</v>
      </c>
      <c r="D1799" t="s">
        <v>21</v>
      </c>
      <c r="E1799" t="s">
        <v>3370</v>
      </c>
      <c r="F1799">
        <v>1677.38</v>
      </c>
      <c r="G1799">
        <v>10</v>
      </c>
      <c r="H1799" t="s">
        <v>3377</v>
      </c>
    </row>
    <row r="1800" spans="1:8" x14ac:dyDescent="0.25">
      <c r="A1800" t="s">
        <v>3325</v>
      </c>
      <c r="B1800" t="s">
        <v>3326</v>
      </c>
      <c r="C1800" s="27">
        <v>45279</v>
      </c>
      <c r="D1800" t="s">
        <v>10</v>
      </c>
      <c r="E1800" t="s">
        <v>3371</v>
      </c>
      <c r="F1800">
        <v>1825.5</v>
      </c>
      <c r="G1800">
        <v>3</v>
      </c>
      <c r="H1800" t="s">
        <v>3369</v>
      </c>
    </row>
    <row r="1801" spans="1:8" x14ac:dyDescent="0.25">
      <c r="A1801" t="s">
        <v>3327</v>
      </c>
      <c r="B1801" t="s">
        <v>3328</v>
      </c>
      <c r="C1801" s="27">
        <v>44918</v>
      </c>
      <c r="D1801" t="s">
        <v>21</v>
      </c>
      <c r="E1801" t="s">
        <v>22</v>
      </c>
      <c r="F1801">
        <v>1556.13</v>
      </c>
      <c r="H1801" t="s">
        <v>35</v>
      </c>
    </row>
    <row r="1802" spans="1:8" x14ac:dyDescent="0.25">
      <c r="A1802" t="s">
        <v>3329</v>
      </c>
      <c r="B1802" t="s">
        <v>3330</v>
      </c>
      <c r="C1802" s="27">
        <v>45401</v>
      </c>
      <c r="D1802" t="s">
        <v>21</v>
      </c>
      <c r="E1802" t="s">
        <v>3371</v>
      </c>
      <c r="F1802">
        <v>433.25</v>
      </c>
      <c r="G1802">
        <v>7</v>
      </c>
      <c r="H1802" t="s">
        <v>3377</v>
      </c>
    </row>
    <row r="1803" spans="1:8" x14ac:dyDescent="0.25">
      <c r="A1803" t="s">
        <v>3331</v>
      </c>
      <c r="B1803" t="s">
        <v>3332</v>
      </c>
      <c r="C1803" s="27">
        <v>45409</v>
      </c>
      <c r="D1803" t="s">
        <v>3372</v>
      </c>
      <c r="E1803" t="s">
        <v>34</v>
      </c>
      <c r="F1803">
        <v>1101.55</v>
      </c>
      <c r="G1803">
        <v>2</v>
      </c>
      <c r="H1803" t="s">
        <v>15</v>
      </c>
    </row>
    <row r="1804" spans="1:8" x14ac:dyDescent="0.25">
      <c r="A1804" t="s">
        <v>3333</v>
      </c>
      <c r="B1804" t="s">
        <v>3334</v>
      </c>
      <c r="C1804" s="27">
        <v>45414</v>
      </c>
      <c r="D1804" t="s">
        <v>3372</v>
      </c>
      <c r="E1804" t="s">
        <v>3371</v>
      </c>
      <c r="F1804">
        <v>1989.2</v>
      </c>
      <c r="G1804">
        <v>5</v>
      </c>
      <c r="H1804" t="s">
        <v>3377</v>
      </c>
    </row>
    <row r="1805" spans="1:8" x14ac:dyDescent="0.25">
      <c r="A1805" t="s">
        <v>3335</v>
      </c>
      <c r="B1805" t="s">
        <v>3336</v>
      </c>
      <c r="C1805" s="27">
        <v>45244</v>
      </c>
      <c r="D1805" t="s">
        <v>14</v>
      </c>
      <c r="E1805" t="s">
        <v>22</v>
      </c>
      <c r="F1805">
        <v>1217.6300000000001</v>
      </c>
      <c r="H1805" t="s">
        <v>35</v>
      </c>
    </row>
    <row r="1806" spans="1:8" x14ac:dyDescent="0.25">
      <c r="A1806" t="s">
        <v>3337</v>
      </c>
      <c r="B1806" t="s">
        <v>3338</v>
      </c>
      <c r="C1806" s="27">
        <v>45513</v>
      </c>
      <c r="D1806" t="s">
        <v>21</v>
      </c>
      <c r="E1806" t="s">
        <v>3370</v>
      </c>
      <c r="F1806">
        <v>1719.45</v>
      </c>
      <c r="G1806">
        <v>2</v>
      </c>
      <c r="H1806" t="s">
        <v>18</v>
      </c>
    </row>
    <row r="1807" spans="1:8" x14ac:dyDescent="0.25">
      <c r="A1807" t="s">
        <v>3339</v>
      </c>
      <c r="B1807" t="s">
        <v>3340</v>
      </c>
      <c r="C1807" s="27">
        <v>45103</v>
      </c>
      <c r="D1807" t="s">
        <v>14</v>
      </c>
      <c r="E1807" t="s">
        <v>25</v>
      </c>
      <c r="G1807">
        <v>6</v>
      </c>
      <c r="H1807" t="s">
        <v>35</v>
      </c>
    </row>
    <row r="1808" spans="1:8" x14ac:dyDescent="0.25">
      <c r="A1808" t="s">
        <v>3341</v>
      </c>
      <c r="B1808" t="s">
        <v>2824</v>
      </c>
      <c r="C1808" s="27">
        <v>45866</v>
      </c>
      <c r="D1808" t="s">
        <v>3372</v>
      </c>
      <c r="E1808" t="s">
        <v>11</v>
      </c>
      <c r="G1808">
        <v>2</v>
      </c>
      <c r="H1808" t="s">
        <v>3369</v>
      </c>
    </row>
    <row r="1809" spans="1:8" x14ac:dyDescent="0.25">
      <c r="A1809" t="s">
        <v>3342</v>
      </c>
      <c r="B1809" t="s">
        <v>899</v>
      </c>
      <c r="C1809" s="27">
        <v>45666</v>
      </c>
      <c r="D1809" t="s">
        <v>3372</v>
      </c>
      <c r="E1809" t="s">
        <v>11</v>
      </c>
      <c r="F1809">
        <v>1048.73</v>
      </c>
      <c r="G1809">
        <v>6</v>
      </c>
      <c r="H1809" t="s">
        <v>3377</v>
      </c>
    </row>
    <row r="1810" spans="1:8" x14ac:dyDescent="0.25">
      <c r="A1810" t="s">
        <v>3343</v>
      </c>
      <c r="B1810" t="s">
        <v>3344</v>
      </c>
      <c r="C1810" s="27">
        <v>45408</v>
      </c>
      <c r="D1810" t="s">
        <v>3372</v>
      </c>
      <c r="E1810" t="s">
        <v>34</v>
      </c>
      <c r="F1810">
        <v>1411.29</v>
      </c>
      <c r="G1810">
        <v>1</v>
      </c>
      <c r="H1810" t="s">
        <v>18</v>
      </c>
    </row>
    <row r="1811" spans="1:8" x14ac:dyDescent="0.25">
      <c r="A1811" t="s">
        <v>3345</v>
      </c>
      <c r="B1811" t="s">
        <v>516</v>
      </c>
      <c r="C1811" s="27">
        <v>45742</v>
      </c>
      <c r="D1811" t="s">
        <v>10</v>
      </c>
      <c r="E1811" t="s">
        <v>3370</v>
      </c>
      <c r="G1811">
        <v>7</v>
      </c>
      <c r="H1811" t="s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16489-5885-4A8B-A61D-E86F9CE72704}">
  <dimension ref="A1:R1745"/>
  <sheetViews>
    <sheetView workbookViewId="0">
      <pane ySplit="1" topLeftCell="A1725" activePane="bottomLeft" state="frozen"/>
      <selection pane="bottomLeft" activeCell="A1744" sqref="A1:M1744"/>
    </sheetView>
  </sheetViews>
  <sheetFormatPr defaultRowHeight="13.8" x14ac:dyDescent="0.25"/>
  <cols>
    <col min="1" max="1" width="17.3984375" customWidth="1"/>
    <col min="2" max="2" width="8.59765625" customWidth="1"/>
    <col min="3" max="3" width="14.69921875" customWidth="1"/>
    <col min="4" max="4" width="5.59765625" customWidth="1"/>
    <col min="5" max="5" width="12.296875" customWidth="1"/>
    <col min="6" max="6" width="9.3984375" customWidth="1"/>
    <col min="7" max="8" width="14.09765625" style="4" customWidth="1"/>
    <col min="9" max="9" width="9.796875" style="4" customWidth="1"/>
    <col min="10" max="11" width="11.59765625" style="4" customWidth="1"/>
    <col min="12" max="12" width="16.8984375" style="4" customWidth="1"/>
    <col min="13" max="13" width="21.69921875" style="4" customWidth="1"/>
    <col min="14" max="14" width="9.796875" customWidth="1"/>
    <col min="15" max="15" width="17" style="4" customWidth="1"/>
    <col min="16" max="16" width="9.796875" style="11" customWidth="1"/>
    <col min="17" max="17" width="9.796875" customWidth="1"/>
    <col min="18" max="18" width="10.69921875" style="4" customWidth="1"/>
    <col min="19" max="19" width="11.3984375" customWidth="1"/>
    <col min="20" max="20" width="9.69921875" customWidth="1"/>
    <col min="21" max="21" width="9.09765625" customWidth="1"/>
    <col min="22" max="22" width="11.5" customWidth="1"/>
    <col min="23" max="23" width="14.296875" customWidth="1"/>
    <col min="24" max="24" width="14.09765625" customWidth="1"/>
  </cols>
  <sheetData>
    <row r="1" spans="1:17" s="5" customFormat="1" x14ac:dyDescent="0.25">
      <c r="A1" s="22" t="s">
        <v>0</v>
      </c>
      <c r="B1" s="23" t="s">
        <v>1</v>
      </c>
      <c r="C1" s="23" t="s">
        <v>2</v>
      </c>
      <c r="D1" s="23" t="s">
        <v>3349</v>
      </c>
      <c r="E1" s="23" t="s">
        <v>3</v>
      </c>
      <c r="F1" s="23" t="s">
        <v>4</v>
      </c>
      <c r="G1" s="24" t="s">
        <v>5</v>
      </c>
      <c r="H1" s="23" t="s">
        <v>3352</v>
      </c>
      <c r="I1" s="23" t="s">
        <v>6</v>
      </c>
      <c r="J1" s="23" t="s">
        <v>3353</v>
      </c>
      <c r="K1" s="23" t="s">
        <v>7</v>
      </c>
      <c r="L1" s="25" t="s">
        <v>3350</v>
      </c>
      <c r="M1" s="26" t="s">
        <v>3351</v>
      </c>
    </row>
    <row r="2" spans="1:17" s="5" customFormat="1" x14ac:dyDescent="0.25">
      <c r="A2" s="12" t="s">
        <v>8</v>
      </c>
      <c r="B2" s="13" t="s">
        <v>9</v>
      </c>
      <c r="C2" s="14">
        <v>45713</v>
      </c>
      <c r="D2" s="13">
        <v>2025</v>
      </c>
      <c r="E2" s="13" t="s">
        <v>10</v>
      </c>
      <c r="F2" s="13" t="s">
        <v>11</v>
      </c>
      <c r="G2" s="15">
        <v>1428.6</v>
      </c>
      <c r="H2" s="15">
        <v>1428.6</v>
      </c>
      <c r="I2" s="13">
        <v>4</v>
      </c>
      <c r="J2" s="13">
        <v>4</v>
      </c>
      <c r="K2" s="13" t="s">
        <v>3346</v>
      </c>
      <c r="L2" s="15">
        <v>357.15</v>
      </c>
      <c r="M2" s="16">
        <v>357.15</v>
      </c>
      <c r="N2" s="11"/>
      <c r="O2" s="11"/>
      <c r="Q2" s="11"/>
    </row>
    <row r="3" spans="1:17" s="5" customFormat="1" x14ac:dyDescent="0.25">
      <c r="A3" s="12" t="s">
        <v>12</v>
      </c>
      <c r="B3" s="13" t="s">
        <v>13</v>
      </c>
      <c r="C3" s="14">
        <v>44929</v>
      </c>
      <c r="D3" s="13">
        <v>2023</v>
      </c>
      <c r="E3" s="13" t="s">
        <v>14</v>
      </c>
      <c r="F3" s="13" t="s">
        <v>34</v>
      </c>
      <c r="G3" s="15">
        <v>264.27999999999997</v>
      </c>
      <c r="H3" s="15">
        <v>264.27999999999997</v>
      </c>
      <c r="I3" s="13">
        <v>7</v>
      </c>
      <c r="J3" s="13">
        <v>7</v>
      </c>
      <c r="K3" s="13" t="s">
        <v>15</v>
      </c>
      <c r="L3" s="15">
        <v>37.754285714285707</v>
      </c>
      <c r="M3" s="16">
        <v>37.754285714285707</v>
      </c>
      <c r="N3" s="11"/>
      <c r="O3" s="11"/>
      <c r="Q3" s="11"/>
    </row>
    <row r="4" spans="1:17" s="5" customFormat="1" x14ac:dyDescent="0.25">
      <c r="A4" s="12" t="s">
        <v>16</v>
      </c>
      <c r="B4" s="13" t="s">
        <v>17</v>
      </c>
      <c r="C4" s="14">
        <v>45869</v>
      </c>
      <c r="D4" s="13">
        <v>2025</v>
      </c>
      <c r="E4" s="13" t="s">
        <v>14</v>
      </c>
      <c r="F4" s="13" t="s">
        <v>22</v>
      </c>
      <c r="G4" s="15">
        <v>1229.1199999999999</v>
      </c>
      <c r="H4" s="15">
        <v>1229.1199999999999</v>
      </c>
      <c r="I4" s="13">
        <v>1</v>
      </c>
      <c r="J4" s="13">
        <v>1</v>
      </c>
      <c r="K4" s="13" t="s">
        <v>18</v>
      </c>
      <c r="L4" s="15">
        <v>1229.1199999999999</v>
      </c>
      <c r="M4" s="16">
        <v>1229.1199999999999</v>
      </c>
      <c r="N4" s="11"/>
      <c r="O4" s="11"/>
      <c r="Q4" s="11"/>
    </row>
    <row r="5" spans="1:17" s="5" customFormat="1" x14ac:dyDescent="0.25">
      <c r="A5" s="12" t="s">
        <v>19</v>
      </c>
      <c r="B5" s="13" t="s">
        <v>20</v>
      </c>
      <c r="C5" s="14">
        <v>45175</v>
      </c>
      <c r="D5" s="13">
        <v>2023</v>
      </c>
      <c r="E5" s="13" t="s">
        <v>21</v>
      </c>
      <c r="F5" s="13" t="s">
        <v>22</v>
      </c>
      <c r="G5" s="15">
        <v>684.78</v>
      </c>
      <c r="H5" s="15">
        <v>684.78</v>
      </c>
      <c r="I5" s="13">
        <v>1</v>
      </c>
      <c r="J5" s="13">
        <v>1</v>
      </c>
      <c r="K5" s="13" t="s">
        <v>15</v>
      </c>
      <c r="L5" s="15">
        <v>684.78</v>
      </c>
      <c r="M5" s="16">
        <v>684.78</v>
      </c>
      <c r="N5" s="11"/>
      <c r="O5" s="11"/>
      <c r="Q5" s="11"/>
    </row>
    <row r="6" spans="1:17" s="5" customFormat="1" x14ac:dyDescent="0.25">
      <c r="A6" s="12" t="s">
        <v>23</v>
      </c>
      <c r="B6" s="13" t="s">
        <v>24</v>
      </c>
      <c r="C6" s="14">
        <v>45882</v>
      </c>
      <c r="D6" s="13">
        <v>2025</v>
      </c>
      <c r="E6" s="13" t="s">
        <v>3347</v>
      </c>
      <c r="F6" s="13" t="s">
        <v>25</v>
      </c>
      <c r="G6" s="15">
        <v>1970.46</v>
      </c>
      <c r="H6" s="15">
        <v>1970.46</v>
      </c>
      <c r="I6" s="13">
        <v>3</v>
      </c>
      <c r="J6" s="13">
        <v>3</v>
      </c>
      <c r="K6" s="13" t="s">
        <v>15</v>
      </c>
      <c r="L6" s="15">
        <v>656.82</v>
      </c>
      <c r="M6" s="16">
        <v>656.82</v>
      </c>
    </row>
    <row r="7" spans="1:17" s="5" customFormat="1" x14ac:dyDescent="0.25">
      <c r="A7" s="12" t="s">
        <v>26</v>
      </c>
      <c r="B7" s="13" t="s">
        <v>27</v>
      </c>
      <c r="C7" s="14">
        <v>45726</v>
      </c>
      <c r="D7" s="13">
        <v>2025</v>
      </c>
      <c r="E7" s="13" t="s">
        <v>14</v>
      </c>
      <c r="F7" s="13" t="s">
        <v>22</v>
      </c>
      <c r="G7" s="15">
        <v>1214.24</v>
      </c>
      <c r="H7" s="15">
        <v>1214.24</v>
      </c>
      <c r="I7" s="13">
        <v>8</v>
      </c>
      <c r="J7" s="13">
        <v>8</v>
      </c>
      <c r="K7" s="13" t="s">
        <v>18</v>
      </c>
      <c r="L7" s="15">
        <v>151.78</v>
      </c>
      <c r="M7" s="16">
        <v>151.78</v>
      </c>
    </row>
    <row r="8" spans="1:17" s="5" customFormat="1" x14ac:dyDescent="0.25">
      <c r="A8" s="12" t="s">
        <v>28</v>
      </c>
      <c r="B8" s="13" t="s">
        <v>29</v>
      </c>
      <c r="C8" s="14">
        <v>45056</v>
      </c>
      <c r="D8" s="13">
        <v>2023</v>
      </c>
      <c r="E8" s="13" t="s">
        <v>3347</v>
      </c>
      <c r="F8" s="13" t="s">
        <v>11</v>
      </c>
      <c r="G8" s="15">
        <v>1716.91</v>
      </c>
      <c r="H8" s="15">
        <v>1716.91</v>
      </c>
      <c r="I8" s="13">
        <v>7</v>
      </c>
      <c r="J8" s="13">
        <v>7</v>
      </c>
      <c r="K8" s="13" t="s">
        <v>18</v>
      </c>
      <c r="L8" s="15">
        <v>245.27285714285716</v>
      </c>
      <c r="M8" s="16">
        <v>245.27285714285716</v>
      </c>
    </row>
    <row r="9" spans="1:17" s="5" customFormat="1" x14ac:dyDescent="0.25">
      <c r="A9" s="12" t="s">
        <v>30</v>
      </c>
      <c r="B9" s="13" t="s">
        <v>31</v>
      </c>
      <c r="C9" s="14">
        <v>45385</v>
      </c>
      <c r="D9" s="13">
        <v>2024</v>
      </c>
      <c r="E9" s="13" t="s">
        <v>10</v>
      </c>
      <c r="F9" s="13" t="s">
        <v>34</v>
      </c>
      <c r="G9" s="15">
        <v>157.07</v>
      </c>
      <c r="H9" s="15">
        <v>157.07</v>
      </c>
      <c r="I9" s="13">
        <v>8</v>
      </c>
      <c r="J9" s="13">
        <v>8</v>
      </c>
      <c r="K9" s="13" t="s">
        <v>3346</v>
      </c>
      <c r="L9" s="15">
        <v>19.633749999999999</v>
      </c>
      <c r="M9" s="16">
        <v>19.633749999999999</v>
      </c>
    </row>
    <row r="10" spans="1:17" s="5" customFormat="1" x14ac:dyDescent="0.25">
      <c r="A10" s="12" t="s">
        <v>32</v>
      </c>
      <c r="B10" s="13" t="s">
        <v>33</v>
      </c>
      <c r="C10" s="14">
        <v>45071</v>
      </c>
      <c r="D10" s="13">
        <v>2023</v>
      </c>
      <c r="E10" s="13" t="s">
        <v>3347</v>
      </c>
      <c r="F10" s="13" t="s">
        <v>34</v>
      </c>
      <c r="G10" s="15">
        <v>604.16999999999996</v>
      </c>
      <c r="H10" s="15">
        <v>604.16999999999996</v>
      </c>
      <c r="I10" s="13">
        <v>4</v>
      </c>
      <c r="J10" s="13">
        <v>4</v>
      </c>
      <c r="K10" s="13" t="s">
        <v>35</v>
      </c>
      <c r="L10" s="15">
        <v>164.27409375000002</v>
      </c>
      <c r="M10" s="16">
        <v>164.27409375000002</v>
      </c>
    </row>
    <row r="11" spans="1:17" s="5" customFormat="1" x14ac:dyDescent="0.25">
      <c r="A11" s="12" t="s">
        <v>36</v>
      </c>
      <c r="B11" s="13" t="s">
        <v>37</v>
      </c>
      <c r="C11" s="14">
        <v>45168</v>
      </c>
      <c r="D11" s="13">
        <v>2023</v>
      </c>
      <c r="E11" s="13" t="s">
        <v>10</v>
      </c>
      <c r="F11" s="13" t="s">
        <v>22</v>
      </c>
      <c r="G11" s="15">
        <v>1498.65</v>
      </c>
      <c r="H11" s="15">
        <v>1498.65</v>
      </c>
      <c r="I11" s="13">
        <v>10</v>
      </c>
      <c r="J11" s="13">
        <v>10</v>
      </c>
      <c r="K11" s="13" t="s">
        <v>3346</v>
      </c>
      <c r="L11" s="15">
        <v>149.86500000000001</v>
      </c>
      <c r="M11" s="16">
        <v>149.86500000000001</v>
      </c>
    </row>
    <row r="12" spans="1:17" s="5" customFormat="1" x14ac:dyDescent="0.25">
      <c r="A12" s="12" t="s">
        <v>38</v>
      </c>
      <c r="B12" s="13" t="s">
        <v>39</v>
      </c>
      <c r="C12" s="14">
        <v>44964</v>
      </c>
      <c r="D12" s="13">
        <v>2023</v>
      </c>
      <c r="E12" s="13" t="s">
        <v>10</v>
      </c>
      <c r="F12" s="13" t="s">
        <v>11</v>
      </c>
      <c r="G12" s="15">
        <v>1747.8556666666666</v>
      </c>
      <c r="H12" s="15">
        <v>1747.8556666666666</v>
      </c>
      <c r="I12" s="13">
        <v>3</v>
      </c>
      <c r="J12" s="13">
        <v>3</v>
      </c>
      <c r="K12" s="13" t="s">
        <v>35</v>
      </c>
      <c r="L12" s="15">
        <v>582.61855555555553</v>
      </c>
      <c r="M12" s="16">
        <v>582.61855555555553</v>
      </c>
    </row>
    <row r="13" spans="1:17" s="5" customFormat="1" x14ac:dyDescent="0.25">
      <c r="A13" s="12" t="s">
        <v>40</v>
      </c>
      <c r="B13" s="13" t="s">
        <v>41</v>
      </c>
      <c r="C13" s="14">
        <v>45116</v>
      </c>
      <c r="D13" s="13">
        <v>2023</v>
      </c>
      <c r="E13" s="13" t="s">
        <v>10</v>
      </c>
      <c r="F13" s="13" t="s">
        <v>22</v>
      </c>
      <c r="G13" s="15">
        <v>924.82</v>
      </c>
      <c r="H13" s="15">
        <v>924.82</v>
      </c>
      <c r="I13" s="13">
        <v>10</v>
      </c>
      <c r="J13" s="13">
        <v>10</v>
      </c>
      <c r="K13" s="13" t="s">
        <v>15</v>
      </c>
      <c r="L13" s="15">
        <v>92.481999999999999</v>
      </c>
      <c r="M13" s="16">
        <v>92.481999999999999</v>
      </c>
    </row>
    <row r="14" spans="1:17" s="5" customFormat="1" x14ac:dyDescent="0.25">
      <c r="A14" s="12" t="s">
        <v>42</v>
      </c>
      <c r="B14" s="13" t="s">
        <v>43</v>
      </c>
      <c r="C14" s="14">
        <v>45497</v>
      </c>
      <c r="D14" s="13">
        <v>2024</v>
      </c>
      <c r="E14" s="13" t="s">
        <v>14</v>
      </c>
      <c r="F14" s="13" t="s">
        <v>34</v>
      </c>
      <c r="G14" s="15">
        <v>1774.52</v>
      </c>
      <c r="H14" s="15">
        <v>1774.52</v>
      </c>
      <c r="I14" s="13">
        <v>10</v>
      </c>
      <c r="J14" s="13">
        <v>10</v>
      </c>
      <c r="K14" s="13" t="s">
        <v>3348</v>
      </c>
      <c r="L14" s="15">
        <v>177.452</v>
      </c>
      <c r="M14" s="16">
        <v>177.452</v>
      </c>
    </row>
    <row r="15" spans="1:17" s="5" customFormat="1" x14ac:dyDescent="0.25">
      <c r="A15" s="12" t="s">
        <v>44</v>
      </c>
      <c r="B15" s="13" t="s">
        <v>45</v>
      </c>
      <c r="C15" s="14">
        <v>45729</v>
      </c>
      <c r="D15" s="13">
        <v>2025</v>
      </c>
      <c r="E15" s="13" t="s">
        <v>10</v>
      </c>
      <c r="F15" s="13" t="s">
        <v>34</v>
      </c>
      <c r="G15" s="15">
        <v>179.62</v>
      </c>
      <c r="H15" s="15">
        <v>179.62</v>
      </c>
      <c r="I15" s="13">
        <v>5</v>
      </c>
      <c r="J15" s="13">
        <v>5</v>
      </c>
      <c r="K15" s="13" t="s">
        <v>3348</v>
      </c>
      <c r="L15" s="15">
        <v>35.923999999999999</v>
      </c>
      <c r="M15" s="16">
        <v>35.923999999999999</v>
      </c>
    </row>
    <row r="16" spans="1:17" s="5" customFormat="1" x14ac:dyDescent="0.25">
      <c r="A16" s="12" t="s">
        <v>46</v>
      </c>
      <c r="B16" s="13" t="s">
        <v>47</v>
      </c>
      <c r="C16" s="14">
        <v>45149</v>
      </c>
      <c r="D16" s="13">
        <v>2023</v>
      </c>
      <c r="E16" s="13" t="s">
        <v>3347</v>
      </c>
      <c r="F16" s="13" t="s">
        <v>34</v>
      </c>
      <c r="G16" s="15">
        <v>1075.44</v>
      </c>
      <c r="H16" s="15">
        <v>1075.44</v>
      </c>
      <c r="I16" s="13">
        <v>10</v>
      </c>
      <c r="J16" s="13">
        <v>10</v>
      </c>
      <c r="K16" s="13" t="s">
        <v>35</v>
      </c>
      <c r="L16" s="15">
        <v>107.54400000000001</v>
      </c>
      <c r="M16" s="16">
        <v>107.54400000000001</v>
      </c>
    </row>
    <row r="17" spans="1:13" s="5" customFormat="1" x14ac:dyDescent="0.25">
      <c r="A17" s="12" t="s">
        <v>48</v>
      </c>
      <c r="B17" s="13" t="s">
        <v>49</v>
      </c>
      <c r="C17" s="14">
        <v>45579</v>
      </c>
      <c r="D17" s="13">
        <v>2024</v>
      </c>
      <c r="E17" s="13" t="s">
        <v>21</v>
      </c>
      <c r="F17" s="13" t="s">
        <v>34</v>
      </c>
      <c r="G17" s="15">
        <v>202.51</v>
      </c>
      <c r="H17" s="15">
        <v>202.51</v>
      </c>
      <c r="I17" s="13">
        <v>6</v>
      </c>
      <c r="J17" s="13">
        <v>6</v>
      </c>
      <c r="K17" s="13" t="s">
        <v>3346</v>
      </c>
      <c r="L17" s="15">
        <v>33.751666666666665</v>
      </c>
      <c r="M17" s="16">
        <v>33.751666666666665</v>
      </c>
    </row>
    <row r="18" spans="1:13" s="5" customFormat="1" x14ac:dyDescent="0.25">
      <c r="A18" s="12" t="s">
        <v>50</v>
      </c>
      <c r="B18" s="13" t="s">
        <v>51</v>
      </c>
      <c r="C18" s="14">
        <v>45226</v>
      </c>
      <c r="D18" s="13">
        <v>2023</v>
      </c>
      <c r="E18" s="13" t="s">
        <v>10</v>
      </c>
      <c r="F18" s="13" t="s">
        <v>34</v>
      </c>
      <c r="G18" s="15">
        <v>803.76</v>
      </c>
      <c r="H18" s="15">
        <v>803.76</v>
      </c>
      <c r="I18" s="13">
        <v>10</v>
      </c>
      <c r="J18" s="13">
        <v>10</v>
      </c>
      <c r="K18" s="13" t="s">
        <v>3348</v>
      </c>
      <c r="L18" s="15">
        <v>80.376000000000005</v>
      </c>
      <c r="M18" s="16">
        <v>80.376000000000005</v>
      </c>
    </row>
    <row r="19" spans="1:13" s="5" customFormat="1" x14ac:dyDescent="0.25">
      <c r="A19" s="12" t="s">
        <v>52</v>
      </c>
      <c r="B19" s="13" t="s">
        <v>53</v>
      </c>
      <c r="C19" s="14">
        <v>45916</v>
      </c>
      <c r="D19" s="13">
        <v>2025</v>
      </c>
      <c r="E19" s="13" t="s">
        <v>3347</v>
      </c>
      <c r="F19" s="13" t="s">
        <v>34</v>
      </c>
      <c r="G19" s="15">
        <v>1002.66</v>
      </c>
      <c r="H19" s="15">
        <v>1002.66</v>
      </c>
      <c r="I19" s="13">
        <v>4</v>
      </c>
      <c r="J19" s="13">
        <v>4</v>
      </c>
      <c r="K19" s="13" t="s">
        <v>3348</v>
      </c>
      <c r="L19" s="15">
        <v>250.66499999999999</v>
      </c>
      <c r="M19" s="16">
        <v>250.66499999999999</v>
      </c>
    </row>
    <row r="20" spans="1:13" s="5" customFormat="1" x14ac:dyDescent="0.25">
      <c r="A20" s="12" t="s">
        <v>54</v>
      </c>
      <c r="B20" s="13" t="s">
        <v>55</v>
      </c>
      <c r="C20" s="14">
        <v>45906</v>
      </c>
      <c r="D20" s="13">
        <v>2025</v>
      </c>
      <c r="E20" s="13" t="s">
        <v>14</v>
      </c>
      <c r="F20" s="13" t="s">
        <v>22</v>
      </c>
      <c r="G20" s="15">
        <v>1153.22</v>
      </c>
      <c r="H20" s="15">
        <v>1153.22</v>
      </c>
      <c r="I20" s="13">
        <v>1</v>
      </c>
      <c r="J20" s="13">
        <v>1</v>
      </c>
      <c r="K20" s="13" t="s">
        <v>3346</v>
      </c>
      <c r="L20" s="15">
        <v>1153.22</v>
      </c>
      <c r="M20" s="16">
        <v>1153.22</v>
      </c>
    </row>
    <row r="21" spans="1:13" s="5" customFormat="1" x14ac:dyDescent="0.25">
      <c r="A21" s="12" t="s">
        <v>56</v>
      </c>
      <c r="B21" s="13" t="s">
        <v>57</v>
      </c>
      <c r="C21" s="14">
        <v>45706</v>
      </c>
      <c r="D21" s="13">
        <v>2025</v>
      </c>
      <c r="E21" s="13" t="s">
        <v>3347</v>
      </c>
      <c r="F21" s="13" t="s">
        <v>34</v>
      </c>
      <c r="G21" s="15">
        <v>896.2</v>
      </c>
      <c r="H21" s="15">
        <v>896.2</v>
      </c>
      <c r="I21" s="13">
        <v>5</v>
      </c>
      <c r="J21" s="13">
        <v>5</v>
      </c>
      <c r="K21" s="13" t="s">
        <v>35</v>
      </c>
      <c r="L21" s="15">
        <v>179.24</v>
      </c>
      <c r="M21" s="16">
        <v>179.24</v>
      </c>
    </row>
    <row r="22" spans="1:13" s="5" customFormat="1" x14ac:dyDescent="0.25">
      <c r="A22" s="12" t="s">
        <v>58</v>
      </c>
      <c r="B22" s="13" t="s">
        <v>59</v>
      </c>
      <c r="C22" s="14">
        <v>45186</v>
      </c>
      <c r="D22" s="13">
        <v>2023</v>
      </c>
      <c r="E22" s="13" t="s">
        <v>3347</v>
      </c>
      <c r="F22" s="13" t="s">
        <v>22</v>
      </c>
      <c r="G22" s="15">
        <v>3404.1828095238097</v>
      </c>
      <c r="H22" s="15">
        <v>3404.1828095238097</v>
      </c>
      <c r="I22" s="13">
        <v>9</v>
      </c>
      <c r="J22" s="13">
        <v>9</v>
      </c>
      <c r="K22" s="13" t="s">
        <v>3346</v>
      </c>
      <c r="L22" s="15">
        <v>378.24253439153443</v>
      </c>
      <c r="M22" s="16">
        <v>378.24253439153443</v>
      </c>
    </row>
    <row r="23" spans="1:13" s="5" customFormat="1" x14ac:dyDescent="0.25">
      <c r="A23" s="12" t="s">
        <v>60</v>
      </c>
      <c r="B23" s="13" t="s">
        <v>61</v>
      </c>
      <c r="C23" s="14">
        <v>45204</v>
      </c>
      <c r="D23" s="13">
        <v>2023</v>
      </c>
      <c r="E23" s="13" t="s">
        <v>21</v>
      </c>
      <c r="F23" s="13" t="s">
        <v>25</v>
      </c>
      <c r="G23" s="15">
        <v>253.65</v>
      </c>
      <c r="H23" s="15">
        <v>253.65</v>
      </c>
      <c r="I23" s="13">
        <v>10</v>
      </c>
      <c r="J23" s="13">
        <v>10</v>
      </c>
      <c r="K23" s="13" t="s">
        <v>18</v>
      </c>
      <c r="L23" s="15">
        <v>25.365000000000002</v>
      </c>
      <c r="M23" s="16">
        <v>25.365000000000002</v>
      </c>
    </row>
    <row r="24" spans="1:13" s="5" customFormat="1" x14ac:dyDescent="0.25">
      <c r="A24" s="12" t="s">
        <v>62</v>
      </c>
      <c r="B24" s="13" t="s">
        <v>63</v>
      </c>
      <c r="C24" s="14">
        <v>45851</v>
      </c>
      <c r="D24" s="13">
        <v>2025</v>
      </c>
      <c r="E24" s="13" t="s">
        <v>14</v>
      </c>
      <c r="F24" s="13" t="s">
        <v>25</v>
      </c>
      <c r="G24" s="15">
        <v>1110.18</v>
      </c>
      <c r="H24" s="15">
        <v>1110.18</v>
      </c>
      <c r="I24" s="13">
        <v>4</v>
      </c>
      <c r="J24" s="13">
        <v>4</v>
      </c>
      <c r="K24" s="13" t="s">
        <v>18</v>
      </c>
      <c r="L24" s="15">
        <v>277.54500000000002</v>
      </c>
      <c r="M24" s="16">
        <v>277.54500000000002</v>
      </c>
    </row>
    <row r="25" spans="1:13" s="5" customFormat="1" x14ac:dyDescent="0.25">
      <c r="A25" s="12" t="s">
        <v>64</v>
      </c>
      <c r="B25" s="13" t="s">
        <v>65</v>
      </c>
      <c r="C25" s="14">
        <v>45795</v>
      </c>
      <c r="D25" s="13">
        <v>2025</v>
      </c>
      <c r="E25" s="13" t="s">
        <v>10</v>
      </c>
      <c r="F25" s="13" t="s">
        <v>34</v>
      </c>
      <c r="G25" s="15">
        <v>801.95</v>
      </c>
      <c r="H25" s="15">
        <v>801.95</v>
      </c>
      <c r="I25" s="13">
        <v>8</v>
      </c>
      <c r="J25" s="13">
        <v>8</v>
      </c>
      <c r="K25" s="13" t="s">
        <v>3346</v>
      </c>
      <c r="L25" s="15">
        <v>100.24375000000001</v>
      </c>
      <c r="M25" s="16">
        <v>100.24375000000001</v>
      </c>
    </row>
    <row r="26" spans="1:13" s="5" customFormat="1" x14ac:dyDescent="0.25">
      <c r="A26" s="12" t="s">
        <v>66</v>
      </c>
      <c r="B26" s="13" t="s">
        <v>67</v>
      </c>
      <c r="C26" s="14">
        <v>45570</v>
      </c>
      <c r="D26" s="13">
        <v>2024</v>
      </c>
      <c r="E26" s="13" t="s">
        <v>10</v>
      </c>
      <c r="F26" s="13" t="s">
        <v>22</v>
      </c>
      <c r="G26" s="15">
        <v>1444.05</v>
      </c>
      <c r="H26" s="15">
        <v>1444.05</v>
      </c>
      <c r="I26" s="13">
        <v>2</v>
      </c>
      <c r="J26" s="13">
        <v>2</v>
      </c>
      <c r="K26" s="13" t="s">
        <v>3348</v>
      </c>
      <c r="L26" s="15">
        <v>722.02499999999998</v>
      </c>
      <c r="M26" s="16">
        <v>722.02499999999998</v>
      </c>
    </row>
    <row r="27" spans="1:13" s="5" customFormat="1" x14ac:dyDescent="0.25">
      <c r="A27" s="12" t="s">
        <v>68</v>
      </c>
      <c r="B27" s="13" t="s">
        <v>69</v>
      </c>
      <c r="C27" s="14">
        <v>45855</v>
      </c>
      <c r="D27" s="13">
        <v>2025</v>
      </c>
      <c r="E27" s="13" t="s">
        <v>10</v>
      </c>
      <c r="F27" s="13" t="s">
        <v>34</v>
      </c>
      <c r="G27" s="15">
        <v>344.25</v>
      </c>
      <c r="H27" s="15">
        <v>344.25</v>
      </c>
      <c r="I27" s="13">
        <v>9</v>
      </c>
      <c r="J27" s="13">
        <v>9</v>
      </c>
      <c r="K27" s="13" t="s">
        <v>15</v>
      </c>
      <c r="L27" s="15">
        <v>38.25</v>
      </c>
      <c r="M27" s="16">
        <v>38.25</v>
      </c>
    </row>
    <row r="28" spans="1:13" s="5" customFormat="1" x14ac:dyDescent="0.25">
      <c r="A28" s="12" t="s">
        <v>70</v>
      </c>
      <c r="B28" s="13" t="s">
        <v>71</v>
      </c>
      <c r="C28" s="14">
        <v>45892</v>
      </c>
      <c r="D28" s="13">
        <v>2025</v>
      </c>
      <c r="E28" s="13" t="s">
        <v>10</v>
      </c>
      <c r="F28" s="13" t="s">
        <v>34</v>
      </c>
      <c r="G28" s="15">
        <v>787.32</v>
      </c>
      <c r="H28" s="15">
        <v>787.32</v>
      </c>
      <c r="I28" s="13">
        <v>7</v>
      </c>
      <c r="J28" s="13">
        <v>7</v>
      </c>
      <c r="K28" s="13" t="s">
        <v>3346</v>
      </c>
      <c r="L28" s="15">
        <v>112.47428571428573</v>
      </c>
      <c r="M28" s="16">
        <v>112.47428571428573</v>
      </c>
    </row>
    <row r="29" spans="1:13" s="5" customFormat="1" x14ac:dyDescent="0.25">
      <c r="A29" s="12" t="s">
        <v>72</v>
      </c>
      <c r="B29" s="13" t="s">
        <v>73</v>
      </c>
      <c r="C29" s="14">
        <v>45136</v>
      </c>
      <c r="D29" s="13">
        <v>2023</v>
      </c>
      <c r="E29" s="13" t="s">
        <v>3347</v>
      </c>
      <c r="F29" s="13" t="s">
        <v>22</v>
      </c>
      <c r="G29" s="15">
        <v>2801.5739999999996</v>
      </c>
      <c r="H29" s="15">
        <v>2801.5739999999996</v>
      </c>
      <c r="I29" s="13">
        <v>8</v>
      </c>
      <c r="J29" s="13">
        <v>8</v>
      </c>
      <c r="K29" s="13" t="s">
        <v>35</v>
      </c>
      <c r="L29" s="15">
        <v>350.19674999999995</v>
      </c>
      <c r="M29" s="16">
        <v>350.19674999999995</v>
      </c>
    </row>
    <row r="30" spans="1:13" s="5" customFormat="1" x14ac:dyDescent="0.25">
      <c r="A30" s="12" t="s">
        <v>74</v>
      </c>
      <c r="B30" s="13" t="s">
        <v>75</v>
      </c>
      <c r="C30" s="14">
        <v>45729</v>
      </c>
      <c r="D30" s="13">
        <v>2025</v>
      </c>
      <c r="E30" s="13" t="s">
        <v>10</v>
      </c>
      <c r="F30" s="13" t="s">
        <v>34</v>
      </c>
      <c r="G30" s="15">
        <v>2713.8864444444448</v>
      </c>
      <c r="H30" s="15">
        <v>2713.8864444444448</v>
      </c>
      <c r="I30" s="13">
        <v>8</v>
      </c>
      <c r="J30" s="13">
        <v>8</v>
      </c>
      <c r="K30" s="13" t="s">
        <v>35</v>
      </c>
      <c r="L30" s="15">
        <v>339.2358055555556</v>
      </c>
      <c r="M30" s="16">
        <v>339.2358055555556</v>
      </c>
    </row>
    <row r="31" spans="1:13" s="5" customFormat="1" x14ac:dyDescent="0.25">
      <c r="A31" s="12" t="s">
        <v>76</v>
      </c>
      <c r="B31" s="13" t="s">
        <v>77</v>
      </c>
      <c r="C31" s="14">
        <v>45214</v>
      </c>
      <c r="D31" s="13">
        <v>2023</v>
      </c>
      <c r="E31" s="13" t="s">
        <v>10</v>
      </c>
      <c r="F31" s="13" t="s">
        <v>11</v>
      </c>
      <c r="G31" s="15">
        <v>608.26</v>
      </c>
      <c r="H31" s="15">
        <v>608.26</v>
      </c>
      <c r="I31" s="13">
        <v>4</v>
      </c>
      <c r="J31" s="13">
        <v>4</v>
      </c>
      <c r="K31" s="13" t="s">
        <v>3346</v>
      </c>
      <c r="L31" s="15">
        <v>152.065</v>
      </c>
      <c r="M31" s="16">
        <v>152.065</v>
      </c>
    </row>
    <row r="32" spans="1:13" s="5" customFormat="1" x14ac:dyDescent="0.25">
      <c r="A32" s="12" t="s">
        <v>78</v>
      </c>
      <c r="B32" s="13" t="s">
        <v>79</v>
      </c>
      <c r="C32" s="14">
        <v>45823</v>
      </c>
      <c r="D32" s="13">
        <v>2025</v>
      </c>
      <c r="E32" s="13" t="s">
        <v>21</v>
      </c>
      <c r="F32" s="13" t="s">
        <v>34</v>
      </c>
      <c r="G32" s="15">
        <v>1069.98</v>
      </c>
      <c r="H32" s="15">
        <v>1069.98</v>
      </c>
      <c r="I32" s="13">
        <v>8</v>
      </c>
      <c r="J32" s="13">
        <v>8</v>
      </c>
      <c r="K32" s="13" t="s">
        <v>18</v>
      </c>
      <c r="L32" s="15">
        <v>133.7475</v>
      </c>
      <c r="M32" s="16">
        <v>133.7475</v>
      </c>
    </row>
    <row r="33" spans="1:13" s="5" customFormat="1" x14ac:dyDescent="0.25">
      <c r="A33" s="12" t="s">
        <v>80</v>
      </c>
      <c r="B33" s="13" t="s">
        <v>81</v>
      </c>
      <c r="C33" s="14">
        <v>45650</v>
      </c>
      <c r="D33" s="13">
        <v>2024</v>
      </c>
      <c r="E33" s="13" t="s">
        <v>21</v>
      </c>
      <c r="F33" s="13" t="s">
        <v>22</v>
      </c>
      <c r="G33" s="15">
        <v>1291.2399</v>
      </c>
      <c r="H33" s="15">
        <v>1291.2399</v>
      </c>
      <c r="I33" s="13">
        <v>6</v>
      </c>
      <c r="J33" s="13">
        <v>6</v>
      </c>
      <c r="K33" s="13" t="s">
        <v>3346</v>
      </c>
      <c r="L33" s="15">
        <v>215.20665</v>
      </c>
      <c r="M33" s="16">
        <v>215.20665</v>
      </c>
    </row>
    <row r="34" spans="1:13" s="5" customFormat="1" x14ac:dyDescent="0.25">
      <c r="A34" s="12" t="s">
        <v>82</v>
      </c>
      <c r="B34" s="13" t="s">
        <v>83</v>
      </c>
      <c r="C34" s="14">
        <v>45151</v>
      </c>
      <c r="D34" s="13">
        <v>2023</v>
      </c>
      <c r="E34" s="13" t="s">
        <v>14</v>
      </c>
      <c r="F34" s="13" t="s">
        <v>11</v>
      </c>
      <c r="G34" s="15">
        <v>1291.1766666666667</v>
      </c>
      <c r="H34" s="15">
        <v>1291.1766666666667</v>
      </c>
      <c r="I34" s="13">
        <v>4</v>
      </c>
      <c r="J34" s="13">
        <v>4</v>
      </c>
      <c r="K34" s="13" t="s">
        <v>15</v>
      </c>
      <c r="L34" s="15">
        <v>322.79416666666668</v>
      </c>
      <c r="M34" s="16">
        <v>322.79416666666668</v>
      </c>
    </row>
    <row r="35" spans="1:13" s="5" customFormat="1" x14ac:dyDescent="0.25">
      <c r="A35" s="12" t="s">
        <v>84</v>
      </c>
      <c r="B35" s="13" t="s">
        <v>85</v>
      </c>
      <c r="C35" s="14">
        <v>45731</v>
      </c>
      <c r="D35" s="13">
        <v>2025</v>
      </c>
      <c r="E35" s="13" t="s">
        <v>14</v>
      </c>
      <c r="F35" s="13" t="s">
        <v>22</v>
      </c>
      <c r="G35" s="15">
        <v>1787.89</v>
      </c>
      <c r="H35" s="15">
        <v>1787.89</v>
      </c>
      <c r="I35" s="13">
        <v>2</v>
      </c>
      <c r="J35" s="13">
        <v>2</v>
      </c>
      <c r="K35" s="13" t="s">
        <v>3346</v>
      </c>
      <c r="L35" s="15">
        <v>893.94500000000005</v>
      </c>
      <c r="M35" s="16">
        <v>893.94500000000005</v>
      </c>
    </row>
    <row r="36" spans="1:13" s="5" customFormat="1" x14ac:dyDescent="0.25">
      <c r="A36" s="12" t="s">
        <v>86</v>
      </c>
      <c r="B36" s="13" t="s">
        <v>87</v>
      </c>
      <c r="C36" s="14">
        <v>45684</v>
      </c>
      <c r="D36" s="13">
        <v>2025</v>
      </c>
      <c r="E36" s="13" t="s">
        <v>3347</v>
      </c>
      <c r="F36" s="13" t="s">
        <v>11</v>
      </c>
      <c r="G36" s="15">
        <v>1299.95</v>
      </c>
      <c r="H36" s="15">
        <v>1299.95</v>
      </c>
      <c r="I36" s="13">
        <v>9</v>
      </c>
      <c r="J36" s="13">
        <v>9</v>
      </c>
      <c r="K36" s="13" t="s">
        <v>3346</v>
      </c>
      <c r="L36" s="15">
        <v>144.4388888888889</v>
      </c>
      <c r="M36" s="16">
        <v>144.4388888888889</v>
      </c>
    </row>
    <row r="37" spans="1:13" s="5" customFormat="1" x14ac:dyDescent="0.25">
      <c r="A37" s="12" t="s">
        <v>88</v>
      </c>
      <c r="B37" s="13" t="s">
        <v>89</v>
      </c>
      <c r="C37" s="14">
        <v>44949</v>
      </c>
      <c r="D37" s="13">
        <v>2023</v>
      </c>
      <c r="E37" s="13" t="s">
        <v>21</v>
      </c>
      <c r="F37" s="13" t="s">
        <v>22</v>
      </c>
      <c r="G37" s="15">
        <v>591.9</v>
      </c>
      <c r="H37" s="15">
        <v>591.9</v>
      </c>
      <c r="I37" s="13">
        <v>2</v>
      </c>
      <c r="J37" s="13">
        <v>2</v>
      </c>
      <c r="K37" s="13" t="s">
        <v>18</v>
      </c>
      <c r="L37" s="15">
        <v>295.95</v>
      </c>
      <c r="M37" s="16">
        <v>295.95</v>
      </c>
    </row>
    <row r="38" spans="1:13" s="5" customFormat="1" x14ac:dyDescent="0.25">
      <c r="A38" s="12" t="s">
        <v>90</v>
      </c>
      <c r="B38" s="13" t="s">
        <v>91</v>
      </c>
      <c r="C38" s="14">
        <v>45529</v>
      </c>
      <c r="D38" s="13">
        <v>2024</v>
      </c>
      <c r="E38" s="13" t="s">
        <v>14</v>
      </c>
      <c r="F38" s="13" t="s">
        <v>11</v>
      </c>
      <c r="G38" s="15">
        <v>805.52</v>
      </c>
      <c r="H38" s="15">
        <v>805.52</v>
      </c>
      <c r="I38" s="13">
        <v>1</v>
      </c>
      <c r="J38" s="13">
        <v>1</v>
      </c>
      <c r="K38" s="13" t="s">
        <v>3348</v>
      </c>
      <c r="L38" s="15">
        <v>805.52</v>
      </c>
      <c r="M38" s="16">
        <v>805.52</v>
      </c>
    </row>
    <row r="39" spans="1:13" s="5" customFormat="1" x14ac:dyDescent="0.25">
      <c r="A39" s="12" t="s">
        <v>92</v>
      </c>
      <c r="B39" s="13" t="s">
        <v>93</v>
      </c>
      <c r="C39" s="14">
        <v>45651</v>
      </c>
      <c r="D39" s="13">
        <v>2024</v>
      </c>
      <c r="E39" s="13" t="s">
        <v>3347</v>
      </c>
      <c r="F39" s="13" t="s">
        <v>34</v>
      </c>
      <c r="G39" s="15">
        <v>90.84</v>
      </c>
      <c r="H39" s="15">
        <v>90.84</v>
      </c>
      <c r="I39" s="13">
        <v>1</v>
      </c>
      <c r="J39" s="13">
        <v>1</v>
      </c>
      <c r="K39" s="13" t="s">
        <v>3348</v>
      </c>
      <c r="L39" s="15">
        <v>90.84</v>
      </c>
      <c r="M39" s="16">
        <v>90.84</v>
      </c>
    </row>
    <row r="40" spans="1:13" s="5" customFormat="1" x14ac:dyDescent="0.25">
      <c r="A40" s="12" t="s">
        <v>94</v>
      </c>
      <c r="B40" s="13" t="s">
        <v>95</v>
      </c>
      <c r="C40" s="14">
        <v>45669</v>
      </c>
      <c r="D40" s="13">
        <v>2025</v>
      </c>
      <c r="E40" s="13" t="s">
        <v>21</v>
      </c>
      <c r="F40" s="13" t="s">
        <v>34</v>
      </c>
      <c r="G40" s="15">
        <v>1473.2333035714287</v>
      </c>
      <c r="H40" s="15">
        <v>1473.2333035714287</v>
      </c>
      <c r="I40" s="13">
        <v>9</v>
      </c>
      <c r="J40" s="13">
        <v>9</v>
      </c>
      <c r="K40" s="13" t="s">
        <v>18</v>
      </c>
      <c r="L40" s="15">
        <v>163.69258928571429</v>
      </c>
      <c r="M40" s="16">
        <v>163.69258928571429</v>
      </c>
    </row>
    <row r="41" spans="1:13" s="5" customFormat="1" x14ac:dyDescent="0.25">
      <c r="A41" s="12" t="s">
        <v>96</v>
      </c>
      <c r="B41" s="13" t="s">
        <v>97</v>
      </c>
      <c r="C41" s="14">
        <v>45057</v>
      </c>
      <c r="D41" s="13">
        <v>2023</v>
      </c>
      <c r="E41" s="13" t="s">
        <v>3347</v>
      </c>
      <c r="F41" s="13" t="s">
        <v>25</v>
      </c>
      <c r="G41" s="15">
        <v>1563.46</v>
      </c>
      <c r="H41" s="15">
        <v>1563.46</v>
      </c>
      <c r="I41" s="13">
        <v>1</v>
      </c>
      <c r="J41" s="13">
        <v>1</v>
      </c>
      <c r="K41" s="13" t="s">
        <v>15</v>
      </c>
      <c r="L41" s="15">
        <v>1563.46</v>
      </c>
      <c r="M41" s="16">
        <v>1563.46</v>
      </c>
    </row>
    <row r="42" spans="1:13" s="5" customFormat="1" x14ac:dyDescent="0.25">
      <c r="A42" s="12" t="s">
        <v>98</v>
      </c>
      <c r="B42" s="13" t="s">
        <v>99</v>
      </c>
      <c r="C42" s="14">
        <v>45604</v>
      </c>
      <c r="D42" s="13">
        <v>2024</v>
      </c>
      <c r="E42" s="13" t="s">
        <v>10</v>
      </c>
      <c r="F42" s="13" t="s">
        <v>11</v>
      </c>
      <c r="G42" s="15">
        <v>853.63</v>
      </c>
      <c r="H42" s="15">
        <v>853.63</v>
      </c>
      <c r="I42" s="13">
        <v>10</v>
      </c>
      <c r="J42" s="13">
        <v>10</v>
      </c>
      <c r="K42" s="13" t="s">
        <v>15</v>
      </c>
      <c r="L42" s="15">
        <v>85.363</v>
      </c>
      <c r="M42" s="16">
        <v>85.363</v>
      </c>
    </row>
    <row r="43" spans="1:13" s="5" customFormat="1" x14ac:dyDescent="0.25">
      <c r="A43" s="12" t="s">
        <v>100</v>
      </c>
      <c r="B43" s="13" t="s">
        <v>101</v>
      </c>
      <c r="C43" s="14">
        <v>45340</v>
      </c>
      <c r="D43" s="13">
        <v>2024</v>
      </c>
      <c r="E43" s="13" t="s">
        <v>3347</v>
      </c>
      <c r="F43" s="13" t="s">
        <v>34</v>
      </c>
      <c r="G43" s="15">
        <v>1564.49</v>
      </c>
      <c r="H43" s="15">
        <v>1564.49</v>
      </c>
      <c r="I43" s="13">
        <v>6</v>
      </c>
      <c r="J43" s="13">
        <v>6</v>
      </c>
      <c r="K43" s="13" t="s">
        <v>3346</v>
      </c>
      <c r="L43" s="15">
        <v>260.74833333333333</v>
      </c>
      <c r="M43" s="16">
        <v>260.74833333333333</v>
      </c>
    </row>
    <row r="44" spans="1:13" s="5" customFormat="1" x14ac:dyDescent="0.25">
      <c r="A44" s="12" t="s">
        <v>102</v>
      </c>
      <c r="B44" s="13" t="s">
        <v>103</v>
      </c>
      <c r="C44" s="14">
        <v>45600</v>
      </c>
      <c r="D44" s="13">
        <v>2024</v>
      </c>
      <c r="E44" s="13" t="s">
        <v>10</v>
      </c>
      <c r="F44" s="13" t="s">
        <v>22</v>
      </c>
      <c r="G44" s="15">
        <v>388.29</v>
      </c>
      <c r="H44" s="15">
        <v>388.29</v>
      </c>
      <c r="I44" s="13">
        <v>6</v>
      </c>
      <c r="J44" s="13">
        <v>6</v>
      </c>
      <c r="K44" s="13" t="s">
        <v>35</v>
      </c>
      <c r="L44" s="15">
        <v>64.715000000000003</v>
      </c>
      <c r="M44" s="16">
        <v>64.715000000000003</v>
      </c>
    </row>
    <row r="45" spans="1:13" s="5" customFormat="1" x14ac:dyDescent="0.25">
      <c r="A45" s="12" t="s">
        <v>104</v>
      </c>
      <c r="B45" s="13" t="s">
        <v>105</v>
      </c>
      <c r="C45" s="14">
        <v>44946</v>
      </c>
      <c r="D45" s="13">
        <v>2023</v>
      </c>
      <c r="E45" s="13" t="s">
        <v>3347</v>
      </c>
      <c r="F45" s="13" t="s">
        <v>22</v>
      </c>
      <c r="G45" s="15">
        <v>1473.7322486772484</v>
      </c>
      <c r="H45" s="15">
        <v>1473.7322486772484</v>
      </c>
      <c r="I45" s="13">
        <v>8</v>
      </c>
      <c r="J45" s="13">
        <v>8</v>
      </c>
      <c r="K45" s="13" t="s">
        <v>18</v>
      </c>
      <c r="L45" s="15">
        <v>184.21653108465605</v>
      </c>
      <c r="M45" s="16">
        <v>184.21653108465605</v>
      </c>
    </row>
    <row r="46" spans="1:13" s="5" customFormat="1" x14ac:dyDescent="0.25">
      <c r="A46" s="12" t="s">
        <v>106</v>
      </c>
      <c r="B46" s="13" t="s">
        <v>107</v>
      </c>
      <c r="C46" s="14">
        <v>45923</v>
      </c>
      <c r="D46" s="13">
        <v>2025</v>
      </c>
      <c r="E46" s="13" t="s">
        <v>10</v>
      </c>
      <c r="F46" s="13" t="s">
        <v>11</v>
      </c>
      <c r="G46" s="15">
        <v>1984.26</v>
      </c>
      <c r="H46" s="15">
        <v>1984.26</v>
      </c>
      <c r="I46" s="13">
        <v>9</v>
      </c>
      <c r="J46" s="13">
        <v>9</v>
      </c>
      <c r="K46" s="13" t="s">
        <v>15</v>
      </c>
      <c r="L46" s="15">
        <v>220.47333333333333</v>
      </c>
      <c r="M46" s="16">
        <v>220.47333333333333</v>
      </c>
    </row>
    <row r="47" spans="1:13" s="5" customFormat="1" x14ac:dyDescent="0.25">
      <c r="A47" s="12" t="s">
        <v>108</v>
      </c>
      <c r="B47" s="13" t="s">
        <v>109</v>
      </c>
      <c r="C47" s="14">
        <v>44862</v>
      </c>
      <c r="D47" s="13">
        <v>2022</v>
      </c>
      <c r="E47" s="13" t="s">
        <v>10</v>
      </c>
      <c r="F47" s="13" t="s">
        <v>22</v>
      </c>
      <c r="G47" s="15">
        <v>1980.8503333333333</v>
      </c>
      <c r="H47" s="15">
        <v>1980.8503333333333</v>
      </c>
      <c r="I47" s="13">
        <v>6</v>
      </c>
      <c r="J47" s="13">
        <v>6</v>
      </c>
      <c r="K47" s="13" t="s">
        <v>3346</v>
      </c>
      <c r="L47" s="15">
        <v>330.1417222222222</v>
      </c>
      <c r="M47" s="16">
        <v>330.1417222222222</v>
      </c>
    </row>
    <row r="48" spans="1:13" s="5" customFormat="1" x14ac:dyDescent="0.25">
      <c r="A48" s="12" t="s">
        <v>110</v>
      </c>
      <c r="B48" s="13" t="s">
        <v>111</v>
      </c>
      <c r="C48" s="14">
        <v>45664</v>
      </c>
      <c r="D48" s="13">
        <v>2025</v>
      </c>
      <c r="E48" s="13" t="s">
        <v>21</v>
      </c>
      <c r="F48" s="13" t="s">
        <v>22</v>
      </c>
      <c r="G48" s="15">
        <v>1596.95</v>
      </c>
      <c r="H48" s="15">
        <v>1596.95</v>
      </c>
      <c r="I48" s="13">
        <v>4</v>
      </c>
      <c r="J48" s="13">
        <v>4</v>
      </c>
      <c r="K48" s="13" t="s">
        <v>3346</v>
      </c>
      <c r="L48" s="15">
        <v>399.23750000000001</v>
      </c>
      <c r="M48" s="16">
        <v>399.23750000000001</v>
      </c>
    </row>
    <row r="49" spans="1:13" s="5" customFormat="1" x14ac:dyDescent="0.25">
      <c r="A49" s="12" t="s">
        <v>112</v>
      </c>
      <c r="B49" s="13" t="s">
        <v>113</v>
      </c>
      <c r="C49" s="14">
        <v>45487</v>
      </c>
      <c r="D49" s="13">
        <v>2024</v>
      </c>
      <c r="E49" s="13" t="s">
        <v>14</v>
      </c>
      <c r="F49" s="13" t="s">
        <v>22</v>
      </c>
      <c r="G49" s="15">
        <v>700.29</v>
      </c>
      <c r="H49" s="15">
        <v>700.29</v>
      </c>
      <c r="I49" s="13">
        <v>5</v>
      </c>
      <c r="J49" s="13">
        <v>5</v>
      </c>
      <c r="K49" s="13" t="s">
        <v>3346</v>
      </c>
      <c r="L49" s="15">
        <v>140.05799999999999</v>
      </c>
      <c r="M49" s="16">
        <v>138.48499553571429</v>
      </c>
    </row>
    <row r="50" spans="1:13" s="5" customFormat="1" x14ac:dyDescent="0.25">
      <c r="A50" s="12" t="s">
        <v>114</v>
      </c>
      <c r="B50" s="13" t="s">
        <v>115</v>
      </c>
      <c r="C50" s="14">
        <v>45686</v>
      </c>
      <c r="D50" s="13">
        <v>2025</v>
      </c>
      <c r="E50" s="13" t="s">
        <v>3347</v>
      </c>
      <c r="F50" s="13" t="s">
        <v>22</v>
      </c>
      <c r="G50" s="15">
        <v>1876.56</v>
      </c>
      <c r="H50" s="15">
        <v>1876.56</v>
      </c>
      <c r="I50" s="13">
        <v>2</v>
      </c>
      <c r="J50" s="13">
        <v>2</v>
      </c>
      <c r="K50" s="13" t="s">
        <v>18</v>
      </c>
      <c r="L50" s="15">
        <v>938.28</v>
      </c>
      <c r="M50" s="16">
        <v>938.28</v>
      </c>
    </row>
    <row r="51" spans="1:13" s="5" customFormat="1" x14ac:dyDescent="0.25">
      <c r="A51" s="12" t="s">
        <v>116</v>
      </c>
      <c r="B51" s="13" t="s">
        <v>117</v>
      </c>
      <c r="C51" s="14">
        <v>44997</v>
      </c>
      <c r="D51" s="13">
        <v>2023</v>
      </c>
      <c r="E51" s="13" t="s">
        <v>21</v>
      </c>
      <c r="F51" s="13" t="s">
        <v>11</v>
      </c>
      <c r="G51" s="15">
        <v>917.36</v>
      </c>
      <c r="H51" s="15">
        <v>917.36</v>
      </c>
      <c r="I51" s="13">
        <v>10</v>
      </c>
      <c r="J51" s="13">
        <v>10</v>
      </c>
      <c r="K51" s="13" t="s">
        <v>3348</v>
      </c>
      <c r="L51" s="15">
        <v>91.736000000000004</v>
      </c>
      <c r="M51" s="16">
        <v>91.736000000000004</v>
      </c>
    </row>
    <row r="52" spans="1:13" s="5" customFormat="1" x14ac:dyDescent="0.25">
      <c r="A52" s="12" t="s">
        <v>118</v>
      </c>
      <c r="B52" s="13" t="s">
        <v>119</v>
      </c>
      <c r="C52" s="14">
        <v>45591</v>
      </c>
      <c r="D52" s="13">
        <v>2024</v>
      </c>
      <c r="E52" s="13" t="s">
        <v>10</v>
      </c>
      <c r="F52" s="13" t="s">
        <v>11</v>
      </c>
      <c r="G52" s="15">
        <v>779.44</v>
      </c>
      <c r="H52" s="15">
        <v>779.44</v>
      </c>
      <c r="I52" s="13">
        <v>10</v>
      </c>
      <c r="J52" s="13">
        <v>10</v>
      </c>
      <c r="K52" s="13" t="s">
        <v>3346</v>
      </c>
      <c r="L52" s="15">
        <v>77.944000000000003</v>
      </c>
      <c r="M52" s="16">
        <v>77.944000000000003</v>
      </c>
    </row>
    <row r="53" spans="1:13" s="5" customFormat="1" x14ac:dyDescent="0.25">
      <c r="A53" s="12" t="s">
        <v>120</v>
      </c>
      <c r="B53" s="13" t="s">
        <v>121</v>
      </c>
      <c r="C53" s="14">
        <v>45614</v>
      </c>
      <c r="D53" s="13">
        <v>2024</v>
      </c>
      <c r="E53" s="13" t="s">
        <v>21</v>
      </c>
      <c r="F53" s="13" t="s">
        <v>25</v>
      </c>
      <c r="G53" s="15">
        <v>170.59</v>
      </c>
      <c r="H53" s="15">
        <v>170.59</v>
      </c>
      <c r="I53" s="13">
        <v>6</v>
      </c>
      <c r="J53" s="13">
        <v>6</v>
      </c>
      <c r="K53" s="13" t="s">
        <v>3346</v>
      </c>
      <c r="L53" s="15">
        <v>28.431666666666668</v>
      </c>
      <c r="M53" s="16">
        <v>28.431666666666668</v>
      </c>
    </row>
    <row r="54" spans="1:13" s="5" customFormat="1" x14ac:dyDescent="0.25">
      <c r="A54" s="12" t="s">
        <v>122</v>
      </c>
      <c r="B54" s="13" t="s">
        <v>123</v>
      </c>
      <c r="C54" s="14">
        <v>45443</v>
      </c>
      <c r="D54" s="13">
        <v>2024</v>
      </c>
      <c r="E54" s="13" t="s">
        <v>10</v>
      </c>
      <c r="F54" s="13" t="s">
        <v>11</v>
      </c>
      <c r="G54" s="15">
        <v>1930.94</v>
      </c>
      <c r="H54" s="15">
        <v>1930.94</v>
      </c>
      <c r="I54" s="13">
        <v>6</v>
      </c>
      <c r="J54" s="13">
        <v>6</v>
      </c>
      <c r="K54" s="13" t="s">
        <v>15</v>
      </c>
      <c r="L54" s="15">
        <v>321.82333333333332</v>
      </c>
      <c r="M54" s="16">
        <v>321.82333333333332</v>
      </c>
    </row>
    <row r="55" spans="1:13" s="5" customFormat="1" x14ac:dyDescent="0.25">
      <c r="A55" s="12" t="s">
        <v>124</v>
      </c>
      <c r="B55" s="13" t="s">
        <v>125</v>
      </c>
      <c r="C55" s="14">
        <v>45561</v>
      </c>
      <c r="D55" s="13">
        <v>2024</v>
      </c>
      <c r="E55" s="13" t="s">
        <v>14</v>
      </c>
      <c r="F55" s="13" t="s">
        <v>34</v>
      </c>
      <c r="G55" s="15">
        <v>100.19</v>
      </c>
      <c r="H55" s="15">
        <v>100.19</v>
      </c>
      <c r="I55" s="13">
        <v>1</v>
      </c>
      <c r="J55" s="13">
        <v>1</v>
      </c>
      <c r="K55" s="13" t="s">
        <v>3348</v>
      </c>
      <c r="L55" s="15">
        <v>100.19</v>
      </c>
      <c r="M55" s="16">
        <v>100.19</v>
      </c>
    </row>
    <row r="56" spans="1:13" s="5" customFormat="1" x14ac:dyDescent="0.25">
      <c r="A56" s="12" t="s">
        <v>126</v>
      </c>
      <c r="B56" s="13" t="s">
        <v>127</v>
      </c>
      <c r="C56" s="14">
        <v>45346</v>
      </c>
      <c r="D56" s="13">
        <v>2024</v>
      </c>
      <c r="E56" s="13" t="s">
        <v>3347</v>
      </c>
      <c r="F56" s="13" t="s">
        <v>34</v>
      </c>
      <c r="G56" s="15">
        <v>789.66</v>
      </c>
      <c r="H56" s="15">
        <v>789.66</v>
      </c>
      <c r="I56" s="13">
        <v>9</v>
      </c>
      <c r="J56" s="13">
        <v>9</v>
      </c>
      <c r="K56" s="13" t="s">
        <v>3346</v>
      </c>
      <c r="L56" s="15">
        <v>87.74</v>
      </c>
      <c r="M56" s="16">
        <v>87.74</v>
      </c>
    </row>
    <row r="57" spans="1:13" s="5" customFormat="1" x14ac:dyDescent="0.25">
      <c r="A57" s="12" t="s">
        <v>128</v>
      </c>
      <c r="B57" s="13" t="s">
        <v>129</v>
      </c>
      <c r="C57" s="14">
        <v>45778</v>
      </c>
      <c r="D57" s="13">
        <v>2025</v>
      </c>
      <c r="E57" s="13" t="s">
        <v>10</v>
      </c>
      <c r="F57" s="13" t="s">
        <v>22</v>
      </c>
      <c r="G57" s="15">
        <v>48.17</v>
      </c>
      <c r="H57" s="15">
        <v>48.17</v>
      </c>
      <c r="I57" s="13">
        <v>4</v>
      </c>
      <c r="J57" s="13">
        <v>4</v>
      </c>
      <c r="K57" s="13" t="s">
        <v>18</v>
      </c>
      <c r="L57" s="15">
        <v>12.0425</v>
      </c>
      <c r="M57" s="16">
        <v>12.0425</v>
      </c>
    </row>
    <row r="58" spans="1:13" s="5" customFormat="1" x14ac:dyDescent="0.25">
      <c r="A58" s="12" t="s">
        <v>130</v>
      </c>
      <c r="B58" s="13" t="s">
        <v>131</v>
      </c>
      <c r="C58" s="14">
        <v>45820</v>
      </c>
      <c r="D58" s="13">
        <v>2025</v>
      </c>
      <c r="E58" s="13" t="s">
        <v>21</v>
      </c>
      <c r="F58" s="13" t="s">
        <v>34</v>
      </c>
      <c r="G58" s="15">
        <v>996.52</v>
      </c>
      <c r="H58" s="15">
        <v>996.52</v>
      </c>
      <c r="I58" s="13">
        <v>5</v>
      </c>
      <c r="J58" s="13">
        <v>5</v>
      </c>
      <c r="K58" s="13" t="s">
        <v>35</v>
      </c>
      <c r="L58" s="15">
        <v>199.304</v>
      </c>
      <c r="M58" s="16">
        <v>199.304</v>
      </c>
    </row>
    <row r="59" spans="1:13" s="5" customFormat="1" x14ac:dyDescent="0.25">
      <c r="A59" s="12" t="s">
        <v>132</v>
      </c>
      <c r="B59" s="13" t="s">
        <v>133</v>
      </c>
      <c r="C59" s="14">
        <v>45858</v>
      </c>
      <c r="D59" s="13">
        <v>2025</v>
      </c>
      <c r="E59" s="13" t="s">
        <v>10</v>
      </c>
      <c r="F59" s="13" t="s">
        <v>25</v>
      </c>
      <c r="G59" s="15">
        <v>1314.0005714285714</v>
      </c>
      <c r="H59" s="15">
        <v>1314.0005714285714</v>
      </c>
      <c r="I59" s="13">
        <v>9</v>
      </c>
      <c r="J59" s="13">
        <v>9</v>
      </c>
      <c r="K59" s="13" t="s">
        <v>18</v>
      </c>
      <c r="L59" s="15">
        <v>146.0000634920635</v>
      </c>
      <c r="M59" s="16">
        <v>146.0000634920635</v>
      </c>
    </row>
    <row r="60" spans="1:13" s="5" customFormat="1" x14ac:dyDescent="0.25">
      <c r="A60" s="12" t="s">
        <v>134</v>
      </c>
      <c r="B60" s="13" t="s">
        <v>135</v>
      </c>
      <c r="C60" s="14">
        <v>45522</v>
      </c>
      <c r="D60" s="13">
        <v>2024</v>
      </c>
      <c r="E60" s="13" t="s">
        <v>3347</v>
      </c>
      <c r="F60" s="13" t="s">
        <v>34</v>
      </c>
      <c r="G60" s="15">
        <v>1035.44</v>
      </c>
      <c r="H60" s="15">
        <v>1035.44</v>
      </c>
      <c r="I60" s="13">
        <v>2</v>
      </c>
      <c r="J60" s="13">
        <v>2</v>
      </c>
      <c r="K60" s="13" t="s">
        <v>18</v>
      </c>
      <c r="L60" s="15">
        <v>517.72</v>
      </c>
      <c r="M60" s="16">
        <v>517.72</v>
      </c>
    </row>
    <row r="61" spans="1:13" s="5" customFormat="1" x14ac:dyDescent="0.25">
      <c r="A61" s="12" t="s">
        <v>136</v>
      </c>
      <c r="B61" s="13" t="s">
        <v>137</v>
      </c>
      <c r="C61" s="14">
        <v>45901</v>
      </c>
      <c r="D61" s="13">
        <v>2025</v>
      </c>
      <c r="E61" s="13" t="s">
        <v>21</v>
      </c>
      <c r="F61" s="13" t="s">
        <v>34</v>
      </c>
      <c r="G61" s="15">
        <v>1021.02</v>
      </c>
      <c r="H61" s="15">
        <v>1021.02</v>
      </c>
      <c r="I61" s="13">
        <v>4</v>
      </c>
      <c r="J61" s="13">
        <v>4</v>
      </c>
      <c r="K61" s="13" t="s">
        <v>3346</v>
      </c>
      <c r="L61" s="15">
        <v>255.255</v>
      </c>
      <c r="M61" s="16">
        <v>255.255</v>
      </c>
    </row>
    <row r="62" spans="1:13" s="5" customFormat="1" x14ac:dyDescent="0.25">
      <c r="A62" s="12" t="s">
        <v>138</v>
      </c>
      <c r="B62" s="13" t="s">
        <v>139</v>
      </c>
      <c r="C62" s="14">
        <v>45181</v>
      </c>
      <c r="D62" s="13">
        <v>2023</v>
      </c>
      <c r="E62" s="13" t="s">
        <v>3347</v>
      </c>
      <c r="F62" s="13" t="s">
        <v>11</v>
      </c>
      <c r="G62" s="15">
        <v>64.760000000000005</v>
      </c>
      <c r="H62" s="15">
        <v>64.760000000000005</v>
      </c>
      <c r="I62" s="13">
        <v>3</v>
      </c>
      <c r="J62" s="13">
        <v>3</v>
      </c>
      <c r="K62" s="13" t="s">
        <v>35</v>
      </c>
      <c r="L62" s="15">
        <v>21.58666666666667</v>
      </c>
      <c r="M62" s="16">
        <v>21.58666666666667</v>
      </c>
    </row>
    <row r="63" spans="1:13" s="5" customFormat="1" x14ac:dyDescent="0.25">
      <c r="A63" s="12" t="s">
        <v>140</v>
      </c>
      <c r="B63" s="13" t="s">
        <v>141</v>
      </c>
      <c r="C63" s="14">
        <v>45423</v>
      </c>
      <c r="D63" s="13">
        <v>2024</v>
      </c>
      <c r="E63" s="13" t="s">
        <v>3347</v>
      </c>
      <c r="F63" s="13" t="s">
        <v>22</v>
      </c>
      <c r="G63" s="15">
        <v>216.07422839506177</v>
      </c>
      <c r="H63" s="15">
        <v>216.07422839506177</v>
      </c>
      <c r="I63" s="13">
        <v>1</v>
      </c>
      <c r="J63" s="13">
        <v>1</v>
      </c>
      <c r="K63" s="13" t="s">
        <v>15</v>
      </c>
      <c r="L63" s="15">
        <v>216.07422839506177</v>
      </c>
      <c r="M63" s="16">
        <v>216.07422839506177</v>
      </c>
    </row>
    <row r="64" spans="1:13" s="5" customFormat="1" x14ac:dyDescent="0.25">
      <c r="A64" s="12" t="s">
        <v>142</v>
      </c>
      <c r="B64" s="13" t="s">
        <v>143</v>
      </c>
      <c r="C64" s="14">
        <v>45012</v>
      </c>
      <c r="D64" s="13">
        <v>2023</v>
      </c>
      <c r="E64" s="13" t="s">
        <v>21</v>
      </c>
      <c r="F64" s="13" t="s">
        <v>22</v>
      </c>
      <c r="G64" s="15">
        <v>1194.6600000000001</v>
      </c>
      <c r="H64" s="15">
        <v>1194.6600000000001</v>
      </c>
      <c r="I64" s="13">
        <v>6</v>
      </c>
      <c r="J64" s="13">
        <v>6</v>
      </c>
      <c r="K64" s="13" t="s">
        <v>35</v>
      </c>
      <c r="L64" s="15">
        <v>199.11</v>
      </c>
      <c r="M64" s="16">
        <v>199.11</v>
      </c>
    </row>
    <row r="65" spans="1:13" s="5" customFormat="1" x14ac:dyDescent="0.25">
      <c r="A65" s="12" t="s">
        <v>144</v>
      </c>
      <c r="B65" s="13" t="s">
        <v>145</v>
      </c>
      <c r="C65" s="14">
        <v>44873</v>
      </c>
      <c r="D65" s="13">
        <v>2022</v>
      </c>
      <c r="E65" s="13" t="s">
        <v>14</v>
      </c>
      <c r="F65" s="13" t="s">
        <v>22</v>
      </c>
      <c r="G65" s="15">
        <v>432.25</v>
      </c>
      <c r="H65" s="15">
        <v>432.25</v>
      </c>
      <c r="I65" s="13">
        <v>1</v>
      </c>
      <c r="J65" s="13">
        <v>1</v>
      </c>
      <c r="K65" s="13" t="s">
        <v>35</v>
      </c>
      <c r="L65" s="15">
        <v>432.25</v>
      </c>
      <c r="M65" s="16">
        <v>432.25</v>
      </c>
    </row>
    <row r="66" spans="1:13" s="5" customFormat="1" x14ac:dyDescent="0.25">
      <c r="A66" s="12" t="s">
        <v>146</v>
      </c>
      <c r="B66" s="13" t="s">
        <v>147</v>
      </c>
      <c r="C66" s="14">
        <v>45840</v>
      </c>
      <c r="D66" s="13">
        <v>2025</v>
      </c>
      <c r="E66" s="13" t="s">
        <v>3347</v>
      </c>
      <c r="F66" s="13" t="s">
        <v>22</v>
      </c>
      <c r="G66" s="15">
        <v>308.01</v>
      </c>
      <c r="H66" s="15">
        <v>308.01</v>
      </c>
      <c r="I66" s="13">
        <v>6</v>
      </c>
      <c r="J66" s="13">
        <v>6</v>
      </c>
      <c r="K66" s="13" t="s">
        <v>15</v>
      </c>
      <c r="L66" s="15">
        <v>51.335000000000001</v>
      </c>
      <c r="M66" s="16">
        <v>51.335000000000001</v>
      </c>
    </row>
    <row r="67" spans="1:13" s="5" customFormat="1" x14ac:dyDescent="0.25">
      <c r="A67" s="12" t="s">
        <v>148</v>
      </c>
      <c r="B67" s="13" t="s">
        <v>149</v>
      </c>
      <c r="C67" s="14">
        <v>44964</v>
      </c>
      <c r="D67" s="13">
        <v>2023</v>
      </c>
      <c r="E67" s="13" t="s">
        <v>10</v>
      </c>
      <c r="F67" s="13" t="s">
        <v>22</v>
      </c>
      <c r="G67" s="15">
        <v>744.05</v>
      </c>
      <c r="H67" s="15">
        <v>744.05</v>
      </c>
      <c r="I67" s="13">
        <v>9</v>
      </c>
      <c r="J67" s="13">
        <v>9</v>
      </c>
      <c r="K67" s="13" t="s">
        <v>35</v>
      </c>
      <c r="L67" s="15">
        <v>82.672222222222217</v>
      </c>
      <c r="M67" s="16">
        <v>82.672222222222217</v>
      </c>
    </row>
    <row r="68" spans="1:13" s="5" customFormat="1" x14ac:dyDescent="0.25">
      <c r="A68" s="12" t="s">
        <v>150</v>
      </c>
      <c r="B68" s="13" t="s">
        <v>151</v>
      </c>
      <c r="C68" s="14">
        <v>45822</v>
      </c>
      <c r="D68" s="13">
        <v>2025</v>
      </c>
      <c r="E68" s="13" t="s">
        <v>3347</v>
      </c>
      <c r="F68" s="13" t="s">
        <v>22</v>
      </c>
      <c r="G68" s="15">
        <v>1118.08</v>
      </c>
      <c r="H68" s="15">
        <v>1118.08</v>
      </c>
      <c r="I68" s="13">
        <v>3</v>
      </c>
      <c r="J68" s="13">
        <v>3</v>
      </c>
      <c r="K68" s="13" t="s">
        <v>3346</v>
      </c>
      <c r="L68" s="15">
        <v>372.69333333333333</v>
      </c>
      <c r="M68" s="16">
        <v>372.69333333333333</v>
      </c>
    </row>
    <row r="69" spans="1:13" s="5" customFormat="1" x14ac:dyDescent="0.25">
      <c r="A69" s="12" t="s">
        <v>152</v>
      </c>
      <c r="B69" s="13" t="s">
        <v>153</v>
      </c>
      <c r="C69" s="14">
        <v>45136</v>
      </c>
      <c r="D69" s="13">
        <v>2023</v>
      </c>
      <c r="E69" s="13" t="s">
        <v>21</v>
      </c>
      <c r="F69" s="13" t="s">
        <v>22</v>
      </c>
      <c r="G69" s="15">
        <v>2279.7282142857143</v>
      </c>
      <c r="H69" s="15">
        <v>2279.7282142857143</v>
      </c>
      <c r="I69" s="13">
        <v>9</v>
      </c>
      <c r="J69" s="13">
        <v>9</v>
      </c>
      <c r="K69" s="13" t="s">
        <v>3348</v>
      </c>
      <c r="L69" s="15">
        <v>253.30313492063493</v>
      </c>
      <c r="M69" s="16">
        <v>253.30313492063493</v>
      </c>
    </row>
    <row r="70" spans="1:13" s="5" customFormat="1" x14ac:dyDescent="0.25">
      <c r="A70" s="12" t="s">
        <v>154</v>
      </c>
      <c r="B70" s="13" t="s">
        <v>155</v>
      </c>
      <c r="C70" s="14">
        <v>45902</v>
      </c>
      <c r="D70" s="13">
        <v>2025</v>
      </c>
      <c r="E70" s="13" t="s">
        <v>14</v>
      </c>
      <c r="F70" s="13" t="s">
        <v>11</v>
      </c>
      <c r="G70" s="15">
        <v>1738.28</v>
      </c>
      <c r="H70" s="15">
        <v>1738.28</v>
      </c>
      <c r="I70" s="13">
        <v>1</v>
      </c>
      <c r="J70" s="13">
        <v>1</v>
      </c>
      <c r="K70" s="13" t="s">
        <v>3346</v>
      </c>
      <c r="L70" s="15">
        <v>1738.28</v>
      </c>
      <c r="M70" s="16">
        <v>1738.28</v>
      </c>
    </row>
    <row r="71" spans="1:13" s="5" customFormat="1" x14ac:dyDescent="0.25">
      <c r="A71" s="12" t="s">
        <v>156</v>
      </c>
      <c r="B71" s="13" t="s">
        <v>157</v>
      </c>
      <c r="C71" s="14">
        <v>45255</v>
      </c>
      <c r="D71" s="13">
        <v>2023</v>
      </c>
      <c r="E71" s="13" t="s">
        <v>3347</v>
      </c>
      <c r="F71" s="13" t="s">
        <v>34</v>
      </c>
      <c r="G71" s="15">
        <v>140.78</v>
      </c>
      <c r="H71" s="15">
        <v>140.78</v>
      </c>
      <c r="I71" s="13">
        <v>9</v>
      </c>
      <c r="J71" s="13">
        <v>9</v>
      </c>
      <c r="K71" s="13" t="s">
        <v>3348</v>
      </c>
      <c r="L71" s="15">
        <v>15.642222222222223</v>
      </c>
      <c r="M71" s="16">
        <v>15.642222222222223</v>
      </c>
    </row>
    <row r="72" spans="1:13" s="5" customFormat="1" x14ac:dyDescent="0.25">
      <c r="A72" s="12" t="s">
        <v>158</v>
      </c>
      <c r="B72" s="13" t="s">
        <v>159</v>
      </c>
      <c r="C72" s="14">
        <v>45206</v>
      </c>
      <c r="D72" s="13">
        <v>2023</v>
      </c>
      <c r="E72" s="13" t="s">
        <v>21</v>
      </c>
      <c r="F72" s="13" t="s">
        <v>11</v>
      </c>
      <c r="G72" s="15">
        <v>1206.3399999999999</v>
      </c>
      <c r="H72" s="15">
        <v>1206.3399999999999</v>
      </c>
      <c r="I72" s="13">
        <v>3</v>
      </c>
      <c r="J72" s="13">
        <v>3</v>
      </c>
      <c r="K72" s="13" t="s">
        <v>3346</v>
      </c>
      <c r="L72" s="15">
        <v>402.11333333333329</v>
      </c>
      <c r="M72" s="16">
        <v>402.11333333333329</v>
      </c>
    </row>
    <row r="73" spans="1:13" s="5" customFormat="1" x14ac:dyDescent="0.25">
      <c r="A73" s="12" t="s">
        <v>160</v>
      </c>
      <c r="B73" s="13" t="s">
        <v>161</v>
      </c>
      <c r="C73" s="14">
        <v>45724</v>
      </c>
      <c r="D73" s="13">
        <v>2025</v>
      </c>
      <c r="E73" s="13" t="s">
        <v>10</v>
      </c>
      <c r="F73" s="13" t="s">
        <v>11</v>
      </c>
      <c r="G73" s="15">
        <v>837.63</v>
      </c>
      <c r="H73" s="15">
        <v>837.63</v>
      </c>
      <c r="I73" s="13">
        <v>7</v>
      </c>
      <c r="J73" s="13">
        <v>7</v>
      </c>
      <c r="K73" s="13" t="s">
        <v>18</v>
      </c>
      <c r="L73" s="15">
        <v>119.66142857142857</v>
      </c>
      <c r="M73" s="16">
        <v>119.66142857142857</v>
      </c>
    </row>
    <row r="74" spans="1:13" s="5" customFormat="1" x14ac:dyDescent="0.25">
      <c r="A74" s="12" t="s">
        <v>162</v>
      </c>
      <c r="B74" s="13" t="s">
        <v>163</v>
      </c>
      <c r="C74" s="14">
        <v>45251</v>
      </c>
      <c r="D74" s="13">
        <v>2023</v>
      </c>
      <c r="E74" s="13" t="s">
        <v>10</v>
      </c>
      <c r="F74" s="13" t="s">
        <v>11</v>
      </c>
      <c r="G74" s="15">
        <v>1371.92</v>
      </c>
      <c r="H74" s="15">
        <v>1371.92</v>
      </c>
      <c r="I74" s="13">
        <v>10</v>
      </c>
      <c r="J74" s="13">
        <v>10</v>
      </c>
      <c r="K74" s="13" t="s">
        <v>3348</v>
      </c>
      <c r="L74" s="15">
        <v>137.19200000000001</v>
      </c>
      <c r="M74" s="16">
        <v>137.19200000000001</v>
      </c>
    </row>
    <row r="75" spans="1:13" s="5" customFormat="1" x14ac:dyDescent="0.25">
      <c r="A75" s="12" t="s">
        <v>164</v>
      </c>
      <c r="B75" s="13" t="s">
        <v>165</v>
      </c>
      <c r="C75" s="14">
        <v>44939</v>
      </c>
      <c r="D75" s="13">
        <v>2023</v>
      </c>
      <c r="E75" s="13" t="s">
        <v>10</v>
      </c>
      <c r="F75" s="13" t="s">
        <v>11</v>
      </c>
      <c r="G75" s="15">
        <v>1834.61</v>
      </c>
      <c r="H75" s="15">
        <v>1834.61</v>
      </c>
      <c r="I75" s="13">
        <v>7</v>
      </c>
      <c r="J75" s="13">
        <v>7</v>
      </c>
      <c r="K75" s="13" t="s">
        <v>3346</v>
      </c>
      <c r="L75" s="15">
        <v>262.08714285714285</v>
      </c>
      <c r="M75" s="16">
        <v>262.08714285714285</v>
      </c>
    </row>
    <row r="76" spans="1:13" s="5" customFormat="1" x14ac:dyDescent="0.25">
      <c r="A76" s="12" t="s">
        <v>166</v>
      </c>
      <c r="B76" s="13" t="s">
        <v>167</v>
      </c>
      <c r="C76" s="14">
        <v>45668</v>
      </c>
      <c r="D76" s="13">
        <v>2025</v>
      </c>
      <c r="E76" s="13" t="s">
        <v>10</v>
      </c>
      <c r="F76" s="13" t="s">
        <v>22</v>
      </c>
      <c r="G76" s="15">
        <v>614.72981481481474</v>
      </c>
      <c r="H76" s="15">
        <v>614.72981481481474</v>
      </c>
      <c r="I76" s="13">
        <v>5</v>
      </c>
      <c r="J76" s="13">
        <v>5</v>
      </c>
      <c r="K76" s="13" t="s">
        <v>15</v>
      </c>
      <c r="L76" s="15">
        <v>122.94596296296295</v>
      </c>
      <c r="M76" s="16">
        <v>122.94596296296295</v>
      </c>
    </row>
    <row r="77" spans="1:13" s="5" customFormat="1" x14ac:dyDescent="0.25">
      <c r="A77" s="12" t="s">
        <v>168</v>
      </c>
      <c r="B77" s="13" t="s">
        <v>169</v>
      </c>
      <c r="C77" s="14">
        <v>45128</v>
      </c>
      <c r="D77" s="13">
        <v>2023</v>
      </c>
      <c r="E77" s="13" t="s">
        <v>10</v>
      </c>
      <c r="F77" s="13" t="s">
        <v>11</v>
      </c>
      <c r="G77" s="15">
        <v>751.46</v>
      </c>
      <c r="H77" s="15">
        <v>751.46</v>
      </c>
      <c r="I77" s="13">
        <v>1</v>
      </c>
      <c r="J77" s="13">
        <v>1</v>
      </c>
      <c r="K77" s="13" t="s">
        <v>35</v>
      </c>
      <c r="L77" s="15">
        <v>751.46</v>
      </c>
      <c r="M77" s="16">
        <v>751.46</v>
      </c>
    </row>
    <row r="78" spans="1:13" s="5" customFormat="1" x14ac:dyDescent="0.25">
      <c r="A78" s="12" t="s">
        <v>170</v>
      </c>
      <c r="B78" s="13" t="s">
        <v>171</v>
      </c>
      <c r="C78" s="14">
        <v>45568</v>
      </c>
      <c r="D78" s="13">
        <v>2024</v>
      </c>
      <c r="E78" s="13" t="s">
        <v>3347</v>
      </c>
      <c r="F78" s="13" t="s">
        <v>34</v>
      </c>
      <c r="G78" s="15">
        <v>1806.45</v>
      </c>
      <c r="H78" s="15">
        <v>1806.45</v>
      </c>
      <c r="I78" s="13">
        <v>3</v>
      </c>
      <c r="J78" s="13">
        <v>3</v>
      </c>
      <c r="K78" s="13" t="s">
        <v>3348</v>
      </c>
      <c r="L78" s="15">
        <v>602.15</v>
      </c>
      <c r="M78" s="16">
        <v>602.15</v>
      </c>
    </row>
    <row r="79" spans="1:13" s="5" customFormat="1" x14ac:dyDescent="0.25">
      <c r="A79" s="12" t="s">
        <v>172</v>
      </c>
      <c r="B79" s="13" t="s">
        <v>173</v>
      </c>
      <c r="C79" s="14">
        <v>45930</v>
      </c>
      <c r="D79" s="13">
        <v>2025</v>
      </c>
      <c r="E79" s="13" t="s">
        <v>3347</v>
      </c>
      <c r="F79" s="13" t="s">
        <v>22</v>
      </c>
      <c r="G79" s="15">
        <v>1555.95</v>
      </c>
      <c r="H79" s="15">
        <v>1555.95</v>
      </c>
      <c r="I79" s="13">
        <v>8</v>
      </c>
      <c r="J79" s="13">
        <v>8</v>
      </c>
      <c r="K79" s="13" t="s">
        <v>3348</v>
      </c>
      <c r="L79" s="15">
        <v>194.49375000000001</v>
      </c>
      <c r="M79" s="16">
        <v>194.49375000000001</v>
      </c>
    </row>
    <row r="80" spans="1:13" s="5" customFormat="1" x14ac:dyDescent="0.25">
      <c r="A80" s="12" t="s">
        <v>174</v>
      </c>
      <c r="B80" s="13" t="s">
        <v>175</v>
      </c>
      <c r="C80" s="14">
        <v>44908</v>
      </c>
      <c r="D80" s="13">
        <v>2022</v>
      </c>
      <c r="E80" s="13" t="s">
        <v>14</v>
      </c>
      <c r="F80" s="13" t="s">
        <v>25</v>
      </c>
      <c r="G80" s="15">
        <v>91.97</v>
      </c>
      <c r="H80" s="15">
        <v>91.97</v>
      </c>
      <c r="I80" s="13">
        <v>2</v>
      </c>
      <c r="J80" s="13">
        <v>2</v>
      </c>
      <c r="K80" s="13" t="s">
        <v>3348</v>
      </c>
      <c r="L80" s="15">
        <v>45.984999999999999</v>
      </c>
      <c r="M80" s="16">
        <v>45.984999999999999</v>
      </c>
    </row>
    <row r="81" spans="1:13" s="5" customFormat="1" x14ac:dyDescent="0.25">
      <c r="A81" s="12" t="s">
        <v>176</v>
      </c>
      <c r="B81" s="13" t="s">
        <v>177</v>
      </c>
      <c r="C81" s="14">
        <v>45102</v>
      </c>
      <c r="D81" s="13">
        <v>2023</v>
      </c>
      <c r="E81" s="13" t="s">
        <v>14</v>
      </c>
      <c r="F81" s="13" t="s">
        <v>22</v>
      </c>
      <c r="G81" s="15">
        <v>1232.5619444444444</v>
      </c>
      <c r="H81" s="15">
        <v>1232.5619444444444</v>
      </c>
      <c r="I81" s="13">
        <v>7</v>
      </c>
      <c r="J81" s="13">
        <v>7</v>
      </c>
      <c r="K81" s="13" t="s">
        <v>3346</v>
      </c>
      <c r="L81" s="15">
        <v>176.08027777777778</v>
      </c>
      <c r="M81" s="16">
        <v>176.08027777777778</v>
      </c>
    </row>
    <row r="82" spans="1:13" s="5" customFormat="1" x14ac:dyDescent="0.25">
      <c r="A82" s="12" t="s">
        <v>178</v>
      </c>
      <c r="B82" s="13" t="s">
        <v>179</v>
      </c>
      <c r="C82" s="14">
        <v>45275</v>
      </c>
      <c r="D82" s="13">
        <v>2023</v>
      </c>
      <c r="E82" s="13" t="s">
        <v>21</v>
      </c>
      <c r="F82" s="13" t="s">
        <v>34</v>
      </c>
      <c r="G82" s="15">
        <v>1797.95</v>
      </c>
      <c r="H82" s="15">
        <v>1797.95</v>
      </c>
      <c r="I82" s="13">
        <v>6</v>
      </c>
      <c r="J82" s="13">
        <v>6</v>
      </c>
      <c r="K82" s="13" t="s">
        <v>3346</v>
      </c>
      <c r="L82" s="15">
        <v>299.65833333333336</v>
      </c>
      <c r="M82" s="16">
        <v>299.65833333333336</v>
      </c>
    </row>
    <row r="83" spans="1:13" s="5" customFormat="1" x14ac:dyDescent="0.25">
      <c r="A83" s="12" t="s">
        <v>180</v>
      </c>
      <c r="B83" s="13" t="s">
        <v>181</v>
      </c>
      <c r="C83" s="14">
        <v>45140</v>
      </c>
      <c r="D83" s="13">
        <v>2023</v>
      </c>
      <c r="E83" s="13" t="s">
        <v>21</v>
      </c>
      <c r="F83" s="13" t="s">
        <v>11</v>
      </c>
      <c r="G83" s="15">
        <v>328.71642857142854</v>
      </c>
      <c r="H83" s="15">
        <v>328.71642857142854</v>
      </c>
      <c r="I83" s="13">
        <v>2</v>
      </c>
      <c r="J83" s="13">
        <v>2</v>
      </c>
      <c r="K83" s="13" t="s">
        <v>35</v>
      </c>
      <c r="L83" s="15">
        <v>164.35821428571427</v>
      </c>
      <c r="M83" s="16">
        <v>164.35821428571427</v>
      </c>
    </row>
    <row r="84" spans="1:13" s="5" customFormat="1" x14ac:dyDescent="0.25">
      <c r="A84" s="12" t="s">
        <v>182</v>
      </c>
      <c r="B84" s="13" t="s">
        <v>183</v>
      </c>
      <c r="C84" s="14">
        <v>45561</v>
      </c>
      <c r="D84" s="13">
        <v>2024</v>
      </c>
      <c r="E84" s="13" t="s">
        <v>21</v>
      </c>
      <c r="F84" s="13" t="s">
        <v>11</v>
      </c>
      <c r="G84" s="15">
        <v>345.56814814814817</v>
      </c>
      <c r="H84" s="15">
        <v>345.56814814814817</v>
      </c>
      <c r="I84" s="13">
        <v>1</v>
      </c>
      <c r="J84" s="13">
        <v>1</v>
      </c>
      <c r="K84" s="13" t="s">
        <v>15</v>
      </c>
      <c r="L84" s="15">
        <v>345.56814814814817</v>
      </c>
      <c r="M84" s="16">
        <v>345.56814814814817</v>
      </c>
    </row>
    <row r="85" spans="1:13" s="5" customFormat="1" x14ac:dyDescent="0.25">
      <c r="A85" s="12" t="s">
        <v>184</v>
      </c>
      <c r="B85" s="13" t="s">
        <v>185</v>
      </c>
      <c r="C85" s="14">
        <v>45429</v>
      </c>
      <c r="D85" s="13">
        <v>2024</v>
      </c>
      <c r="E85" s="13" t="s">
        <v>3347</v>
      </c>
      <c r="F85" s="13" t="s">
        <v>34</v>
      </c>
      <c r="G85" s="15">
        <v>1217.1099999999999</v>
      </c>
      <c r="H85" s="15">
        <v>1217.1099999999999</v>
      </c>
      <c r="I85" s="13">
        <v>8</v>
      </c>
      <c r="J85" s="13">
        <v>8</v>
      </c>
      <c r="K85" s="13" t="s">
        <v>3346</v>
      </c>
      <c r="L85" s="15">
        <v>152.13874999999999</v>
      </c>
      <c r="M85" s="16">
        <v>152.13874999999999</v>
      </c>
    </row>
    <row r="86" spans="1:13" s="5" customFormat="1" x14ac:dyDescent="0.25">
      <c r="A86" s="12" t="s">
        <v>186</v>
      </c>
      <c r="B86" s="13" t="s">
        <v>187</v>
      </c>
      <c r="C86" s="14">
        <v>45203</v>
      </c>
      <c r="D86" s="13">
        <v>2023</v>
      </c>
      <c r="E86" s="13" t="s">
        <v>10</v>
      </c>
      <c r="F86" s="13" t="s">
        <v>25</v>
      </c>
      <c r="G86" s="15">
        <v>603.9</v>
      </c>
      <c r="H86" s="15">
        <v>603.9</v>
      </c>
      <c r="I86" s="13">
        <v>3</v>
      </c>
      <c r="J86" s="13">
        <v>3</v>
      </c>
      <c r="K86" s="13" t="s">
        <v>3348</v>
      </c>
      <c r="L86" s="15">
        <v>201.29999999999998</v>
      </c>
      <c r="M86" s="16">
        <v>201.29999999999998</v>
      </c>
    </row>
    <row r="87" spans="1:13" s="5" customFormat="1" x14ac:dyDescent="0.25">
      <c r="A87" s="12" t="s">
        <v>188</v>
      </c>
      <c r="B87" s="13" t="s">
        <v>189</v>
      </c>
      <c r="C87" s="14">
        <v>45212</v>
      </c>
      <c r="D87" s="13">
        <v>2023</v>
      </c>
      <c r="E87" s="13" t="s">
        <v>3347</v>
      </c>
      <c r="F87" s="13" t="s">
        <v>25</v>
      </c>
      <c r="G87" s="15">
        <v>438.72</v>
      </c>
      <c r="H87" s="15">
        <v>438.72</v>
      </c>
      <c r="I87" s="13">
        <v>9</v>
      </c>
      <c r="J87" s="13">
        <v>9</v>
      </c>
      <c r="K87" s="13" t="s">
        <v>3346</v>
      </c>
      <c r="L87" s="15">
        <v>48.74666666666667</v>
      </c>
      <c r="M87" s="16">
        <v>48.74666666666667</v>
      </c>
    </row>
    <row r="88" spans="1:13" s="5" customFormat="1" x14ac:dyDescent="0.25">
      <c r="A88" s="12" t="s">
        <v>190</v>
      </c>
      <c r="B88" s="13" t="s">
        <v>191</v>
      </c>
      <c r="C88" s="14">
        <v>45666</v>
      </c>
      <c r="D88" s="13">
        <v>2025</v>
      </c>
      <c r="E88" s="13" t="s">
        <v>21</v>
      </c>
      <c r="F88" s="13" t="s">
        <v>34</v>
      </c>
      <c r="G88" s="15">
        <v>1800.25</v>
      </c>
      <c r="H88" s="15">
        <v>1800.25</v>
      </c>
      <c r="I88" s="13">
        <v>9</v>
      </c>
      <c r="J88" s="13">
        <v>9</v>
      </c>
      <c r="K88" s="13" t="s">
        <v>15</v>
      </c>
      <c r="L88" s="15">
        <v>200.02777777777777</v>
      </c>
      <c r="M88" s="16">
        <v>200.02777777777777</v>
      </c>
    </row>
    <row r="89" spans="1:13" s="5" customFormat="1" x14ac:dyDescent="0.25">
      <c r="A89" s="12" t="s">
        <v>192</v>
      </c>
      <c r="B89" s="13" t="s">
        <v>193</v>
      </c>
      <c r="C89" s="14">
        <v>45583</v>
      </c>
      <c r="D89" s="13">
        <v>2024</v>
      </c>
      <c r="E89" s="13" t="s">
        <v>3347</v>
      </c>
      <c r="F89" s="13" t="s">
        <v>11</v>
      </c>
      <c r="G89" s="15">
        <v>1989.08</v>
      </c>
      <c r="H89" s="15">
        <v>1989.08</v>
      </c>
      <c r="I89" s="13">
        <v>5</v>
      </c>
      <c r="J89" s="13">
        <v>5</v>
      </c>
      <c r="K89" s="13" t="s">
        <v>35</v>
      </c>
      <c r="L89" s="15">
        <v>397.81599999999997</v>
      </c>
      <c r="M89" s="16">
        <v>397.81599999999997</v>
      </c>
    </row>
    <row r="90" spans="1:13" s="5" customFormat="1" x14ac:dyDescent="0.25">
      <c r="A90" s="12" t="s">
        <v>194</v>
      </c>
      <c r="B90" s="13" t="s">
        <v>195</v>
      </c>
      <c r="C90" s="14">
        <v>45877</v>
      </c>
      <c r="D90" s="13">
        <v>2025</v>
      </c>
      <c r="E90" s="13" t="s">
        <v>14</v>
      </c>
      <c r="F90" s="13" t="s">
        <v>25</v>
      </c>
      <c r="G90" s="15">
        <v>1607.17</v>
      </c>
      <c r="H90" s="15">
        <v>1607.17</v>
      </c>
      <c r="I90" s="13">
        <v>5</v>
      </c>
      <c r="J90" s="13">
        <v>5</v>
      </c>
      <c r="K90" s="13" t="s">
        <v>15</v>
      </c>
      <c r="L90" s="15">
        <v>321.43400000000003</v>
      </c>
      <c r="M90" s="16">
        <v>321.43400000000003</v>
      </c>
    </row>
    <row r="91" spans="1:13" s="5" customFormat="1" x14ac:dyDescent="0.25">
      <c r="A91" s="12" t="s">
        <v>196</v>
      </c>
      <c r="B91" s="13" t="s">
        <v>197</v>
      </c>
      <c r="C91" s="14">
        <v>45106</v>
      </c>
      <c r="D91" s="13">
        <v>2023</v>
      </c>
      <c r="E91" s="13" t="s">
        <v>3347</v>
      </c>
      <c r="F91" s="13" t="s">
        <v>25</v>
      </c>
      <c r="G91" s="15">
        <v>1789.76</v>
      </c>
      <c r="H91" s="15">
        <v>1789.76</v>
      </c>
      <c r="I91" s="13">
        <v>4</v>
      </c>
      <c r="J91" s="13">
        <v>4</v>
      </c>
      <c r="K91" s="13" t="s">
        <v>18</v>
      </c>
      <c r="L91" s="15">
        <v>447.44</v>
      </c>
      <c r="M91" s="16">
        <v>447.44</v>
      </c>
    </row>
    <row r="92" spans="1:13" s="5" customFormat="1" x14ac:dyDescent="0.25">
      <c r="A92" s="12" t="s">
        <v>198</v>
      </c>
      <c r="B92" s="13" t="s">
        <v>199</v>
      </c>
      <c r="C92" s="14">
        <v>45515</v>
      </c>
      <c r="D92" s="13">
        <v>2024</v>
      </c>
      <c r="E92" s="13" t="s">
        <v>3347</v>
      </c>
      <c r="F92" s="13" t="s">
        <v>22</v>
      </c>
      <c r="G92" s="15">
        <v>295.13</v>
      </c>
      <c r="H92" s="15">
        <v>295.13</v>
      </c>
      <c r="I92" s="13">
        <v>10</v>
      </c>
      <c r="J92" s="13">
        <v>10</v>
      </c>
      <c r="K92" s="13" t="s">
        <v>15</v>
      </c>
      <c r="L92" s="15">
        <v>29.512999999999998</v>
      </c>
      <c r="M92" s="16">
        <v>29.512999999999998</v>
      </c>
    </row>
    <row r="93" spans="1:13" s="5" customFormat="1" x14ac:dyDescent="0.25">
      <c r="A93" s="12" t="s">
        <v>200</v>
      </c>
      <c r="B93" s="13" t="s">
        <v>201</v>
      </c>
      <c r="C93" s="14">
        <v>45746</v>
      </c>
      <c r="D93" s="13">
        <v>2025</v>
      </c>
      <c r="E93" s="13" t="s">
        <v>10</v>
      </c>
      <c r="F93" s="13" t="s">
        <v>22</v>
      </c>
      <c r="G93" s="15">
        <v>1991.2</v>
      </c>
      <c r="H93" s="15">
        <v>1991.2</v>
      </c>
      <c r="I93" s="13">
        <v>3</v>
      </c>
      <c r="J93" s="13">
        <v>3</v>
      </c>
      <c r="K93" s="13" t="s">
        <v>3348</v>
      </c>
      <c r="L93" s="15">
        <v>663.73333333333335</v>
      </c>
      <c r="M93" s="16">
        <v>725.75985185185198</v>
      </c>
    </row>
    <row r="94" spans="1:13" s="5" customFormat="1" x14ac:dyDescent="0.25">
      <c r="A94" s="12" t="s">
        <v>202</v>
      </c>
      <c r="B94" s="13" t="s">
        <v>203</v>
      </c>
      <c r="C94" s="14">
        <v>45214</v>
      </c>
      <c r="D94" s="13">
        <v>2023</v>
      </c>
      <c r="E94" s="13" t="s">
        <v>10</v>
      </c>
      <c r="F94" s="13" t="s">
        <v>25</v>
      </c>
      <c r="G94" s="15">
        <v>845.97</v>
      </c>
      <c r="H94" s="15">
        <v>845.97</v>
      </c>
      <c r="I94" s="13">
        <v>6</v>
      </c>
      <c r="J94" s="13">
        <v>6</v>
      </c>
      <c r="K94" s="13" t="s">
        <v>15</v>
      </c>
      <c r="L94" s="15">
        <v>140.995</v>
      </c>
      <c r="M94" s="16">
        <v>140.995</v>
      </c>
    </row>
    <row r="95" spans="1:13" s="5" customFormat="1" x14ac:dyDescent="0.25">
      <c r="A95" s="12" t="s">
        <v>204</v>
      </c>
      <c r="B95" s="13" t="s">
        <v>205</v>
      </c>
      <c r="C95" s="14">
        <v>45138</v>
      </c>
      <c r="D95" s="13">
        <v>2023</v>
      </c>
      <c r="E95" s="13" t="s">
        <v>10</v>
      </c>
      <c r="F95" s="13" t="s">
        <v>34</v>
      </c>
      <c r="G95" s="15">
        <v>1400.24</v>
      </c>
      <c r="H95" s="15">
        <v>1400.24</v>
      </c>
      <c r="I95" s="13">
        <v>4</v>
      </c>
      <c r="J95" s="13">
        <v>4</v>
      </c>
      <c r="K95" s="13" t="s">
        <v>35</v>
      </c>
      <c r="L95" s="15">
        <v>350.06</v>
      </c>
      <c r="M95" s="16">
        <v>350.06</v>
      </c>
    </row>
    <row r="96" spans="1:13" s="5" customFormat="1" x14ac:dyDescent="0.25">
      <c r="A96" s="12" t="s">
        <v>206</v>
      </c>
      <c r="B96" s="13" t="s">
        <v>207</v>
      </c>
      <c r="C96" s="14">
        <v>45217</v>
      </c>
      <c r="D96" s="13">
        <v>2023</v>
      </c>
      <c r="E96" s="13" t="s">
        <v>3347</v>
      </c>
      <c r="F96" s="13" t="s">
        <v>11</v>
      </c>
      <c r="G96" s="15">
        <v>764.37</v>
      </c>
      <c r="H96" s="15">
        <v>764.37</v>
      </c>
      <c r="I96" s="13">
        <v>10</v>
      </c>
      <c r="J96" s="13">
        <v>10</v>
      </c>
      <c r="K96" s="13" t="s">
        <v>35</v>
      </c>
      <c r="L96" s="15">
        <v>76.436999999999998</v>
      </c>
      <c r="M96" s="16">
        <v>76.436999999999998</v>
      </c>
    </row>
    <row r="97" spans="1:13" s="5" customFormat="1" x14ac:dyDescent="0.25">
      <c r="A97" s="12" t="s">
        <v>208</v>
      </c>
      <c r="B97" s="13" t="s">
        <v>209</v>
      </c>
      <c r="C97" s="14">
        <v>44865</v>
      </c>
      <c r="D97" s="13">
        <v>2022</v>
      </c>
      <c r="E97" s="13" t="s">
        <v>10</v>
      </c>
      <c r="F97" s="13" t="s">
        <v>34</v>
      </c>
      <c r="G97" s="15">
        <v>755.12</v>
      </c>
      <c r="H97" s="15">
        <v>755.12</v>
      </c>
      <c r="I97" s="13">
        <v>9</v>
      </c>
      <c r="J97" s="13">
        <v>9</v>
      </c>
      <c r="K97" s="13" t="s">
        <v>15</v>
      </c>
      <c r="L97" s="15">
        <v>83.902222222222221</v>
      </c>
      <c r="M97" s="16">
        <v>83.902222222222221</v>
      </c>
    </row>
    <row r="98" spans="1:13" s="5" customFormat="1" x14ac:dyDescent="0.25">
      <c r="A98" s="12" t="s">
        <v>210</v>
      </c>
      <c r="B98" s="13" t="s">
        <v>211</v>
      </c>
      <c r="C98" s="14">
        <v>45157</v>
      </c>
      <c r="D98" s="13">
        <v>2023</v>
      </c>
      <c r="E98" s="13" t="s">
        <v>21</v>
      </c>
      <c r="F98" s="13" t="s">
        <v>22</v>
      </c>
      <c r="G98" s="15">
        <v>1192.3057193877548</v>
      </c>
      <c r="H98" s="15">
        <v>1192.3057193877548</v>
      </c>
      <c r="I98" s="13">
        <v>9</v>
      </c>
      <c r="J98" s="13">
        <v>9</v>
      </c>
      <c r="K98" s="13" t="s">
        <v>35</v>
      </c>
      <c r="L98" s="15">
        <v>132.4784132653061</v>
      </c>
      <c r="M98" s="16">
        <v>132.4784132653061</v>
      </c>
    </row>
    <row r="99" spans="1:13" s="5" customFormat="1" x14ac:dyDescent="0.25">
      <c r="A99" s="12" t="s">
        <v>212</v>
      </c>
      <c r="B99" s="13" t="s">
        <v>213</v>
      </c>
      <c r="C99" s="14">
        <v>44867</v>
      </c>
      <c r="D99" s="13">
        <v>2022</v>
      </c>
      <c r="E99" s="13" t="s">
        <v>3347</v>
      </c>
      <c r="F99" s="13" t="s">
        <v>11</v>
      </c>
      <c r="G99" s="15">
        <v>1882.04</v>
      </c>
      <c r="H99" s="15">
        <v>1882.04</v>
      </c>
      <c r="I99" s="13">
        <v>5</v>
      </c>
      <c r="J99" s="13">
        <v>5</v>
      </c>
      <c r="K99" s="13" t="s">
        <v>3346</v>
      </c>
      <c r="L99" s="15">
        <v>376.40800000000002</v>
      </c>
      <c r="M99" s="16">
        <v>376.40800000000002</v>
      </c>
    </row>
    <row r="100" spans="1:13" s="5" customFormat="1" x14ac:dyDescent="0.25">
      <c r="A100" s="12" t="s">
        <v>214</v>
      </c>
      <c r="B100" s="13" t="s">
        <v>215</v>
      </c>
      <c r="C100" s="14">
        <v>45151</v>
      </c>
      <c r="D100" s="13">
        <v>2023</v>
      </c>
      <c r="E100" s="13" t="s">
        <v>21</v>
      </c>
      <c r="F100" s="13" t="s">
        <v>11</v>
      </c>
      <c r="G100" s="15">
        <v>286.14999999999998</v>
      </c>
      <c r="H100" s="15">
        <v>286.14999999999998</v>
      </c>
      <c r="I100" s="13">
        <v>1</v>
      </c>
      <c r="J100" s="13">
        <v>1</v>
      </c>
      <c r="K100" s="13" t="s">
        <v>3348</v>
      </c>
      <c r="L100" s="15">
        <v>286.14999999999998</v>
      </c>
      <c r="M100" s="16">
        <v>206.73795238095235</v>
      </c>
    </row>
    <row r="101" spans="1:13" s="5" customFormat="1" x14ac:dyDescent="0.25">
      <c r="A101" s="12" t="s">
        <v>216</v>
      </c>
      <c r="B101" s="13" t="s">
        <v>217</v>
      </c>
      <c r="C101" s="14">
        <v>45380</v>
      </c>
      <c r="D101" s="13">
        <v>2024</v>
      </c>
      <c r="E101" s="13" t="s">
        <v>21</v>
      </c>
      <c r="F101" s="13" t="s">
        <v>11</v>
      </c>
      <c r="G101" s="15">
        <v>1036.7044444444446</v>
      </c>
      <c r="H101" s="15">
        <v>1036.7044444444446</v>
      </c>
      <c r="I101" s="13">
        <v>3</v>
      </c>
      <c r="J101" s="13">
        <v>3</v>
      </c>
      <c r="K101" s="13" t="s">
        <v>15</v>
      </c>
      <c r="L101" s="15">
        <v>345.56814814814817</v>
      </c>
      <c r="M101" s="16">
        <v>345.56814814814817</v>
      </c>
    </row>
    <row r="102" spans="1:13" s="5" customFormat="1" x14ac:dyDescent="0.25">
      <c r="A102" s="12" t="s">
        <v>218</v>
      </c>
      <c r="B102" s="13" t="s">
        <v>219</v>
      </c>
      <c r="C102" s="14">
        <v>45507</v>
      </c>
      <c r="D102" s="13">
        <v>2024</v>
      </c>
      <c r="E102" s="13" t="s">
        <v>10</v>
      </c>
      <c r="F102" s="13" t="s">
        <v>25</v>
      </c>
      <c r="G102" s="15">
        <v>755.33</v>
      </c>
      <c r="H102" s="15">
        <v>755.33</v>
      </c>
      <c r="I102" s="13">
        <v>9</v>
      </c>
      <c r="J102" s="13">
        <v>9</v>
      </c>
      <c r="K102" s="13" t="s">
        <v>3346</v>
      </c>
      <c r="L102" s="15">
        <v>83.925555555555562</v>
      </c>
      <c r="M102" s="16">
        <v>83.925555555555562</v>
      </c>
    </row>
    <row r="103" spans="1:13" s="5" customFormat="1" x14ac:dyDescent="0.25">
      <c r="A103" s="12" t="s">
        <v>220</v>
      </c>
      <c r="B103" s="13" t="s">
        <v>221</v>
      </c>
      <c r="C103" s="14">
        <v>45032</v>
      </c>
      <c r="D103" s="13">
        <v>2023</v>
      </c>
      <c r="E103" s="13" t="s">
        <v>10</v>
      </c>
      <c r="F103" s="13" t="s">
        <v>34</v>
      </c>
      <c r="G103" s="15">
        <v>1002.67</v>
      </c>
      <c r="H103" s="15">
        <v>1002.67</v>
      </c>
      <c r="I103" s="13">
        <v>6</v>
      </c>
      <c r="J103" s="13">
        <v>6</v>
      </c>
      <c r="K103" s="13" t="s">
        <v>15</v>
      </c>
      <c r="L103" s="15">
        <v>167.11166666666665</v>
      </c>
      <c r="M103" s="16">
        <v>162.767875</v>
      </c>
    </row>
    <row r="104" spans="1:13" s="5" customFormat="1" x14ac:dyDescent="0.25">
      <c r="A104" s="12" t="s">
        <v>222</v>
      </c>
      <c r="B104" s="13" t="s">
        <v>223</v>
      </c>
      <c r="C104" s="14">
        <v>45306</v>
      </c>
      <c r="D104" s="13">
        <v>2024</v>
      </c>
      <c r="E104" s="13" t="s">
        <v>14</v>
      </c>
      <c r="F104" s="13" t="s">
        <v>25</v>
      </c>
      <c r="G104" s="15">
        <v>1903.03</v>
      </c>
      <c r="H104" s="15">
        <v>1903.03</v>
      </c>
      <c r="I104" s="13">
        <v>6</v>
      </c>
      <c r="J104" s="13">
        <v>6</v>
      </c>
      <c r="K104" s="13" t="s">
        <v>15</v>
      </c>
      <c r="L104" s="15">
        <v>317.17166666666668</v>
      </c>
      <c r="M104" s="16">
        <v>317.17166666666668</v>
      </c>
    </row>
    <row r="105" spans="1:13" s="5" customFormat="1" x14ac:dyDescent="0.25">
      <c r="A105" s="12" t="s">
        <v>224</v>
      </c>
      <c r="B105" s="13" t="s">
        <v>225</v>
      </c>
      <c r="C105" s="14">
        <v>45817</v>
      </c>
      <c r="D105" s="13">
        <v>2025</v>
      </c>
      <c r="E105" s="13" t="s">
        <v>10</v>
      </c>
      <c r="F105" s="13" t="s">
        <v>11</v>
      </c>
      <c r="G105" s="15">
        <v>674.62</v>
      </c>
      <c r="H105" s="15">
        <v>674.62</v>
      </c>
      <c r="I105" s="13">
        <v>4</v>
      </c>
      <c r="J105" s="13">
        <v>4</v>
      </c>
      <c r="K105" s="13" t="s">
        <v>3348</v>
      </c>
      <c r="L105" s="15">
        <v>168.655</v>
      </c>
      <c r="M105" s="16">
        <v>168.655</v>
      </c>
    </row>
    <row r="106" spans="1:13" s="5" customFormat="1" x14ac:dyDescent="0.25">
      <c r="A106" s="12" t="s">
        <v>226</v>
      </c>
      <c r="B106" s="13" t="s">
        <v>227</v>
      </c>
      <c r="C106" s="14">
        <v>45727</v>
      </c>
      <c r="D106" s="13">
        <v>2025</v>
      </c>
      <c r="E106" s="13" t="s">
        <v>10</v>
      </c>
      <c r="F106" s="13" t="s">
        <v>34</v>
      </c>
      <c r="G106" s="15">
        <v>1620.27</v>
      </c>
      <c r="H106" s="15">
        <v>1620.27</v>
      </c>
      <c r="I106" s="13">
        <v>9</v>
      </c>
      <c r="J106" s="13">
        <v>9</v>
      </c>
      <c r="K106" s="13" t="s">
        <v>35</v>
      </c>
      <c r="L106" s="15">
        <v>180.03</v>
      </c>
      <c r="M106" s="16">
        <v>180.03</v>
      </c>
    </row>
    <row r="107" spans="1:13" s="5" customFormat="1" x14ac:dyDescent="0.25">
      <c r="A107" s="12" t="s">
        <v>228</v>
      </c>
      <c r="B107" s="13" t="s">
        <v>229</v>
      </c>
      <c r="C107" s="14">
        <v>45865</v>
      </c>
      <c r="D107" s="13">
        <v>2025</v>
      </c>
      <c r="E107" s="13" t="s">
        <v>14</v>
      </c>
      <c r="F107" s="13" t="s">
        <v>25</v>
      </c>
      <c r="G107" s="15">
        <v>34.97</v>
      </c>
      <c r="H107" s="15">
        <v>34.97</v>
      </c>
      <c r="I107" s="13">
        <v>1</v>
      </c>
      <c r="J107" s="13">
        <v>1</v>
      </c>
      <c r="K107" s="13" t="s">
        <v>18</v>
      </c>
      <c r="L107" s="15">
        <v>34.97</v>
      </c>
      <c r="M107" s="16">
        <v>266.12583333333333</v>
      </c>
    </row>
    <row r="108" spans="1:13" s="5" customFormat="1" x14ac:dyDescent="0.25">
      <c r="A108" s="12" t="s">
        <v>230</v>
      </c>
      <c r="B108" s="13" t="s">
        <v>231</v>
      </c>
      <c r="C108" s="14">
        <v>45742</v>
      </c>
      <c r="D108" s="13">
        <v>2025</v>
      </c>
      <c r="E108" s="13" t="s">
        <v>21</v>
      </c>
      <c r="F108" s="13" t="s">
        <v>22</v>
      </c>
      <c r="G108" s="15">
        <v>1893.8444444444442</v>
      </c>
      <c r="H108" s="15">
        <v>1893.8444444444442</v>
      </c>
      <c r="I108" s="13">
        <v>8</v>
      </c>
      <c r="J108" s="13">
        <v>8</v>
      </c>
      <c r="K108" s="13" t="s">
        <v>18</v>
      </c>
      <c r="L108" s="15">
        <v>236.73055555555553</v>
      </c>
      <c r="M108" s="16">
        <v>236.73055555555553</v>
      </c>
    </row>
    <row r="109" spans="1:13" s="5" customFormat="1" x14ac:dyDescent="0.25">
      <c r="A109" s="12" t="s">
        <v>232</v>
      </c>
      <c r="B109" s="13" t="s">
        <v>233</v>
      </c>
      <c r="C109" s="14">
        <v>45874</v>
      </c>
      <c r="D109" s="13">
        <v>2025</v>
      </c>
      <c r="E109" s="13" t="s">
        <v>3347</v>
      </c>
      <c r="F109" s="13" t="s">
        <v>11</v>
      </c>
      <c r="G109" s="15">
        <v>1281.6600000000001</v>
      </c>
      <c r="H109" s="15">
        <v>1281.6600000000001</v>
      </c>
      <c r="I109" s="13">
        <v>9</v>
      </c>
      <c r="J109" s="13">
        <v>9</v>
      </c>
      <c r="K109" s="13" t="s">
        <v>3346</v>
      </c>
      <c r="L109" s="15">
        <v>142.40666666666667</v>
      </c>
      <c r="M109" s="16">
        <v>142.40666666666667</v>
      </c>
    </row>
    <row r="110" spans="1:13" s="5" customFormat="1" x14ac:dyDescent="0.25">
      <c r="A110" s="12" t="s">
        <v>234</v>
      </c>
      <c r="B110" s="13" t="s">
        <v>235</v>
      </c>
      <c r="C110" s="14">
        <v>45431</v>
      </c>
      <c r="D110" s="13">
        <v>2024</v>
      </c>
      <c r="E110" s="13" t="s">
        <v>14</v>
      </c>
      <c r="F110" s="13" t="s">
        <v>22</v>
      </c>
      <c r="G110" s="15">
        <v>1610.13</v>
      </c>
      <c r="H110" s="15">
        <v>1610.13</v>
      </c>
      <c r="I110" s="13">
        <v>8</v>
      </c>
      <c r="J110" s="13">
        <v>8</v>
      </c>
      <c r="K110" s="13" t="s">
        <v>3346</v>
      </c>
      <c r="L110" s="15">
        <v>201.26625000000001</v>
      </c>
      <c r="M110" s="16">
        <v>201.26625000000001</v>
      </c>
    </row>
    <row r="111" spans="1:13" s="5" customFormat="1" x14ac:dyDescent="0.25">
      <c r="A111" s="12" t="s">
        <v>236</v>
      </c>
      <c r="B111" s="13" t="s">
        <v>237</v>
      </c>
      <c r="C111" s="14">
        <v>45075</v>
      </c>
      <c r="D111" s="13">
        <v>2023</v>
      </c>
      <c r="E111" s="13" t="s">
        <v>3347</v>
      </c>
      <c r="F111" s="13" t="s">
        <v>11</v>
      </c>
      <c r="G111" s="15">
        <v>1243.5899999999999</v>
      </c>
      <c r="H111" s="15">
        <v>1243.5899999999999</v>
      </c>
      <c r="I111" s="13">
        <v>9</v>
      </c>
      <c r="J111" s="13">
        <v>9</v>
      </c>
      <c r="K111" s="13" t="s">
        <v>3346</v>
      </c>
      <c r="L111" s="15">
        <v>138.17666666666665</v>
      </c>
      <c r="M111" s="16">
        <v>138.17666666666665</v>
      </c>
    </row>
    <row r="112" spans="1:13" s="5" customFormat="1" x14ac:dyDescent="0.25">
      <c r="A112" s="12" t="s">
        <v>238</v>
      </c>
      <c r="B112" s="13" t="s">
        <v>239</v>
      </c>
      <c r="C112" s="14">
        <v>45021</v>
      </c>
      <c r="D112" s="13">
        <v>2023</v>
      </c>
      <c r="E112" s="13" t="s">
        <v>3347</v>
      </c>
      <c r="F112" s="13" t="s">
        <v>22</v>
      </c>
      <c r="G112" s="15">
        <v>1516.63</v>
      </c>
      <c r="H112" s="15">
        <v>1516.63</v>
      </c>
      <c r="I112" s="13">
        <v>5</v>
      </c>
      <c r="J112" s="13">
        <v>5</v>
      </c>
      <c r="K112" s="13" t="s">
        <v>18</v>
      </c>
      <c r="L112" s="15">
        <v>303.32600000000002</v>
      </c>
      <c r="M112" s="16">
        <v>303.32600000000002</v>
      </c>
    </row>
    <row r="113" spans="1:13" s="5" customFormat="1" x14ac:dyDescent="0.25">
      <c r="A113" s="12" t="s">
        <v>240</v>
      </c>
      <c r="B113" s="13" t="s">
        <v>241</v>
      </c>
      <c r="C113" s="14">
        <v>45911</v>
      </c>
      <c r="D113" s="13">
        <v>2025</v>
      </c>
      <c r="E113" s="13" t="s">
        <v>10</v>
      </c>
      <c r="F113" s="13" t="s">
        <v>11</v>
      </c>
      <c r="G113" s="15">
        <v>1879.23</v>
      </c>
      <c r="H113" s="15">
        <v>1879.23</v>
      </c>
      <c r="I113" s="13">
        <v>5</v>
      </c>
      <c r="J113" s="13">
        <v>5</v>
      </c>
      <c r="K113" s="13" t="s">
        <v>3346</v>
      </c>
      <c r="L113" s="15">
        <v>375.846</v>
      </c>
      <c r="M113" s="16">
        <v>375.846</v>
      </c>
    </row>
    <row r="114" spans="1:13" s="5" customFormat="1" x14ac:dyDescent="0.25">
      <c r="A114" s="12" t="s">
        <v>242</v>
      </c>
      <c r="B114" s="13" t="s">
        <v>243</v>
      </c>
      <c r="C114" s="14">
        <v>45312</v>
      </c>
      <c r="D114" s="13">
        <v>2024</v>
      </c>
      <c r="E114" s="13" t="s">
        <v>14</v>
      </c>
      <c r="F114" s="13" t="s">
        <v>11</v>
      </c>
      <c r="G114" s="15">
        <v>182.94247619047619</v>
      </c>
      <c r="H114" s="15">
        <v>182.94247619047619</v>
      </c>
      <c r="I114" s="13">
        <v>3</v>
      </c>
      <c r="J114" s="13">
        <v>3</v>
      </c>
      <c r="K114" s="13" t="s">
        <v>18</v>
      </c>
      <c r="L114" s="15">
        <v>60.980825396825395</v>
      </c>
      <c r="M114" s="16">
        <v>60.980825396825395</v>
      </c>
    </row>
    <row r="115" spans="1:13" s="5" customFormat="1" x14ac:dyDescent="0.25">
      <c r="A115" s="12" t="s">
        <v>244</v>
      </c>
      <c r="B115" s="13" t="s">
        <v>245</v>
      </c>
      <c r="C115" s="14">
        <v>45252</v>
      </c>
      <c r="D115" s="13">
        <v>2023</v>
      </c>
      <c r="E115" s="13" t="s">
        <v>21</v>
      </c>
      <c r="F115" s="13" t="s">
        <v>22</v>
      </c>
      <c r="G115" s="15">
        <v>1468.16</v>
      </c>
      <c r="H115" s="15">
        <v>1468.16</v>
      </c>
      <c r="I115" s="13">
        <v>10</v>
      </c>
      <c r="J115" s="13">
        <v>10</v>
      </c>
      <c r="K115" s="13" t="s">
        <v>15</v>
      </c>
      <c r="L115" s="15">
        <v>146.816</v>
      </c>
      <c r="M115" s="16">
        <v>146.816</v>
      </c>
    </row>
    <row r="116" spans="1:13" s="5" customFormat="1" x14ac:dyDescent="0.25">
      <c r="A116" s="12" t="s">
        <v>246</v>
      </c>
      <c r="B116" s="13" t="s">
        <v>247</v>
      </c>
      <c r="C116" s="14">
        <v>44909</v>
      </c>
      <c r="D116" s="13">
        <v>2022</v>
      </c>
      <c r="E116" s="13" t="s">
        <v>10</v>
      </c>
      <c r="F116" s="13" t="s">
        <v>11</v>
      </c>
      <c r="G116" s="15">
        <v>1635.78</v>
      </c>
      <c r="H116" s="15">
        <v>1635.78</v>
      </c>
      <c r="I116" s="13">
        <v>3</v>
      </c>
      <c r="J116" s="13">
        <v>3</v>
      </c>
      <c r="K116" s="13" t="s">
        <v>3348</v>
      </c>
      <c r="L116" s="15">
        <v>545.26</v>
      </c>
      <c r="M116" s="16">
        <v>545.26</v>
      </c>
    </row>
    <row r="117" spans="1:13" s="5" customFormat="1" x14ac:dyDescent="0.25">
      <c r="A117" s="12" t="s">
        <v>248</v>
      </c>
      <c r="B117" s="13" t="s">
        <v>249</v>
      </c>
      <c r="C117" s="14">
        <v>45037</v>
      </c>
      <c r="D117" s="13">
        <v>2023</v>
      </c>
      <c r="E117" s="13" t="s">
        <v>3347</v>
      </c>
      <c r="F117" s="13" t="s">
        <v>25</v>
      </c>
      <c r="G117" s="15">
        <v>784.11</v>
      </c>
      <c r="H117" s="15">
        <v>784.11</v>
      </c>
      <c r="I117" s="13">
        <v>1</v>
      </c>
      <c r="J117" s="13">
        <v>1</v>
      </c>
      <c r="K117" s="13" t="s">
        <v>35</v>
      </c>
      <c r="L117" s="15">
        <v>784.11</v>
      </c>
      <c r="M117" s="16">
        <v>784.11</v>
      </c>
    </row>
    <row r="118" spans="1:13" s="5" customFormat="1" x14ac:dyDescent="0.25">
      <c r="A118" s="12" t="s">
        <v>250</v>
      </c>
      <c r="B118" s="13" t="s">
        <v>251</v>
      </c>
      <c r="C118" s="14">
        <v>45119</v>
      </c>
      <c r="D118" s="13">
        <v>2023</v>
      </c>
      <c r="E118" s="13" t="s">
        <v>3347</v>
      </c>
      <c r="F118" s="13" t="s">
        <v>25</v>
      </c>
      <c r="G118" s="15">
        <v>315.77</v>
      </c>
      <c r="H118" s="15">
        <v>315.77</v>
      </c>
      <c r="I118" s="13">
        <v>10</v>
      </c>
      <c r="J118" s="13">
        <v>10</v>
      </c>
      <c r="K118" s="13" t="s">
        <v>15</v>
      </c>
      <c r="L118" s="15">
        <v>31.576999999999998</v>
      </c>
      <c r="M118" s="16">
        <v>31.576999999999998</v>
      </c>
    </row>
    <row r="119" spans="1:13" s="5" customFormat="1" x14ac:dyDescent="0.25">
      <c r="A119" s="12" t="s">
        <v>252</v>
      </c>
      <c r="B119" s="13" t="s">
        <v>253</v>
      </c>
      <c r="C119" s="14">
        <v>45609</v>
      </c>
      <c r="D119" s="13">
        <v>2024</v>
      </c>
      <c r="E119" s="13" t="s">
        <v>10</v>
      </c>
      <c r="F119" s="13" t="s">
        <v>25</v>
      </c>
      <c r="G119" s="15">
        <v>1149.03</v>
      </c>
      <c r="H119" s="15">
        <v>1149.03</v>
      </c>
      <c r="I119" s="13">
        <v>4</v>
      </c>
      <c r="J119" s="13">
        <v>4</v>
      </c>
      <c r="K119" s="13" t="s">
        <v>35</v>
      </c>
      <c r="L119" s="15">
        <v>287.25749999999999</v>
      </c>
      <c r="M119" s="16">
        <v>287.25749999999999</v>
      </c>
    </row>
    <row r="120" spans="1:13" s="5" customFormat="1" x14ac:dyDescent="0.25">
      <c r="A120" s="12" t="s">
        <v>254</v>
      </c>
      <c r="B120" s="13" t="s">
        <v>255</v>
      </c>
      <c r="C120" s="14">
        <v>45033</v>
      </c>
      <c r="D120" s="13">
        <v>2023</v>
      </c>
      <c r="E120" s="13" t="s">
        <v>3347</v>
      </c>
      <c r="F120" s="13" t="s">
        <v>34</v>
      </c>
      <c r="G120" s="15">
        <v>1286.0661388888889</v>
      </c>
      <c r="H120" s="15">
        <v>1286.0661388888889</v>
      </c>
      <c r="I120" s="13">
        <v>6</v>
      </c>
      <c r="J120" s="13">
        <v>6</v>
      </c>
      <c r="K120" s="13" t="s">
        <v>18</v>
      </c>
      <c r="L120" s="15">
        <v>214.34435648148147</v>
      </c>
      <c r="M120" s="16">
        <v>214.34435648148147</v>
      </c>
    </row>
    <row r="121" spans="1:13" s="5" customFormat="1" x14ac:dyDescent="0.25">
      <c r="A121" s="12" t="s">
        <v>256</v>
      </c>
      <c r="B121" s="13" t="s">
        <v>257</v>
      </c>
      <c r="C121" s="14">
        <v>45072</v>
      </c>
      <c r="D121" s="13">
        <v>2023</v>
      </c>
      <c r="E121" s="13" t="s">
        <v>21</v>
      </c>
      <c r="F121" s="13" t="s">
        <v>11</v>
      </c>
      <c r="G121" s="15">
        <v>3590.6675</v>
      </c>
      <c r="H121" s="15">
        <v>3548.2821388888883</v>
      </c>
      <c r="I121" s="13">
        <v>4</v>
      </c>
      <c r="J121" s="13">
        <v>4</v>
      </c>
      <c r="K121" s="13" t="s">
        <v>18</v>
      </c>
      <c r="L121" s="15">
        <v>897.666875</v>
      </c>
      <c r="M121" s="16">
        <v>897.666875</v>
      </c>
    </row>
    <row r="122" spans="1:13" s="5" customFormat="1" x14ac:dyDescent="0.25">
      <c r="A122" s="12" t="s">
        <v>258</v>
      </c>
      <c r="B122" s="13" t="s">
        <v>259</v>
      </c>
      <c r="C122" s="14">
        <v>44970</v>
      </c>
      <c r="D122" s="13">
        <v>2023</v>
      </c>
      <c r="E122" s="13" t="s">
        <v>10</v>
      </c>
      <c r="F122" s="13" t="s">
        <v>11</v>
      </c>
      <c r="G122" s="15">
        <v>1157.72</v>
      </c>
      <c r="H122" s="15">
        <v>1157.72</v>
      </c>
      <c r="I122" s="13">
        <v>1</v>
      </c>
      <c r="J122" s="13">
        <v>1</v>
      </c>
      <c r="K122" s="13" t="s">
        <v>3348</v>
      </c>
      <c r="L122" s="15">
        <v>1157.72</v>
      </c>
      <c r="M122" s="16">
        <v>1157.72</v>
      </c>
    </row>
    <row r="123" spans="1:13" s="5" customFormat="1" x14ac:dyDescent="0.25">
      <c r="A123" s="12" t="s">
        <v>260</v>
      </c>
      <c r="B123" s="13" t="s">
        <v>261</v>
      </c>
      <c r="C123" s="14">
        <v>45075</v>
      </c>
      <c r="D123" s="13">
        <v>2023</v>
      </c>
      <c r="E123" s="13" t="s">
        <v>14</v>
      </c>
      <c r="F123" s="13" t="s">
        <v>22</v>
      </c>
      <c r="G123" s="15">
        <v>1411.66</v>
      </c>
      <c r="H123" s="15">
        <v>1411.66</v>
      </c>
      <c r="I123" s="13">
        <v>10</v>
      </c>
      <c r="J123" s="13">
        <v>10</v>
      </c>
      <c r="K123" s="13" t="s">
        <v>3346</v>
      </c>
      <c r="L123" s="15">
        <v>141.166</v>
      </c>
      <c r="M123" s="16">
        <v>141.166</v>
      </c>
    </row>
    <row r="124" spans="1:13" s="5" customFormat="1" x14ac:dyDescent="0.25">
      <c r="A124" s="12" t="s">
        <v>262</v>
      </c>
      <c r="B124" s="13" t="s">
        <v>263</v>
      </c>
      <c r="C124" s="14">
        <v>44967</v>
      </c>
      <c r="D124" s="13">
        <v>2023</v>
      </c>
      <c r="E124" s="13" t="s">
        <v>10</v>
      </c>
      <c r="F124" s="13" t="s">
        <v>11</v>
      </c>
      <c r="G124" s="15">
        <v>988.84324603174593</v>
      </c>
      <c r="H124" s="15">
        <v>988.84324603174593</v>
      </c>
      <c r="I124" s="13">
        <v>2</v>
      </c>
      <c r="J124" s="13">
        <v>2</v>
      </c>
      <c r="K124" s="13" t="s">
        <v>15</v>
      </c>
      <c r="L124" s="15">
        <v>494.42162301587297</v>
      </c>
      <c r="M124" s="16">
        <v>494.42162301587297</v>
      </c>
    </row>
    <row r="125" spans="1:13" s="5" customFormat="1" x14ac:dyDescent="0.25">
      <c r="A125" s="12" t="s">
        <v>264</v>
      </c>
      <c r="B125" s="13" t="s">
        <v>265</v>
      </c>
      <c r="C125" s="14">
        <v>45086</v>
      </c>
      <c r="D125" s="13">
        <v>2023</v>
      </c>
      <c r="E125" s="13" t="s">
        <v>21</v>
      </c>
      <c r="F125" s="13" t="s">
        <v>25</v>
      </c>
      <c r="G125" s="15">
        <v>1002.49</v>
      </c>
      <c r="H125" s="15">
        <v>1002.49</v>
      </c>
      <c r="I125" s="13">
        <v>10</v>
      </c>
      <c r="J125" s="13">
        <v>10</v>
      </c>
      <c r="K125" s="13" t="s">
        <v>18</v>
      </c>
      <c r="L125" s="15">
        <v>100.249</v>
      </c>
      <c r="M125" s="16">
        <v>100.249</v>
      </c>
    </row>
    <row r="126" spans="1:13" s="5" customFormat="1" x14ac:dyDescent="0.25">
      <c r="A126" s="12" t="s">
        <v>266</v>
      </c>
      <c r="B126" s="13" t="s">
        <v>267</v>
      </c>
      <c r="C126" s="14">
        <v>44890</v>
      </c>
      <c r="D126" s="13">
        <v>2022</v>
      </c>
      <c r="E126" s="13" t="s">
        <v>10</v>
      </c>
      <c r="F126" s="13" t="s">
        <v>22</v>
      </c>
      <c r="G126" s="15">
        <v>1329.3</v>
      </c>
      <c r="H126" s="15">
        <v>1329.3</v>
      </c>
      <c r="I126" s="13">
        <v>4</v>
      </c>
      <c r="J126" s="13">
        <v>4</v>
      </c>
      <c r="K126" s="13" t="s">
        <v>3348</v>
      </c>
      <c r="L126" s="15">
        <v>332.32499999999999</v>
      </c>
      <c r="M126" s="16">
        <v>332.32499999999999</v>
      </c>
    </row>
    <row r="127" spans="1:13" s="5" customFormat="1" x14ac:dyDescent="0.25">
      <c r="A127" s="12" t="s">
        <v>268</v>
      </c>
      <c r="B127" s="13" t="s">
        <v>269</v>
      </c>
      <c r="C127" s="14">
        <v>45938</v>
      </c>
      <c r="D127" s="13">
        <v>2025</v>
      </c>
      <c r="E127" s="13" t="s">
        <v>10</v>
      </c>
      <c r="F127" s="13" t="s">
        <v>22</v>
      </c>
      <c r="G127" s="15">
        <v>1022.71</v>
      </c>
      <c r="H127" s="15">
        <v>1022.71</v>
      </c>
      <c r="I127" s="13">
        <v>3</v>
      </c>
      <c r="J127" s="13">
        <v>3</v>
      </c>
      <c r="K127" s="13" t="s">
        <v>35</v>
      </c>
      <c r="L127" s="15">
        <v>340.90333333333336</v>
      </c>
      <c r="M127" s="16">
        <v>340.90333333333336</v>
      </c>
    </row>
    <row r="128" spans="1:13" s="5" customFormat="1" x14ac:dyDescent="0.25">
      <c r="A128" s="12" t="s">
        <v>270</v>
      </c>
      <c r="B128" s="13" t="s">
        <v>271</v>
      </c>
      <c r="C128" s="14">
        <v>45259</v>
      </c>
      <c r="D128" s="13">
        <v>2023</v>
      </c>
      <c r="E128" s="13" t="s">
        <v>14</v>
      </c>
      <c r="F128" s="13" t="s">
        <v>11</v>
      </c>
      <c r="G128" s="15">
        <v>1544.86</v>
      </c>
      <c r="H128" s="15">
        <v>1544.86</v>
      </c>
      <c r="I128" s="13">
        <v>10</v>
      </c>
      <c r="J128" s="13">
        <v>10</v>
      </c>
      <c r="K128" s="13" t="s">
        <v>3348</v>
      </c>
      <c r="L128" s="15">
        <v>154.48599999999999</v>
      </c>
      <c r="M128" s="16">
        <v>154.48599999999999</v>
      </c>
    </row>
    <row r="129" spans="1:13" s="5" customFormat="1" x14ac:dyDescent="0.25">
      <c r="A129" s="12" t="s">
        <v>272</v>
      </c>
      <c r="B129" s="13" t="s">
        <v>273</v>
      </c>
      <c r="C129" s="14">
        <v>45361</v>
      </c>
      <c r="D129" s="13">
        <v>2024</v>
      </c>
      <c r="E129" s="13" t="s">
        <v>21</v>
      </c>
      <c r="F129" s="13" t="s">
        <v>22</v>
      </c>
      <c r="G129" s="15">
        <v>1817.99</v>
      </c>
      <c r="H129" s="15">
        <v>1817.99</v>
      </c>
      <c r="I129" s="13">
        <v>10</v>
      </c>
      <c r="J129" s="13">
        <v>10</v>
      </c>
      <c r="K129" s="13" t="s">
        <v>35</v>
      </c>
      <c r="L129" s="15">
        <v>181.79900000000001</v>
      </c>
      <c r="M129" s="16">
        <v>181.79900000000001</v>
      </c>
    </row>
    <row r="130" spans="1:13" s="5" customFormat="1" x14ac:dyDescent="0.25">
      <c r="A130" s="12" t="s">
        <v>274</v>
      </c>
      <c r="B130" s="13" t="s">
        <v>275</v>
      </c>
      <c r="C130" s="14">
        <v>45670</v>
      </c>
      <c r="D130" s="13">
        <v>2025</v>
      </c>
      <c r="E130" s="13" t="s">
        <v>14</v>
      </c>
      <c r="F130" s="13" t="s">
        <v>34</v>
      </c>
      <c r="G130" s="15">
        <v>1054.05</v>
      </c>
      <c r="H130" s="15">
        <v>1054.05</v>
      </c>
      <c r="I130" s="13">
        <v>1</v>
      </c>
      <c r="J130" s="13">
        <v>1</v>
      </c>
      <c r="K130" s="13" t="s">
        <v>3348</v>
      </c>
      <c r="L130" s="15">
        <v>1054.05</v>
      </c>
      <c r="M130" s="16">
        <v>1054.05</v>
      </c>
    </row>
    <row r="131" spans="1:13" s="5" customFormat="1" x14ac:dyDescent="0.25">
      <c r="A131" s="12" t="s">
        <v>276</v>
      </c>
      <c r="B131" s="13" t="s">
        <v>277</v>
      </c>
      <c r="C131" s="14">
        <v>44971</v>
      </c>
      <c r="D131" s="13">
        <v>2023</v>
      </c>
      <c r="E131" s="13" t="s">
        <v>14</v>
      </c>
      <c r="F131" s="13" t="s">
        <v>25</v>
      </c>
      <c r="G131" s="15">
        <v>1811.06</v>
      </c>
      <c r="H131" s="15">
        <v>1811.06</v>
      </c>
      <c r="I131" s="13">
        <v>4</v>
      </c>
      <c r="J131" s="13">
        <v>4</v>
      </c>
      <c r="K131" s="13" t="s">
        <v>15</v>
      </c>
      <c r="L131" s="15">
        <v>452.76499999999999</v>
      </c>
      <c r="M131" s="16">
        <v>452.76499999999999</v>
      </c>
    </row>
    <row r="132" spans="1:13" s="5" customFormat="1" x14ac:dyDescent="0.25">
      <c r="A132" s="12" t="s">
        <v>278</v>
      </c>
      <c r="B132" s="13" t="s">
        <v>279</v>
      </c>
      <c r="C132" s="14">
        <v>45946</v>
      </c>
      <c r="D132" s="13">
        <v>2025</v>
      </c>
      <c r="E132" s="13" t="s">
        <v>10</v>
      </c>
      <c r="F132" s="13" t="s">
        <v>34</v>
      </c>
      <c r="G132" s="15">
        <v>1822.81</v>
      </c>
      <c r="H132" s="15">
        <v>1822.81</v>
      </c>
      <c r="I132" s="13">
        <v>8</v>
      </c>
      <c r="J132" s="13">
        <v>8</v>
      </c>
      <c r="K132" s="13" t="s">
        <v>3346</v>
      </c>
      <c r="L132" s="15">
        <v>227.85124999999999</v>
      </c>
      <c r="M132" s="16">
        <v>227.85124999999999</v>
      </c>
    </row>
    <row r="133" spans="1:13" s="5" customFormat="1" x14ac:dyDescent="0.25">
      <c r="A133" s="12" t="s">
        <v>280</v>
      </c>
      <c r="B133" s="13" t="s">
        <v>281</v>
      </c>
      <c r="C133" s="14">
        <v>45838</v>
      </c>
      <c r="D133" s="13">
        <v>2025</v>
      </c>
      <c r="E133" s="13" t="s">
        <v>3347</v>
      </c>
      <c r="F133" s="13" t="s">
        <v>34</v>
      </c>
      <c r="G133" s="15">
        <v>1730.71</v>
      </c>
      <c r="H133" s="15">
        <v>1730.71</v>
      </c>
      <c r="I133" s="13">
        <v>8</v>
      </c>
      <c r="J133" s="13">
        <v>8</v>
      </c>
      <c r="K133" s="13" t="s">
        <v>3348</v>
      </c>
      <c r="L133" s="15">
        <v>216.33875</v>
      </c>
      <c r="M133" s="16">
        <v>216.33875</v>
      </c>
    </row>
    <row r="134" spans="1:13" s="5" customFormat="1" x14ac:dyDescent="0.25">
      <c r="A134" s="12" t="s">
        <v>282</v>
      </c>
      <c r="B134" s="13" t="s">
        <v>283</v>
      </c>
      <c r="C134" s="14">
        <v>45479</v>
      </c>
      <c r="D134" s="13">
        <v>2024</v>
      </c>
      <c r="E134" s="13" t="s">
        <v>21</v>
      </c>
      <c r="F134" s="13" t="s">
        <v>22</v>
      </c>
      <c r="G134" s="15">
        <v>321.24</v>
      </c>
      <c r="H134" s="15">
        <v>321.24</v>
      </c>
      <c r="I134" s="13">
        <v>1</v>
      </c>
      <c r="J134" s="13">
        <v>1</v>
      </c>
      <c r="K134" s="13" t="s">
        <v>15</v>
      </c>
      <c r="L134" s="15">
        <v>321.24</v>
      </c>
      <c r="M134" s="16">
        <v>321.24</v>
      </c>
    </row>
    <row r="135" spans="1:13" s="5" customFormat="1" x14ac:dyDescent="0.25">
      <c r="A135" s="12" t="s">
        <v>284</v>
      </c>
      <c r="B135" s="13" t="s">
        <v>285</v>
      </c>
      <c r="C135" s="14">
        <v>45254</v>
      </c>
      <c r="D135" s="13">
        <v>2023</v>
      </c>
      <c r="E135" s="13" t="s">
        <v>3347</v>
      </c>
      <c r="F135" s="13" t="s">
        <v>25</v>
      </c>
      <c r="G135" s="15">
        <v>574</v>
      </c>
      <c r="H135" s="15">
        <v>574</v>
      </c>
      <c r="I135" s="13">
        <v>7</v>
      </c>
      <c r="J135" s="13">
        <v>7</v>
      </c>
      <c r="K135" s="13" t="s">
        <v>35</v>
      </c>
      <c r="L135" s="15">
        <v>82</v>
      </c>
      <c r="M135" s="16">
        <v>82</v>
      </c>
    </row>
    <row r="136" spans="1:13" s="5" customFormat="1" x14ac:dyDescent="0.25">
      <c r="A136" s="12" t="s">
        <v>286</v>
      </c>
      <c r="B136" s="13" t="s">
        <v>287</v>
      </c>
      <c r="C136" s="14">
        <v>44952</v>
      </c>
      <c r="D136" s="13">
        <v>2023</v>
      </c>
      <c r="E136" s="13" t="s">
        <v>21</v>
      </c>
      <c r="F136" s="13" t="s">
        <v>34</v>
      </c>
      <c r="G136" s="15">
        <v>748.03</v>
      </c>
      <c r="H136" s="15">
        <v>748.03</v>
      </c>
      <c r="I136" s="13">
        <v>1</v>
      </c>
      <c r="J136" s="13">
        <v>1</v>
      </c>
      <c r="K136" s="13" t="s">
        <v>35</v>
      </c>
      <c r="L136" s="15">
        <v>748.03</v>
      </c>
      <c r="M136" s="16">
        <v>748.03</v>
      </c>
    </row>
    <row r="137" spans="1:13" s="5" customFormat="1" x14ac:dyDescent="0.25">
      <c r="A137" s="12" t="s">
        <v>288</v>
      </c>
      <c r="B137" s="13" t="s">
        <v>289</v>
      </c>
      <c r="C137" s="14">
        <v>45822</v>
      </c>
      <c r="D137" s="13">
        <v>2025</v>
      </c>
      <c r="E137" s="13" t="s">
        <v>14</v>
      </c>
      <c r="F137" s="13" t="s">
        <v>11</v>
      </c>
      <c r="G137" s="15">
        <v>1359.5</v>
      </c>
      <c r="H137" s="15">
        <v>1359.5</v>
      </c>
      <c r="I137" s="13">
        <v>2</v>
      </c>
      <c r="J137" s="13">
        <v>2</v>
      </c>
      <c r="K137" s="13" t="s">
        <v>3346</v>
      </c>
      <c r="L137" s="15">
        <v>679.75</v>
      </c>
      <c r="M137" s="16">
        <v>679.75</v>
      </c>
    </row>
    <row r="138" spans="1:13" s="5" customFormat="1" x14ac:dyDescent="0.25">
      <c r="A138" s="12" t="s">
        <v>290</v>
      </c>
      <c r="B138" s="13" t="s">
        <v>291</v>
      </c>
      <c r="C138" s="14">
        <v>45328</v>
      </c>
      <c r="D138" s="13">
        <v>2024</v>
      </c>
      <c r="E138" s="13" t="s">
        <v>3347</v>
      </c>
      <c r="F138" s="13" t="s">
        <v>34</v>
      </c>
      <c r="G138" s="15">
        <v>463.15</v>
      </c>
      <c r="H138" s="15">
        <v>463.15</v>
      </c>
      <c r="I138" s="13">
        <v>7</v>
      </c>
      <c r="J138" s="13">
        <v>7</v>
      </c>
      <c r="K138" s="13" t="s">
        <v>35</v>
      </c>
      <c r="L138" s="15">
        <v>66.164285714285711</v>
      </c>
      <c r="M138" s="16">
        <v>66.164285714285711</v>
      </c>
    </row>
    <row r="139" spans="1:13" s="5" customFormat="1" x14ac:dyDescent="0.25">
      <c r="A139" s="12" t="s">
        <v>292</v>
      </c>
      <c r="B139" s="13" t="s">
        <v>293</v>
      </c>
      <c r="C139" s="14">
        <v>45131</v>
      </c>
      <c r="D139" s="13">
        <v>2023</v>
      </c>
      <c r="E139" s="13" t="s">
        <v>21</v>
      </c>
      <c r="F139" s="13" t="s">
        <v>22</v>
      </c>
      <c r="G139" s="15">
        <v>1300.74</v>
      </c>
      <c r="H139" s="15">
        <v>1300.74</v>
      </c>
      <c r="I139" s="13">
        <v>9</v>
      </c>
      <c r="J139" s="13">
        <v>9</v>
      </c>
      <c r="K139" s="13" t="s">
        <v>3346</v>
      </c>
      <c r="L139" s="15">
        <v>144.52666666666667</v>
      </c>
      <c r="M139" s="16">
        <v>149.88264444444445</v>
      </c>
    </row>
    <row r="140" spans="1:13" s="5" customFormat="1" x14ac:dyDescent="0.25">
      <c r="A140" s="12" t="s">
        <v>294</v>
      </c>
      <c r="B140" s="13" t="s">
        <v>295</v>
      </c>
      <c r="C140" s="14">
        <v>45058</v>
      </c>
      <c r="D140" s="13">
        <v>2023</v>
      </c>
      <c r="E140" s="13" t="s">
        <v>10</v>
      </c>
      <c r="F140" s="13" t="s">
        <v>11</v>
      </c>
      <c r="G140" s="15">
        <v>1408.82</v>
      </c>
      <c r="H140" s="15">
        <v>1408.82</v>
      </c>
      <c r="I140" s="13">
        <v>10</v>
      </c>
      <c r="J140" s="13">
        <v>10</v>
      </c>
      <c r="K140" s="13" t="s">
        <v>15</v>
      </c>
      <c r="L140" s="15">
        <v>140.88200000000001</v>
      </c>
      <c r="M140" s="16">
        <v>140.88200000000001</v>
      </c>
    </row>
    <row r="141" spans="1:13" s="5" customFormat="1" x14ac:dyDescent="0.25">
      <c r="A141" s="12" t="s">
        <v>296</v>
      </c>
      <c r="B141" s="13" t="s">
        <v>297</v>
      </c>
      <c r="C141" s="14">
        <v>45754</v>
      </c>
      <c r="D141" s="13">
        <v>2025</v>
      </c>
      <c r="E141" s="13" t="s">
        <v>21</v>
      </c>
      <c r="F141" s="13" t="s">
        <v>22</v>
      </c>
      <c r="G141" s="15">
        <v>1677.27</v>
      </c>
      <c r="H141" s="15">
        <v>1677.27</v>
      </c>
      <c r="I141" s="13">
        <v>5</v>
      </c>
      <c r="J141" s="13">
        <v>5</v>
      </c>
      <c r="K141" s="13" t="s">
        <v>15</v>
      </c>
      <c r="L141" s="15">
        <v>335.45400000000001</v>
      </c>
      <c r="M141" s="16">
        <v>335.45400000000001</v>
      </c>
    </row>
    <row r="142" spans="1:13" s="5" customFormat="1" x14ac:dyDescent="0.25">
      <c r="A142" s="12" t="s">
        <v>298</v>
      </c>
      <c r="B142" s="13" t="s">
        <v>299</v>
      </c>
      <c r="C142" s="14">
        <v>45382</v>
      </c>
      <c r="D142" s="13">
        <v>2024</v>
      </c>
      <c r="E142" s="13" t="s">
        <v>10</v>
      </c>
      <c r="F142" s="13" t="s">
        <v>11</v>
      </c>
      <c r="G142" s="15">
        <v>1447.73</v>
      </c>
      <c r="H142" s="15">
        <v>1447.73</v>
      </c>
      <c r="I142" s="13">
        <v>4</v>
      </c>
      <c r="J142" s="13">
        <v>4</v>
      </c>
      <c r="K142" s="13" t="s">
        <v>3346</v>
      </c>
      <c r="L142" s="15">
        <v>361.9325</v>
      </c>
      <c r="M142" s="16">
        <v>361.9325</v>
      </c>
    </row>
    <row r="143" spans="1:13" s="5" customFormat="1" x14ac:dyDescent="0.25">
      <c r="A143" s="12" t="s">
        <v>300</v>
      </c>
      <c r="B143" s="13" t="s">
        <v>301</v>
      </c>
      <c r="C143" s="14">
        <v>45528</v>
      </c>
      <c r="D143" s="13">
        <v>2024</v>
      </c>
      <c r="E143" s="13" t="s">
        <v>10</v>
      </c>
      <c r="F143" s="13" t="s">
        <v>25</v>
      </c>
      <c r="G143" s="15">
        <v>1289.8137499999998</v>
      </c>
      <c r="H143" s="15">
        <v>1289.8137499999998</v>
      </c>
      <c r="I143" s="13">
        <v>5</v>
      </c>
      <c r="J143" s="13">
        <v>5</v>
      </c>
      <c r="K143" s="13" t="s">
        <v>18</v>
      </c>
      <c r="L143" s="15">
        <v>257.96274999999997</v>
      </c>
      <c r="M143" s="16">
        <v>257.96274999999997</v>
      </c>
    </row>
    <row r="144" spans="1:13" s="5" customFormat="1" x14ac:dyDescent="0.25">
      <c r="A144" s="12" t="s">
        <v>302</v>
      </c>
      <c r="B144" s="13" t="s">
        <v>303</v>
      </c>
      <c r="C144" s="14">
        <v>45400</v>
      </c>
      <c r="D144" s="13">
        <v>2024</v>
      </c>
      <c r="E144" s="13" t="s">
        <v>10</v>
      </c>
      <c r="F144" s="13" t="s">
        <v>11</v>
      </c>
      <c r="G144" s="15">
        <v>1314.28</v>
      </c>
      <c r="H144" s="15">
        <v>1314.28</v>
      </c>
      <c r="I144" s="13">
        <v>6</v>
      </c>
      <c r="J144" s="13">
        <v>6</v>
      </c>
      <c r="K144" s="13" t="s">
        <v>15</v>
      </c>
      <c r="L144" s="15">
        <v>219.04666666666665</v>
      </c>
      <c r="M144" s="16">
        <v>219.04666666666665</v>
      </c>
    </row>
    <row r="145" spans="1:13" s="5" customFormat="1" x14ac:dyDescent="0.25">
      <c r="A145" s="12" t="s">
        <v>304</v>
      </c>
      <c r="B145" s="13" t="s">
        <v>305</v>
      </c>
      <c r="C145" s="14">
        <v>45771</v>
      </c>
      <c r="D145" s="13">
        <v>2025</v>
      </c>
      <c r="E145" s="13" t="s">
        <v>21</v>
      </c>
      <c r="F145" s="13" t="s">
        <v>34</v>
      </c>
      <c r="G145" s="15">
        <v>1999.23</v>
      </c>
      <c r="H145" s="15">
        <v>1999.23</v>
      </c>
      <c r="I145" s="13">
        <v>8</v>
      </c>
      <c r="J145" s="13">
        <v>8</v>
      </c>
      <c r="K145" s="13" t="s">
        <v>35</v>
      </c>
      <c r="L145" s="15">
        <v>249.90375</v>
      </c>
      <c r="M145" s="16">
        <v>249.90375</v>
      </c>
    </row>
    <row r="146" spans="1:13" s="5" customFormat="1" x14ac:dyDescent="0.25">
      <c r="A146" s="12" t="s">
        <v>306</v>
      </c>
      <c r="B146" s="13" t="s">
        <v>307</v>
      </c>
      <c r="C146" s="14">
        <v>44990</v>
      </c>
      <c r="D146" s="13">
        <v>2023</v>
      </c>
      <c r="E146" s="13" t="s">
        <v>14</v>
      </c>
      <c r="F146" s="13" t="s">
        <v>22</v>
      </c>
      <c r="G146" s="15">
        <v>165.71</v>
      </c>
      <c r="H146" s="15">
        <v>165.71</v>
      </c>
      <c r="I146" s="13">
        <v>1</v>
      </c>
      <c r="J146" s="13">
        <v>1</v>
      </c>
      <c r="K146" s="13" t="s">
        <v>15</v>
      </c>
      <c r="L146" s="15">
        <v>165.71</v>
      </c>
      <c r="M146" s="16">
        <v>193.27346145124719</v>
      </c>
    </row>
    <row r="147" spans="1:13" s="5" customFormat="1" x14ac:dyDescent="0.25">
      <c r="A147" s="12" t="s">
        <v>308</v>
      </c>
      <c r="B147" s="13" t="s">
        <v>309</v>
      </c>
      <c r="C147" s="14">
        <v>45400</v>
      </c>
      <c r="D147" s="13">
        <v>2024</v>
      </c>
      <c r="E147" s="13" t="s">
        <v>3347</v>
      </c>
      <c r="F147" s="13" t="s">
        <v>11</v>
      </c>
      <c r="G147" s="15">
        <v>1130.77</v>
      </c>
      <c r="H147" s="15">
        <v>1130.77</v>
      </c>
      <c r="I147" s="13">
        <v>6</v>
      </c>
      <c r="J147" s="13">
        <v>6</v>
      </c>
      <c r="K147" s="13" t="s">
        <v>15</v>
      </c>
      <c r="L147" s="15">
        <v>188.46166666666667</v>
      </c>
      <c r="M147" s="16">
        <v>188.46166666666667</v>
      </c>
    </row>
    <row r="148" spans="1:13" s="5" customFormat="1" x14ac:dyDescent="0.25">
      <c r="A148" s="12" t="s">
        <v>310</v>
      </c>
      <c r="B148" s="13" t="s">
        <v>311</v>
      </c>
      <c r="C148" s="14">
        <v>44958</v>
      </c>
      <c r="D148" s="13">
        <v>2023</v>
      </c>
      <c r="E148" s="13" t="s">
        <v>14</v>
      </c>
      <c r="F148" s="13" t="s">
        <v>22</v>
      </c>
      <c r="G148" s="15">
        <v>322.62</v>
      </c>
      <c r="H148" s="15">
        <v>322.62</v>
      </c>
      <c r="I148" s="13">
        <v>3</v>
      </c>
      <c r="J148" s="13">
        <v>3</v>
      </c>
      <c r="K148" s="13" t="s">
        <v>18</v>
      </c>
      <c r="L148" s="15">
        <v>107.54</v>
      </c>
      <c r="M148" s="16">
        <v>107.54</v>
      </c>
    </row>
    <row r="149" spans="1:13" s="5" customFormat="1" x14ac:dyDescent="0.25">
      <c r="A149" s="12" t="s">
        <v>312</v>
      </c>
      <c r="B149" s="13" t="s">
        <v>313</v>
      </c>
      <c r="C149" s="14">
        <v>45791</v>
      </c>
      <c r="D149" s="13">
        <v>2025</v>
      </c>
      <c r="E149" s="13" t="s">
        <v>10</v>
      </c>
      <c r="F149" s="13" t="s">
        <v>34</v>
      </c>
      <c r="G149" s="15">
        <v>1638.61</v>
      </c>
      <c r="H149" s="15">
        <v>1638.61</v>
      </c>
      <c r="I149" s="13">
        <v>4</v>
      </c>
      <c r="J149" s="13">
        <v>4</v>
      </c>
      <c r="K149" s="13" t="s">
        <v>18</v>
      </c>
      <c r="L149" s="15">
        <v>409.65249999999997</v>
      </c>
      <c r="M149" s="16">
        <v>409.65249999999997</v>
      </c>
    </row>
    <row r="150" spans="1:13" s="5" customFormat="1" x14ac:dyDescent="0.25">
      <c r="A150" s="12" t="s">
        <v>314</v>
      </c>
      <c r="B150" s="13" t="s">
        <v>315</v>
      </c>
      <c r="C150" s="14">
        <v>44879</v>
      </c>
      <c r="D150" s="13">
        <v>2022</v>
      </c>
      <c r="E150" s="13" t="s">
        <v>21</v>
      </c>
      <c r="F150" s="13" t="s">
        <v>34</v>
      </c>
      <c r="G150" s="15">
        <v>232.25</v>
      </c>
      <c r="H150" s="15">
        <v>232.25</v>
      </c>
      <c r="I150" s="13">
        <v>3</v>
      </c>
      <c r="J150" s="13">
        <v>3</v>
      </c>
      <c r="K150" s="13" t="s">
        <v>3348</v>
      </c>
      <c r="L150" s="15">
        <v>77.416666666666671</v>
      </c>
      <c r="M150" s="16">
        <v>77.416666666666671</v>
      </c>
    </row>
    <row r="151" spans="1:13" s="5" customFormat="1" x14ac:dyDescent="0.25">
      <c r="A151" s="12" t="s">
        <v>316</v>
      </c>
      <c r="B151" s="13" t="s">
        <v>317</v>
      </c>
      <c r="C151" s="14">
        <v>45856</v>
      </c>
      <c r="D151" s="13">
        <v>2025</v>
      </c>
      <c r="E151" s="13" t="s">
        <v>3347</v>
      </c>
      <c r="F151" s="13" t="s">
        <v>11</v>
      </c>
      <c r="G151" s="15">
        <v>1788.38</v>
      </c>
      <c r="H151" s="15">
        <v>1788.38</v>
      </c>
      <c r="I151" s="13">
        <v>2</v>
      </c>
      <c r="J151" s="13">
        <v>2</v>
      </c>
      <c r="K151" s="13" t="s">
        <v>3348</v>
      </c>
      <c r="L151" s="15">
        <v>894.19</v>
      </c>
      <c r="M151" s="16">
        <v>894.19</v>
      </c>
    </row>
    <row r="152" spans="1:13" s="5" customFormat="1" x14ac:dyDescent="0.25">
      <c r="A152" s="12" t="s">
        <v>318</v>
      </c>
      <c r="B152" s="13" t="s">
        <v>319</v>
      </c>
      <c r="C152" s="14">
        <v>45664</v>
      </c>
      <c r="D152" s="13">
        <v>2025</v>
      </c>
      <c r="E152" s="13" t="s">
        <v>3347</v>
      </c>
      <c r="F152" s="13" t="s">
        <v>22</v>
      </c>
      <c r="G152" s="15">
        <v>1056.76</v>
      </c>
      <c r="H152" s="15">
        <v>1056.76</v>
      </c>
      <c r="I152" s="13">
        <v>6</v>
      </c>
      <c r="J152" s="13">
        <v>6</v>
      </c>
      <c r="K152" s="13" t="s">
        <v>18</v>
      </c>
      <c r="L152" s="15">
        <v>176.12666666666667</v>
      </c>
      <c r="M152" s="16">
        <v>176.12666666666667</v>
      </c>
    </row>
    <row r="153" spans="1:13" s="5" customFormat="1" x14ac:dyDescent="0.25">
      <c r="A153" s="12" t="s">
        <v>320</v>
      </c>
      <c r="B153" s="13" t="s">
        <v>321</v>
      </c>
      <c r="C153" s="14">
        <v>45284</v>
      </c>
      <c r="D153" s="13">
        <v>2023</v>
      </c>
      <c r="E153" s="13" t="s">
        <v>10</v>
      </c>
      <c r="F153" s="13" t="s">
        <v>34</v>
      </c>
      <c r="G153" s="15">
        <v>831.54</v>
      </c>
      <c r="H153" s="15">
        <v>831.54</v>
      </c>
      <c r="I153" s="13">
        <v>10</v>
      </c>
      <c r="J153" s="13">
        <v>10</v>
      </c>
      <c r="K153" s="13" t="s">
        <v>18</v>
      </c>
      <c r="L153" s="15">
        <v>83.153999999999996</v>
      </c>
      <c r="M153" s="16">
        <v>83.153999999999996</v>
      </c>
    </row>
    <row r="154" spans="1:13" s="5" customFormat="1" x14ac:dyDescent="0.25">
      <c r="A154" s="12" t="s">
        <v>322</v>
      </c>
      <c r="B154" s="13" t="s">
        <v>323</v>
      </c>
      <c r="C154" s="14">
        <v>45376</v>
      </c>
      <c r="D154" s="13">
        <v>2024</v>
      </c>
      <c r="E154" s="13" t="s">
        <v>14</v>
      </c>
      <c r="F154" s="13" t="s">
        <v>34</v>
      </c>
      <c r="G154" s="15">
        <v>1299.26</v>
      </c>
      <c r="H154" s="15">
        <v>1299.26</v>
      </c>
      <c r="I154" s="13">
        <v>2</v>
      </c>
      <c r="J154" s="13">
        <v>2</v>
      </c>
      <c r="K154" s="13" t="s">
        <v>15</v>
      </c>
      <c r="L154" s="15">
        <v>649.63</v>
      </c>
      <c r="M154" s="16">
        <v>649.63</v>
      </c>
    </row>
    <row r="155" spans="1:13" s="5" customFormat="1" x14ac:dyDescent="0.25">
      <c r="A155" s="12" t="s">
        <v>324</v>
      </c>
      <c r="B155" s="13" t="s">
        <v>325</v>
      </c>
      <c r="C155" s="14">
        <v>45568</v>
      </c>
      <c r="D155" s="13">
        <v>2024</v>
      </c>
      <c r="E155" s="13" t="s">
        <v>3347</v>
      </c>
      <c r="F155" s="13" t="s">
        <v>22</v>
      </c>
      <c r="G155" s="15">
        <v>1652.93</v>
      </c>
      <c r="H155" s="15">
        <v>1652.93</v>
      </c>
      <c r="I155" s="13">
        <v>10</v>
      </c>
      <c r="J155" s="13">
        <v>10</v>
      </c>
      <c r="K155" s="13" t="s">
        <v>3346</v>
      </c>
      <c r="L155" s="15">
        <v>165.29300000000001</v>
      </c>
      <c r="M155" s="16">
        <v>165.29300000000001</v>
      </c>
    </row>
    <row r="156" spans="1:13" s="5" customFormat="1" x14ac:dyDescent="0.25">
      <c r="A156" s="12" t="s">
        <v>326</v>
      </c>
      <c r="B156" s="13" t="s">
        <v>327</v>
      </c>
      <c r="C156" s="14">
        <v>45663</v>
      </c>
      <c r="D156" s="13">
        <v>2025</v>
      </c>
      <c r="E156" s="13" t="s">
        <v>21</v>
      </c>
      <c r="F156" s="13" t="s">
        <v>11</v>
      </c>
      <c r="G156" s="15">
        <v>1849</v>
      </c>
      <c r="H156" s="15">
        <v>1849</v>
      </c>
      <c r="I156" s="13">
        <v>4</v>
      </c>
      <c r="J156" s="13">
        <v>4</v>
      </c>
      <c r="K156" s="13" t="s">
        <v>15</v>
      </c>
      <c r="L156" s="15">
        <v>462.25</v>
      </c>
      <c r="M156" s="16">
        <v>462.25</v>
      </c>
    </row>
    <row r="157" spans="1:13" s="5" customFormat="1" x14ac:dyDescent="0.25">
      <c r="A157" s="12" t="s">
        <v>328</v>
      </c>
      <c r="B157" s="13" t="s">
        <v>329</v>
      </c>
      <c r="C157" s="14">
        <v>45895</v>
      </c>
      <c r="D157" s="13">
        <v>2025</v>
      </c>
      <c r="E157" s="13" t="s">
        <v>14</v>
      </c>
      <c r="F157" s="13" t="s">
        <v>22</v>
      </c>
      <c r="G157" s="15">
        <v>1657.47</v>
      </c>
      <c r="H157" s="15">
        <v>1657.47</v>
      </c>
      <c r="I157" s="13">
        <v>6</v>
      </c>
      <c r="J157" s="13">
        <v>6</v>
      </c>
      <c r="K157" s="13" t="s">
        <v>3348</v>
      </c>
      <c r="L157" s="15">
        <v>276.245</v>
      </c>
      <c r="M157" s="16">
        <v>276.245</v>
      </c>
    </row>
    <row r="158" spans="1:13" s="5" customFormat="1" x14ac:dyDescent="0.25">
      <c r="A158" s="12" t="s">
        <v>330</v>
      </c>
      <c r="B158" s="13" t="s">
        <v>331</v>
      </c>
      <c r="C158" s="14">
        <v>45153</v>
      </c>
      <c r="D158" s="13">
        <v>2023</v>
      </c>
      <c r="E158" s="13" t="s">
        <v>3347</v>
      </c>
      <c r="F158" s="13" t="s">
        <v>25</v>
      </c>
      <c r="G158" s="15">
        <v>1427.34</v>
      </c>
      <c r="H158" s="15">
        <v>1427.34</v>
      </c>
      <c r="I158" s="13">
        <v>3</v>
      </c>
      <c r="J158" s="13">
        <v>3</v>
      </c>
      <c r="K158" s="13" t="s">
        <v>3346</v>
      </c>
      <c r="L158" s="15">
        <v>475.78</v>
      </c>
      <c r="M158" s="16">
        <v>475.78</v>
      </c>
    </row>
    <row r="159" spans="1:13" s="5" customFormat="1" x14ac:dyDescent="0.25">
      <c r="A159" s="12" t="s">
        <v>332</v>
      </c>
      <c r="B159" s="13" t="s">
        <v>269</v>
      </c>
      <c r="C159" s="14">
        <v>45802</v>
      </c>
      <c r="D159" s="13">
        <v>2025</v>
      </c>
      <c r="E159" s="13" t="s">
        <v>10</v>
      </c>
      <c r="F159" s="13" t="s">
        <v>25</v>
      </c>
      <c r="G159" s="15">
        <v>145.55000000000001</v>
      </c>
      <c r="H159" s="15">
        <v>145.55000000000001</v>
      </c>
      <c r="I159" s="13">
        <v>1</v>
      </c>
      <c r="J159" s="13">
        <v>1</v>
      </c>
      <c r="K159" s="13" t="s">
        <v>3348</v>
      </c>
      <c r="L159" s="15">
        <v>145.55000000000001</v>
      </c>
      <c r="M159" s="16">
        <v>470.72134126984128</v>
      </c>
    </row>
    <row r="160" spans="1:13" s="5" customFormat="1" x14ac:dyDescent="0.25">
      <c r="A160" s="12" t="s">
        <v>333</v>
      </c>
      <c r="B160" s="13" t="s">
        <v>334</v>
      </c>
      <c r="C160" s="14">
        <v>44949</v>
      </c>
      <c r="D160" s="13">
        <v>2023</v>
      </c>
      <c r="E160" s="13" t="s">
        <v>3347</v>
      </c>
      <c r="F160" s="13" t="s">
        <v>34</v>
      </c>
      <c r="G160" s="15">
        <v>544.94000000000005</v>
      </c>
      <c r="H160" s="15">
        <v>544.94000000000005</v>
      </c>
      <c r="I160" s="13">
        <v>1</v>
      </c>
      <c r="J160" s="13">
        <v>1</v>
      </c>
      <c r="K160" s="13" t="s">
        <v>3348</v>
      </c>
      <c r="L160" s="15">
        <v>544.94000000000005</v>
      </c>
      <c r="M160" s="16">
        <v>544.94000000000005</v>
      </c>
    </row>
    <row r="161" spans="1:13" s="5" customFormat="1" x14ac:dyDescent="0.25">
      <c r="A161" s="12" t="s">
        <v>335</v>
      </c>
      <c r="B161" s="13" t="s">
        <v>336</v>
      </c>
      <c r="C161" s="14">
        <v>45883</v>
      </c>
      <c r="D161" s="13">
        <v>2025</v>
      </c>
      <c r="E161" s="13" t="s">
        <v>21</v>
      </c>
      <c r="F161" s="13" t="s">
        <v>22</v>
      </c>
      <c r="G161" s="15">
        <v>45.83</v>
      </c>
      <c r="H161" s="15">
        <v>45.83</v>
      </c>
      <c r="I161" s="13">
        <v>10</v>
      </c>
      <c r="J161" s="13">
        <v>10</v>
      </c>
      <c r="K161" s="13" t="s">
        <v>3346</v>
      </c>
      <c r="L161" s="15">
        <v>4.5830000000000002</v>
      </c>
      <c r="M161" s="16">
        <v>4.5830000000000002</v>
      </c>
    </row>
    <row r="162" spans="1:13" s="5" customFormat="1" x14ac:dyDescent="0.25">
      <c r="A162" s="12" t="s">
        <v>337</v>
      </c>
      <c r="B162" s="13" t="s">
        <v>338</v>
      </c>
      <c r="C162" s="14">
        <v>45912</v>
      </c>
      <c r="D162" s="13">
        <v>2025</v>
      </c>
      <c r="E162" s="13" t="s">
        <v>10</v>
      </c>
      <c r="F162" s="13" t="s">
        <v>22</v>
      </c>
      <c r="G162" s="15">
        <v>5806.0788148148158</v>
      </c>
      <c r="H162" s="15">
        <v>3548.2821388888883</v>
      </c>
      <c r="I162" s="13">
        <v>8</v>
      </c>
      <c r="J162" s="13">
        <v>8</v>
      </c>
      <c r="K162" s="13" t="s">
        <v>3348</v>
      </c>
      <c r="L162" s="15">
        <v>725.75985185185198</v>
      </c>
      <c r="M162" s="16">
        <v>725.75985185185198</v>
      </c>
    </row>
    <row r="163" spans="1:13" s="5" customFormat="1" x14ac:dyDescent="0.25">
      <c r="A163" s="12" t="s">
        <v>339</v>
      </c>
      <c r="B163" s="13" t="s">
        <v>340</v>
      </c>
      <c r="C163" s="14">
        <v>45897</v>
      </c>
      <c r="D163" s="13">
        <v>2025</v>
      </c>
      <c r="E163" s="13" t="s">
        <v>14</v>
      </c>
      <c r="F163" s="13" t="s">
        <v>34</v>
      </c>
      <c r="G163" s="15">
        <v>1221.5899999999999</v>
      </c>
      <c r="H163" s="15">
        <v>1221.5899999999999</v>
      </c>
      <c r="I163" s="13">
        <v>7</v>
      </c>
      <c r="J163" s="13">
        <v>7</v>
      </c>
      <c r="K163" s="13" t="s">
        <v>35</v>
      </c>
      <c r="L163" s="15">
        <v>174.51285714285714</v>
      </c>
      <c r="M163" s="16">
        <v>174.51285714285714</v>
      </c>
    </row>
    <row r="164" spans="1:13" s="5" customFormat="1" x14ac:dyDescent="0.25">
      <c r="A164" s="12" t="s">
        <v>341</v>
      </c>
      <c r="B164" s="13" t="s">
        <v>342</v>
      </c>
      <c r="C164" s="14">
        <v>45183</v>
      </c>
      <c r="D164" s="13">
        <v>2023</v>
      </c>
      <c r="E164" s="13" t="s">
        <v>14</v>
      </c>
      <c r="F164" s="13" t="s">
        <v>34</v>
      </c>
      <c r="G164" s="15">
        <v>1121.5</v>
      </c>
      <c r="H164" s="15">
        <v>1121.5</v>
      </c>
      <c r="I164" s="13">
        <v>3</v>
      </c>
      <c r="J164" s="13">
        <v>3</v>
      </c>
      <c r="K164" s="13" t="s">
        <v>3348</v>
      </c>
      <c r="L164" s="15">
        <v>373.83333333333331</v>
      </c>
      <c r="M164" s="16">
        <v>390.75545833333331</v>
      </c>
    </row>
    <row r="165" spans="1:13" s="5" customFormat="1" x14ac:dyDescent="0.25">
      <c r="A165" s="12" t="s">
        <v>343</v>
      </c>
      <c r="B165" s="13" t="s">
        <v>344</v>
      </c>
      <c r="C165" s="14">
        <v>45932</v>
      </c>
      <c r="D165" s="13">
        <v>2025</v>
      </c>
      <c r="E165" s="13" t="s">
        <v>3347</v>
      </c>
      <c r="F165" s="13" t="s">
        <v>22</v>
      </c>
      <c r="G165" s="15">
        <v>1037.7</v>
      </c>
      <c r="H165" s="15">
        <v>1037.7</v>
      </c>
      <c r="I165" s="13">
        <v>9</v>
      </c>
      <c r="J165" s="13">
        <v>9</v>
      </c>
      <c r="K165" s="13" t="s">
        <v>15</v>
      </c>
      <c r="L165" s="15">
        <v>115.30000000000001</v>
      </c>
      <c r="M165" s="16">
        <v>115.30000000000001</v>
      </c>
    </row>
    <row r="166" spans="1:13" s="5" customFormat="1" x14ac:dyDescent="0.25">
      <c r="A166" s="12" t="s">
        <v>345</v>
      </c>
      <c r="B166" s="13" t="s">
        <v>346</v>
      </c>
      <c r="C166" s="14">
        <v>45797</v>
      </c>
      <c r="D166" s="13">
        <v>2025</v>
      </c>
      <c r="E166" s="13" t="s">
        <v>14</v>
      </c>
      <c r="F166" s="13" t="s">
        <v>11</v>
      </c>
      <c r="G166" s="15">
        <v>154.61000000000001</v>
      </c>
      <c r="H166" s="15">
        <v>154.61000000000001</v>
      </c>
      <c r="I166" s="13">
        <v>10</v>
      </c>
      <c r="J166" s="13">
        <v>10</v>
      </c>
      <c r="K166" s="13" t="s">
        <v>35</v>
      </c>
      <c r="L166" s="15">
        <v>15.461000000000002</v>
      </c>
      <c r="M166" s="16">
        <v>15.461000000000002</v>
      </c>
    </row>
    <row r="167" spans="1:13" s="5" customFormat="1" x14ac:dyDescent="0.25">
      <c r="A167" s="12" t="s">
        <v>347</v>
      </c>
      <c r="B167" s="13" t="s">
        <v>348</v>
      </c>
      <c r="C167" s="14">
        <v>45527</v>
      </c>
      <c r="D167" s="13">
        <v>2024</v>
      </c>
      <c r="E167" s="13" t="s">
        <v>10</v>
      </c>
      <c r="F167" s="13" t="s">
        <v>22</v>
      </c>
      <c r="G167" s="15">
        <v>1729.67</v>
      </c>
      <c r="H167" s="15">
        <v>1729.67</v>
      </c>
      <c r="I167" s="13">
        <v>9</v>
      </c>
      <c r="J167" s="13">
        <v>9</v>
      </c>
      <c r="K167" s="13" t="s">
        <v>35</v>
      </c>
      <c r="L167" s="15">
        <v>192.18555555555557</v>
      </c>
      <c r="M167" s="16">
        <v>192.18555555555557</v>
      </c>
    </row>
    <row r="168" spans="1:13" s="5" customFormat="1" x14ac:dyDescent="0.25">
      <c r="A168" s="12" t="s">
        <v>349</v>
      </c>
      <c r="B168" s="13" t="s">
        <v>350</v>
      </c>
      <c r="C168" s="14">
        <v>44881</v>
      </c>
      <c r="D168" s="13">
        <v>2022</v>
      </c>
      <c r="E168" s="13" t="s">
        <v>21</v>
      </c>
      <c r="F168" s="13" t="s">
        <v>22</v>
      </c>
      <c r="G168" s="15">
        <v>1127.77</v>
      </c>
      <c r="H168" s="15">
        <v>1127.77</v>
      </c>
      <c r="I168" s="13">
        <v>6</v>
      </c>
      <c r="J168" s="13">
        <v>6</v>
      </c>
      <c r="K168" s="13" t="s">
        <v>35</v>
      </c>
      <c r="L168" s="15">
        <v>187.96166666666667</v>
      </c>
      <c r="M168" s="16">
        <v>187.96166666666667</v>
      </c>
    </row>
    <row r="169" spans="1:13" s="5" customFormat="1" x14ac:dyDescent="0.25">
      <c r="A169" s="12" t="s">
        <v>351</v>
      </c>
      <c r="B169" s="13" t="s">
        <v>352</v>
      </c>
      <c r="C169" s="14">
        <v>45203</v>
      </c>
      <c r="D169" s="13">
        <v>2023</v>
      </c>
      <c r="E169" s="13" t="s">
        <v>14</v>
      </c>
      <c r="F169" s="13" t="s">
        <v>22</v>
      </c>
      <c r="G169" s="15">
        <v>1662.29</v>
      </c>
      <c r="H169" s="15">
        <v>1662.29</v>
      </c>
      <c r="I169" s="13">
        <v>10</v>
      </c>
      <c r="J169" s="13">
        <v>10</v>
      </c>
      <c r="K169" s="13" t="s">
        <v>18</v>
      </c>
      <c r="L169" s="15">
        <v>166.22899999999998</v>
      </c>
      <c r="M169" s="16">
        <v>166.22899999999998</v>
      </c>
    </row>
    <row r="170" spans="1:13" s="5" customFormat="1" x14ac:dyDescent="0.25">
      <c r="A170" s="12" t="s">
        <v>353</v>
      </c>
      <c r="B170" s="13" t="s">
        <v>354</v>
      </c>
      <c r="C170" s="14">
        <v>45658</v>
      </c>
      <c r="D170" s="13">
        <v>2025</v>
      </c>
      <c r="E170" s="13" t="s">
        <v>21</v>
      </c>
      <c r="F170" s="13" t="s">
        <v>11</v>
      </c>
      <c r="G170" s="15">
        <v>1287.1600000000001</v>
      </c>
      <c r="H170" s="15">
        <v>1287.1600000000001</v>
      </c>
      <c r="I170" s="13">
        <v>4</v>
      </c>
      <c r="J170" s="13">
        <v>4</v>
      </c>
      <c r="K170" s="13" t="s">
        <v>35</v>
      </c>
      <c r="L170" s="15">
        <v>321.79000000000002</v>
      </c>
      <c r="M170" s="16">
        <v>321.79000000000002</v>
      </c>
    </row>
    <row r="171" spans="1:13" s="5" customFormat="1" x14ac:dyDescent="0.25">
      <c r="A171" s="12" t="s">
        <v>355</v>
      </c>
      <c r="B171" s="13" t="s">
        <v>356</v>
      </c>
      <c r="C171" s="14">
        <v>45548</v>
      </c>
      <c r="D171" s="13">
        <v>2024</v>
      </c>
      <c r="E171" s="13" t="s">
        <v>10</v>
      </c>
      <c r="F171" s="13" t="s">
        <v>34</v>
      </c>
      <c r="G171" s="15">
        <v>2664.1726874999995</v>
      </c>
      <c r="H171" s="15">
        <v>2664.1726874999995</v>
      </c>
      <c r="I171" s="13">
        <v>6</v>
      </c>
      <c r="J171" s="13">
        <v>6</v>
      </c>
      <c r="K171" s="13" t="s">
        <v>18</v>
      </c>
      <c r="L171" s="15">
        <v>444.02878124999989</v>
      </c>
      <c r="M171" s="16">
        <v>444.02878124999995</v>
      </c>
    </row>
    <row r="172" spans="1:13" s="5" customFormat="1" x14ac:dyDescent="0.25">
      <c r="A172" s="12" t="s">
        <v>357</v>
      </c>
      <c r="B172" s="13" t="s">
        <v>358</v>
      </c>
      <c r="C172" s="14">
        <v>45573</v>
      </c>
      <c r="D172" s="13">
        <v>2024</v>
      </c>
      <c r="E172" s="13" t="s">
        <v>10</v>
      </c>
      <c r="F172" s="13" t="s">
        <v>34</v>
      </c>
      <c r="G172" s="15">
        <v>1982.18</v>
      </c>
      <c r="H172" s="15">
        <v>1982.18</v>
      </c>
      <c r="I172" s="13">
        <v>2</v>
      </c>
      <c r="J172" s="13">
        <v>2</v>
      </c>
      <c r="K172" s="13" t="s">
        <v>35</v>
      </c>
      <c r="L172" s="15">
        <v>991.09</v>
      </c>
      <c r="M172" s="16">
        <v>991.09</v>
      </c>
    </row>
    <row r="173" spans="1:13" s="5" customFormat="1" x14ac:dyDescent="0.25">
      <c r="A173" s="12" t="s">
        <v>359</v>
      </c>
      <c r="B173" s="13" t="s">
        <v>360</v>
      </c>
      <c r="C173" s="14">
        <v>45648</v>
      </c>
      <c r="D173" s="13">
        <v>2024</v>
      </c>
      <c r="E173" s="13" t="s">
        <v>21</v>
      </c>
      <c r="F173" s="13" t="s">
        <v>11</v>
      </c>
      <c r="G173" s="15">
        <v>2009.1950000000004</v>
      </c>
      <c r="H173" s="15">
        <v>2009.1950000000004</v>
      </c>
      <c r="I173" s="13">
        <v>6</v>
      </c>
      <c r="J173" s="13">
        <v>6</v>
      </c>
      <c r="K173" s="13" t="s">
        <v>18</v>
      </c>
      <c r="L173" s="15">
        <v>334.8658333333334</v>
      </c>
      <c r="M173" s="16">
        <v>334.8658333333334</v>
      </c>
    </row>
    <row r="174" spans="1:13" s="5" customFormat="1" x14ac:dyDescent="0.25">
      <c r="A174" s="12" t="s">
        <v>361</v>
      </c>
      <c r="B174" s="13" t="s">
        <v>362</v>
      </c>
      <c r="C174" s="14">
        <v>45145</v>
      </c>
      <c r="D174" s="13">
        <v>2023</v>
      </c>
      <c r="E174" s="13" t="s">
        <v>3347</v>
      </c>
      <c r="F174" s="13" t="s">
        <v>34</v>
      </c>
      <c r="G174" s="15">
        <v>1355.16</v>
      </c>
      <c r="H174" s="15">
        <v>1355.16</v>
      </c>
      <c r="I174" s="13">
        <v>1</v>
      </c>
      <c r="J174" s="13">
        <v>1</v>
      </c>
      <c r="K174" s="13" t="s">
        <v>3348</v>
      </c>
      <c r="L174" s="15">
        <v>1355.16</v>
      </c>
      <c r="M174" s="16">
        <v>1355.16</v>
      </c>
    </row>
    <row r="175" spans="1:13" s="5" customFormat="1" x14ac:dyDescent="0.25">
      <c r="A175" s="12" t="s">
        <v>363</v>
      </c>
      <c r="B175" s="13" t="s">
        <v>364</v>
      </c>
      <c r="C175" s="14">
        <v>45515</v>
      </c>
      <c r="D175" s="13">
        <v>2024</v>
      </c>
      <c r="E175" s="13" t="s">
        <v>21</v>
      </c>
      <c r="F175" s="13" t="s">
        <v>22</v>
      </c>
      <c r="G175" s="15">
        <v>1628.35</v>
      </c>
      <c r="H175" s="15">
        <v>1628.35</v>
      </c>
      <c r="I175" s="13">
        <v>4</v>
      </c>
      <c r="J175" s="13">
        <v>4</v>
      </c>
      <c r="K175" s="13" t="s">
        <v>3348</v>
      </c>
      <c r="L175" s="15">
        <v>407.08749999999998</v>
      </c>
      <c r="M175" s="16">
        <v>428.9487738095238</v>
      </c>
    </row>
    <row r="176" spans="1:13" s="5" customFormat="1" x14ac:dyDescent="0.25">
      <c r="A176" s="12" t="s">
        <v>365</v>
      </c>
      <c r="B176" s="13" t="s">
        <v>366</v>
      </c>
      <c r="C176" s="14">
        <v>45940</v>
      </c>
      <c r="D176" s="13">
        <v>2025</v>
      </c>
      <c r="E176" s="13" t="s">
        <v>21</v>
      </c>
      <c r="F176" s="13" t="s">
        <v>34</v>
      </c>
      <c r="G176" s="15">
        <v>577.52</v>
      </c>
      <c r="H176" s="15">
        <v>577.52</v>
      </c>
      <c r="I176" s="13">
        <v>10</v>
      </c>
      <c r="J176" s="13">
        <v>10</v>
      </c>
      <c r="K176" s="13" t="s">
        <v>3348</v>
      </c>
      <c r="L176" s="15">
        <v>57.751999999999995</v>
      </c>
      <c r="M176" s="16">
        <v>57.751999999999995</v>
      </c>
    </row>
    <row r="177" spans="1:13" s="5" customFormat="1" x14ac:dyDescent="0.25">
      <c r="A177" s="12" t="s">
        <v>367</v>
      </c>
      <c r="B177" s="13" t="s">
        <v>368</v>
      </c>
      <c r="C177" s="14">
        <v>45234</v>
      </c>
      <c r="D177" s="13">
        <v>2023</v>
      </c>
      <c r="E177" s="13" t="s">
        <v>3347</v>
      </c>
      <c r="F177" s="13" t="s">
        <v>22</v>
      </c>
      <c r="G177" s="15">
        <v>403.49</v>
      </c>
      <c r="H177" s="15">
        <v>403.49</v>
      </c>
      <c r="I177" s="13">
        <v>2</v>
      </c>
      <c r="J177" s="13">
        <v>2</v>
      </c>
      <c r="K177" s="13" t="s">
        <v>15</v>
      </c>
      <c r="L177" s="15">
        <v>201.745</v>
      </c>
      <c r="M177" s="16">
        <v>201.745</v>
      </c>
    </row>
    <row r="178" spans="1:13" s="5" customFormat="1" x14ac:dyDescent="0.25">
      <c r="A178" s="12" t="s">
        <v>369</v>
      </c>
      <c r="B178" s="13" t="s">
        <v>370</v>
      </c>
      <c r="C178" s="14">
        <v>45833</v>
      </c>
      <c r="D178" s="13">
        <v>2025</v>
      </c>
      <c r="E178" s="13" t="s">
        <v>3347</v>
      </c>
      <c r="F178" s="13" t="s">
        <v>34</v>
      </c>
      <c r="G178" s="15">
        <v>699.29</v>
      </c>
      <c r="H178" s="15">
        <v>699.29</v>
      </c>
      <c r="I178" s="13">
        <v>7</v>
      </c>
      <c r="J178" s="13">
        <v>7</v>
      </c>
      <c r="K178" s="13" t="s">
        <v>3346</v>
      </c>
      <c r="L178" s="15">
        <v>99.898571428571429</v>
      </c>
      <c r="M178" s="16">
        <v>99.898571428571429</v>
      </c>
    </row>
    <row r="179" spans="1:13" s="5" customFormat="1" x14ac:dyDescent="0.25">
      <c r="A179" s="12" t="s">
        <v>371</v>
      </c>
      <c r="B179" s="13" t="s">
        <v>372</v>
      </c>
      <c r="C179" s="14">
        <v>45051</v>
      </c>
      <c r="D179" s="13">
        <v>2023</v>
      </c>
      <c r="E179" s="13" t="s">
        <v>3347</v>
      </c>
      <c r="F179" s="13" t="s">
        <v>34</v>
      </c>
      <c r="G179" s="15">
        <v>2226.0651322751323</v>
      </c>
      <c r="H179" s="15">
        <v>2226.0651322751323</v>
      </c>
      <c r="I179" s="13">
        <v>8</v>
      </c>
      <c r="J179" s="13">
        <v>8</v>
      </c>
      <c r="K179" s="13" t="s">
        <v>15</v>
      </c>
      <c r="L179" s="15">
        <v>278.25814153439154</v>
      </c>
      <c r="M179" s="16">
        <v>278.25814153439154</v>
      </c>
    </row>
    <row r="180" spans="1:13" s="5" customFormat="1" x14ac:dyDescent="0.25">
      <c r="A180" s="12" t="s">
        <v>373</v>
      </c>
      <c r="B180" s="13" t="s">
        <v>374</v>
      </c>
      <c r="C180" s="14">
        <v>45761</v>
      </c>
      <c r="D180" s="13">
        <v>2025</v>
      </c>
      <c r="E180" s="13" t="s">
        <v>14</v>
      </c>
      <c r="F180" s="13" t="s">
        <v>22</v>
      </c>
      <c r="G180" s="15">
        <v>1035.3</v>
      </c>
      <c r="H180" s="15">
        <v>1035.3</v>
      </c>
      <c r="I180" s="13">
        <v>4</v>
      </c>
      <c r="J180" s="13">
        <v>4</v>
      </c>
      <c r="K180" s="13" t="s">
        <v>35</v>
      </c>
      <c r="L180" s="15">
        <v>258.82499999999999</v>
      </c>
      <c r="M180" s="16">
        <v>258.82499999999999</v>
      </c>
    </row>
    <row r="181" spans="1:13" s="5" customFormat="1" x14ac:dyDescent="0.25">
      <c r="A181" s="12" t="s">
        <v>375</v>
      </c>
      <c r="B181" s="13" t="s">
        <v>376</v>
      </c>
      <c r="C181" s="14">
        <v>45251</v>
      </c>
      <c r="D181" s="13">
        <v>2023</v>
      </c>
      <c r="E181" s="13" t="s">
        <v>10</v>
      </c>
      <c r="F181" s="13" t="s">
        <v>22</v>
      </c>
      <c r="G181" s="15">
        <v>644.05999999999995</v>
      </c>
      <c r="H181" s="15">
        <v>644.05999999999995</v>
      </c>
      <c r="I181" s="13">
        <v>5</v>
      </c>
      <c r="J181" s="13">
        <v>5</v>
      </c>
      <c r="K181" s="13" t="s">
        <v>3348</v>
      </c>
      <c r="L181" s="15">
        <v>128.81199999999998</v>
      </c>
      <c r="M181" s="16">
        <v>128.81199999999998</v>
      </c>
    </row>
    <row r="182" spans="1:13" s="5" customFormat="1" x14ac:dyDescent="0.25">
      <c r="A182" s="12" t="s">
        <v>377</v>
      </c>
      <c r="B182" s="13" t="s">
        <v>378</v>
      </c>
      <c r="C182" s="14">
        <v>45951</v>
      </c>
      <c r="D182" s="13">
        <v>2025</v>
      </c>
      <c r="E182" s="13" t="s">
        <v>3347</v>
      </c>
      <c r="F182" s="13" t="s">
        <v>34</v>
      </c>
      <c r="G182" s="15">
        <v>1737.29</v>
      </c>
      <c r="H182" s="15">
        <v>1737.29</v>
      </c>
      <c r="I182" s="13">
        <v>2</v>
      </c>
      <c r="J182" s="13">
        <v>2</v>
      </c>
      <c r="K182" s="13" t="s">
        <v>3348</v>
      </c>
      <c r="L182" s="15">
        <v>868.64499999999998</v>
      </c>
      <c r="M182" s="16">
        <v>868.64499999999998</v>
      </c>
    </row>
    <row r="183" spans="1:13" s="5" customFormat="1" x14ac:dyDescent="0.25">
      <c r="A183" s="12" t="s">
        <v>379</v>
      </c>
      <c r="B183" s="13" t="s">
        <v>380</v>
      </c>
      <c r="C183" s="14">
        <v>45386</v>
      </c>
      <c r="D183" s="13">
        <v>2024</v>
      </c>
      <c r="E183" s="13" t="s">
        <v>14</v>
      </c>
      <c r="F183" s="13" t="s">
        <v>25</v>
      </c>
      <c r="G183" s="15">
        <v>2322.5766857142858</v>
      </c>
      <c r="H183" s="15">
        <v>2322.5766857142858</v>
      </c>
      <c r="I183" s="13">
        <v>8</v>
      </c>
      <c r="J183" s="13">
        <v>8</v>
      </c>
      <c r="K183" s="13" t="s">
        <v>15</v>
      </c>
      <c r="L183" s="15">
        <v>290.32208571428572</v>
      </c>
      <c r="M183" s="16">
        <v>290.32208571428572</v>
      </c>
    </row>
    <row r="184" spans="1:13" s="5" customFormat="1" x14ac:dyDescent="0.25">
      <c r="A184" s="12" t="s">
        <v>381</v>
      </c>
      <c r="B184" s="13" t="s">
        <v>382</v>
      </c>
      <c r="C184" s="14">
        <v>45082</v>
      </c>
      <c r="D184" s="13">
        <v>2023</v>
      </c>
      <c r="E184" s="13" t="s">
        <v>3347</v>
      </c>
      <c r="F184" s="13" t="s">
        <v>22</v>
      </c>
      <c r="G184" s="15">
        <v>69.709999999999994</v>
      </c>
      <c r="H184" s="15">
        <v>69.709999999999994</v>
      </c>
      <c r="I184" s="13">
        <v>6</v>
      </c>
      <c r="J184" s="13">
        <v>6</v>
      </c>
      <c r="K184" s="13" t="s">
        <v>3346</v>
      </c>
      <c r="L184" s="15">
        <v>11.618333333333332</v>
      </c>
      <c r="M184" s="16">
        <v>11.618333333333332</v>
      </c>
    </row>
    <row r="185" spans="1:13" s="5" customFormat="1" x14ac:dyDescent="0.25">
      <c r="A185" s="12" t="s">
        <v>383</v>
      </c>
      <c r="B185" s="13" t="s">
        <v>384</v>
      </c>
      <c r="C185" s="14">
        <v>45886</v>
      </c>
      <c r="D185" s="13">
        <v>2025</v>
      </c>
      <c r="E185" s="13" t="s">
        <v>14</v>
      </c>
      <c r="F185" s="13" t="s">
        <v>34</v>
      </c>
      <c r="G185" s="15">
        <v>1897.29</v>
      </c>
      <c r="H185" s="15">
        <v>1897.29</v>
      </c>
      <c r="I185" s="13">
        <v>3</v>
      </c>
      <c r="J185" s="13">
        <v>3</v>
      </c>
      <c r="K185" s="13" t="s">
        <v>35</v>
      </c>
      <c r="L185" s="15">
        <v>632.42999999999995</v>
      </c>
      <c r="M185" s="16">
        <v>632.42999999999995</v>
      </c>
    </row>
    <row r="186" spans="1:13" s="5" customFormat="1" x14ac:dyDescent="0.25">
      <c r="A186" s="12" t="s">
        <v>385</v>
      </c>
      <c r="B186" s="13" t="s">
        <v>386</v>
      </c>
      <c r="C186" s="14">
        <v>45842</v>
      </c>
      <c r="D186" s="13">
        <v>2025</v>
      </c>
      <c r="E186" s="13" t="s">
        <v>14</v>
      </c>
      <c r="F186" s="13" t="s">
        <v>22</v>
      </c>
      <c r="G186" s="15">
        <v>215.85</v>
      </c>
      <c r="H186" s="15">
        <v>215.85</v>
      </c>
      <c r="I186" s="13">
        <v>9</v>
      </c>
      <c r="J186" s="13">
        <v>9</v>
      </c>
      <c r="K186" s="13" t="s">
        <v>15</v>
      </c>
      <c r="L186" s="15">
        <v>23.983333333333334</v>
      </c>
      <c r="M186" s="16">
        <v>23.983333333333334</v>
      </c>
    </row>
    <row r="187" spans="1:13" s="5" customFormat="1" x14ac:dyDescent="0.25">
      <c r="A187" s="12" t="s">
        <v>387</v>
      </c>
      <c r="B187" s="13" t="s">
        <v>388</v>
      </c>
      <c r="C187" s="14">
        <v>45870</v>
      </c>
      <c r="D187" s="13">
        <v>2025</v>
      </c>
      <c r="E187" s="13" t="s">
        <v>21</v>
      </c>
      <c r="F187" s="13" t="s">
        <v>22</v>
      </c>
      <c r="G187" s="15">
        <v>895.12336734693872</v>
      </c>
      <c r="H187" s="15">
        <v>895.12336734693872</v>
      </c>
      <c r="I187" s="13">
        <v>3</v>
      </c>
      <c r="J187" s="13">
        <v>3</v>
      </c>
      <c r="K187" s="13" t="s">
        <v>35</v>
      </c>
      <c r="L187" s="15">
        <v>298.37445578231291</v>
      </c>
      <c r="M187" s="16">
        <v>298.37445578231291</v>
      </c>
    </row>
    <row r="188" spans="1:13" s="5" customFormat="1" x14ac:dyDescent="0.25">
      <c r="A188" s="12" t="s">
        <v>389</v>
      </c>
      <c r="B188" s="13" t="s">
        <v>390</v>
      </c>
      <c r="C188" s="14">
        <v>45409</v>
      </c>
      <c r="D188" s="13">
        <v>2024</v>
      </c>
      <c r="E188" s="13" t="s">
        <v>3347</v>
      </c>
      <c r="F188" s="13" t="s">
        <v>34</v>
      </c>
      <c r="G188" s="15">
        <v>429.55</v>
      </c>
      <c r="H188" s="15">
        <v>429.55</v>
      </c>
      <c r="I188" s="13">
        <v>10</v>
      </c>
      <c r="J188" s="13">
        <v>10</v>
      </c>
      <c r="K188" s="13" t="s">
        <v>18</v>
      </c>
      <c r="L188" s="15">
        <v>42.954999999999998</v>
      </c>
      <c r="M188" s="16">
        <v>42.954999999999998</v>
      </c>
    </row>
    <row r="189" spans="1:13" s="5" customFormat="1" x14ac:dyDescent="0.25">
      <c r="A189" s="12" t="s">
        <v>392</v>
      </c>
      <c r="B189" s="13" t="s">
        <v>393</v>
      </c>
      <c r="C189" s="14">
        <v>44883</v>
      </c>
      <c r="D189" s="13">
        <v>2022</v>
      </c>
      <c r="E189" s="13" t="s">
        <v>14</v>
      </c>
      <c r="F189" s="13" t="s">
        <v>22</v>
      </c>
      <c r="G189" s="15">
        <v>831.76</v>
      </c>
      <c r="H189" s="15">
        <v>831.76</v>
      </c>
      <c r="I189" s="13">
        <v>5</v>
      </c>
      <c r="J189" s="13">
        <v>5</v>
      </c>
      <c r="K189" s="13" t="s">
        <v>3348</v>
      </c>
      <c r="L189" s="15">
        <v>166.352</v>
      </c>
      <c r="M189" s="16">
        <v>165.26333333333332</v>
      </c>
    </row>
    <row r="190" spans="1:13" s="5" customFormat="1" x14ac:dyDescent="0.25">
      <c r="A190" s="12" t="s">
        <v>394</v>
      </c>
      <c r="B190" s="13" t="s">
        <v>395</v>
      </c>
      <c r="C190" s="14">
        <v>44954</v>
      </c>
      <c r="D190" s="13">
        <v>2023</v>
      </c>
      <c r="E190" s="13" t="s">
        <v>21</v>
      </c>
      <c r="F190" s="13" t="s">
        <v>22</v>
      </c>
      <c r="G190" s="15">
        <v>1692.76</v>
      </c>
      <c r="H190" s="15">
        <v>1692.76</v>
      </c>
      <c r="I190" s="13">
        <v>8</v>
      </c>
      <c r="J190" s="13">
        <v>8</v>
      </c>
      <c r="K190" s="13" t="s">
        <v>15</v>
      </c>
      <c r="L190" s="15">
        <v>211.595</v>
      </c>
      <c r="M190" s="16">
        <v>211.595</v>
      </c>
    </row>
    <row r="191" spans="1:13" s="5" customFormat="1" x14ac:dyDescent="0.25">
      <c r="A191" s="12" t="s">
        <v>396</v>
      </c>
      <c r="B191" s="13" t="s">
        <v>397</v>
      </c>
      <c r="C191" s="14">
        <v>44982</v>
      </c>
      <c r="D191" s="13">
        <v>2023</v>
      </c>
      <c r="E191" s="13" t="s">
        <v>21</v>
      </c>
      <c r="F191" s="13" t="s">
        <v>34</v>
      </c>
      <c r="G191" s="15">
        <v>1937.05</v>
      </c>
      <c r="H191" s="15">
        <v>1937.05</v>
      </c>
      <c r="I191" s="13">
        <v>13</v>
      </c>
      <c r="J191" s="13">
        <v>10</v>
      </c>
      <c r="K191" s="13" t="s">
        <v>15</v>
      </c>
      <c r="L191" s="15">
        <v>149.00384615384615</v>
      </c>
      <c r="M191" s="16">
        <v>153.92233333333334</v>
      </c>
    </row>
    <row r="192" spans="1:13" s="5" customFormat="1" x14ac:dyDescent="0.25">
      <c r="A192" s="12" t="s">
        <v>398</v>
      </c>
      <c r="B192" s="13" t="s">
        <v>399</v>
      </c>
      <c r="C192" s="14">
        <v>45010</v>
      </c>
      <c r="D192" s="13">
        <v>2023</v>
      </c>
      <c r="E192" s="13" t="s">
        <v>14</v>
      </c>
      <c r="F192" s="13" t="s">
        <v>34</v>
      </c>
      <c r="G192" s="15">
        <v>1762.22</v>
      </c>
      <c r="H192" s="15">
        <v>1762.22</v>
      </c>
      <c r="I192" s="13">
        <v>4</v>
      </c>
      <c r="J192" s="13">
        <v>4</v>
      </c>
      <c r="K192" s="13" t="s">
        <v>15</v>
      </c>
      <c r="L192" s="15">
        <v>440.55500000000001</v>
      </c>
      <c r="M192" s="16">
        <v>440.55500000000001</v>
      </c>
    </row>
    <row r="193" spans="1:13" s="5" customFormat="1" x14ac:dyDescent="0.25">
      <c r="A193" s="12" t="s">
        <v>400</v>
      </c>
      <c r="B193" s="13" t="s">
        <v>401</v>
      </c>
      <c r="C193" s="14">
        <v>45922</v>
      </c>
      <c r="D193" s="13">
        <v>2025</v>
      </c>
      <c r="E193" s="13" t="s">
        <v>14</v>
      </c>
      <c r="F193" s="13" t="s">
        <v>34</v>
      </c>
      <c r="G193" s="15">
        <v>172.17</v>
      </c>
      <c r="H193" s="15">
        <v>172.17</v>
      </c>
      <c r="I193" s="13">
        <v>8</v>
      </c>
      <c r="J193" s="13">
        <v>8</v>
      </c>
      <c r="K193" s="13" t="s">
        <v>18</v>
      </c>
      <c r="L193" s="15">
        <v>21.521249999999998</v>
      </c>
      <c r="M193" s="16">
        <v>21.521249999999998</v>
      </c>
    </row>
    <row r="194" spans="1:13" s="5" customFormat="1" x14ac:dyDescent="0.25">
      <c r="A194" s="12" t="s">
        <v>402</v>
      </c>
      <c r="B194" s="13" t="s">
        <v>403</v>
      </c>
      <c r="C194" s="14">
        <v>45138</v>
      </c>
      <c r="D194" s="13">
        <v>2023</v>
      </c>
      <c r="E194" s="13" t="s">
        <v>14</v>
      </c>
      <c r="F194" s="13" t="s">
        <v>22</v>
      </c>
      <c r="G194" s="15">
        <v>199.63</v>
      </c>
      <c r="H194" s="15">
        <v>199.63</v>
      </c>
      <c r="I194" s="13">
        <v>1</v>
      </c>
      <c r="J194" s="13">
        <v>1</v>
      </c>
      <c r="K194" s="13" t="s">
        <v>35</v>
      </c>
      <c r="L194" s="15">
        <v>199.63</v>
      </c>
      <c r="M194" s="16">
        <v>221.71176530612249</v>
      </c>
    </row>
    <row r="195" spans="1:13" s="5" customFormat="1" x14ac:dyDescent="0.25">
      <c r="A195" s="12" t="s">
        <v>404</v>
      </c>
      <c r="B195" s="13" t="s">
        <v>405</v>
      </c>
      <c r="C195" s="14">
        <v>45771</v>
      </c>
      <c r="D195" s="13">
        <v>2025</v>
      </c>
      <c r="E195" s="13" t="s">
        <v>21</v>
      </c>
      <c r="F195" s="13" t="s">
        <v>25</v>
      </c>
      <c r="G195" s="15">
        <v>1712.23</v>
      </c>
      <c r="H195" s="15">
        <v>1712.23</v>
      </c>
      <c r="I195" s="13">
        <v>8</v>
      </c>
      <c r="J195" s="13">
        <v>8</v>
      </c>
      <c r="K195" s="13" t="s">
        <v>35</v>
      </c>
      <c r="L195" s="15">
        <v>214.02875</v>
      </c>
      <c r="M195" s="16">
        <v>214.02875</v>
      </c>
    </row>
    <row r="196" spans="1:13" s="5" customFormat="1" x14ac:dyDescent="0.25">
      <c r="A196" s="12" t="s">
        <v>406</v>
      </c>
      <c r="B196" s="13" t="s">
        <v>407</v>
      </c>
      <c r="C196" s="14">
        <v>45555</v>
      </c>
      <c r="D196" s="13">
        <v>2024</v>
      </c>
      <c r="E196" s="13" t="s">
        <v>3347</v>
      </c>
      <c r="F196" s="13" t="s">
        <v>22</v>
      </c>
      <c r="G196" s="15">
        <v>1630.7122222222222</v>
      </c>
      <c r="H196" s="15">
        <v>1630.7122222222222</v>
      </c>
      <c r="I196" s="13">
        <v>5</v>
      </c>
      <c r="J196" s="13">
        <v>5</v>
      </c>
      <c r="K196" s="13" t="s">
        <v>35</v>
      </c>
      <c r="L196" s="15">
        <v>326.14244444444444</v>
      </c>
      <c r="M196" s="16">
        <v>326.14244444444444</v>
      </c>
    </row>
    <row r="197" spans="1:13" s="5" customFormat="1" x14ac:dyDescent="0.25">
      <c r="A197" s="12" t="s">
        <v>408</v>
      </c>
      <c r="B197" s="13" t="s">
        <v>409</v>
      </c>
      <c r="C197" s="14">
        <v>45545</v>
      </c>
      <c r="D197" s="13">
        <v>2024</v>
      </c>
      <c r="E197" s="13" t="s">
        <v>3347</v>
      </c>
      <c r="F197" s="13" t="s">
        <v>22</v>
      </c>
      <c r="G197" s="15">
        <v>1536.75</v>
      </c>
      <c r="H197" s="15">
        <v>1536.75</v>
      </c>
      <c r="I197" s="13">
        <v>4</v>
      </c>
      <c r="J197" s="13">
        <v>4</v>
      </c>
      <c r="K197" s="13" t="s">
        <v>15</v>
      </c>
      <c r="L197" s="15">
        <v>384.1875</v>
      </c>
      <c r="M197" s="16">
        <v>384.1875</v>
      </c>
    </row>
    <row r="198" spans="1:13" s="5" customFormat="1" x14ac:dyDescent="0.25">
      <c r="A198" s="12" t="s">
        <v>410</v>
      </c>
      <c r="B198" s="13" t="s">
        <v>411</v>
      </c>
      <c r="C198" s="14">
        <v>45415</v>
      </c>
      <c r="D198" s="13">
        <v>2024</v>
      </c>
      <c r="E198" s="13" t="s">
        <v>14</v>
      </c>
      <c r="F198" s="13" t="s">
        <v>22</v>
      </c>
      <c r="G198" s="15">
        <v>389.8</v>
      </c>
      <c r="H198" s="15">
        <v>389.8</v>
      </c>
      <c r="I198" s="13">
        <v>9</v>
      </c>
      <c r="J198" s="13">
        <v>9</v>
      </c>
      <c r="K198" s="13" t="s">
        <v>18</v>
      </c>
      <c r="L198" s="15">
        <v>43.31111111111111</v>
      </c>
      <c r="M198" s="16">
        <v>43.31111111111111</v>
      </c>
    </row>
    <row r="199" spans="1:13" s="5" customFormat="1" x14ac:dyDescent="0.25">
      <c r="A199" s="12" t="s">
        <v>412</v>
      </c>
      <c r="B199" s="13" t="s">
        <v>413</v>
      </c>
      <c r="C199" s="14">
        <v>45493</v>
      </c>
      <c r="D199" s="13">
        <v>2024</v>
      </c>
      <c r="E199" s="13" t="s">
        <v>14</v>
      </c>
      <c r="F199" s="13" t="s">
        <v>25</v>
      </c>
      <c r="G199" s="15">
        <v>1103.76</v>
      </c>
      <c r="H199" s="15">
        <v>1103.76</v>
      </c>
      <c r="I199" s="13">
        <v>6</v>
      </c>
      <c r="J199" s="13">
        <v>6</v>
      </c>
      <c r="K199" s="13" t="s">
        <v>3346</v>
      </c>
      <c r="L199" s="15">
        <v>183.96</v>
      </c>
      <c r="M199" s="16">
        <v>183.96</v>
      </c>
    </row>
    <row r="200" spans="1:13" s="5" customFormat="1" x14ac:dyDescent="0.25">
      <c r="A200" s="12" t="s">
        <v>414</v>
      </c>
      <c r="B200" s="13" t="s">
        <v>415</v>
      </c>
      <c r="C200" s="14">
        <v>45601</v>
      </c>
      <c r="D200" s="13">
        <v>2024</v>
      </c>
      <c r="E200" s="13" t="s">
        <v>3347</v>
      </c>
      <c r="F200" s="13" t="s">
        <v>11</v>
      </c>
      <c r="G200" s="15">
        <v>1428.83</v>
      </c>
      <c r="H200" s="15">
        <v>1428.83</v>
      </c>
      <c r="I200" s="13">
        <v>10</v>
      </c>
      <c r="J200" s="13">
        <v>10</v>
      </c>
      <c r="K200" s="13" t="s">
        <v>18</v>
      </c>
      <c r="L200" s="15">
        <v>142.88299999999998</v>
      </c>
      <c r="M200" s="16">
        <v>142.88299999999998</v>
      </c>
    </row>
    <row r="201" spans="1:13" s="5" customFormat="1" x14ac:dyDescent="0.25">
      <c r="A201" s="12" t="s">
        <v>416</v>
      </c>
      <c r="B201" s="13" t="s">
        <v>417</v>
      </c>
      <c r="C201" s="14">
        <v>44943</v>
      </c>
      <c r="D201" s="13">
        <v>2023</v>
      </c>
      <c r="E201" s="13" t="s">
        <v>14</v>
      </c>
      <c r="F201" s="13" t="s">
        <v>34</v>
      </c>
      <c r="G201" s="15">
        <v>1962.79</v>
      </c>
      <c r="H201" s="15">
        <v>1962.79</v>
      </c>
      <c r="I201" s="13">
        <v>4</v>
      </c>
      <c r="J201" s="13">
        <v>4</v>
      </c>
      <c r="K201" s="13" t="s">
        <v>35</v>
      </c>
      <c r="L201" s="15">
        <v>490.69749999999999</v>
      </c>
      <c r="M201" s="16">
        <v>490.69749999999999</v>
      </c>
    </row>
    <row r="202" spans="1:13" s="5" customFormat="1" x14ac:dyDescent="0.25">
      <c r="A202" s="12" t="s">
        <v>418</v>
      </c>
      <c r="B202" s="13" t="s">
        <v>419</v>
      </c>
      <c r="C202" s="14">
        <v>45101</v>
      </c>
      <c r="D202" s="13">
        <v>2023</v>
      </c>
      <c r="E202" s="13" t="s">
        <v>14</v>
      </c>
      <c r="F202" s="13" t="s">
        <v>34</v>
      </c>
      <c r="G202" s="15">
        <v>1779.53</v>
      </c>
      <c r="H202" s="15">
        <v>1779.53</v>
      </c>
      <c r="I202" s="13">
        <v>9</v>
      </c>
      <c r="J202" s="13">
        <v>9</v>
      </c>
      <c r="K202" s="13" t="s">
        <v>18</v>
      </c>
      <c r="L202" s="15">
        <v>197.72555555555556</v>
      </c>
      <c r="M202" s="16">
        <v>197.72555555555556</v>
      </c>
    </row>
    <row r="203" spans="1:13" s="5" customFormat="1" x14ac:dyDescent="0.25">
      <c r="A203" s="12" t="s">
        <v>420</v>
      </c>
      <c r="B203" s="13" t="s">
        <v>421</v>
      </c>
      <c r="C203" s="14">
        <v>45539</v>
      </c>
      <c r="D203" s="13">
        <v>2024</v>
      </c>
      <c r="E203" s="13" t="s">
        <v>21</v>
      </c>
      <c r="F203" s="13" t="s">
        <v>34</v>
      </c>
      <c r="G203" s="15">
        <v>573.4</v>
      </c>
      <c r="H203" s="15">
        <v>573.4</v>
      </c>
      <c r="I203" s="13">
        <v>3</v>
      </c>
      <c r="J203" s="13">
        <v>3</v>
      </c>
      <c r="K203" s="13" t="s">
        <v>35</v>
      </c>
      <c r="L203" s="15">
        <v>191.13333333333333</v>
      </c>
      <c r="M203" s="16">
        <v>164.04357142857143</v>
      </c>
    </row>
    <row r="204" spans="1:13" s="5" customFormat="1" x14ac:dyDescent="0.25">
      <c r="A204" s="12" t="s">
        <v>422</v>
      </c>
      <c r="B204" s="13" t="s">
        <v>423</v>
      </c>
      <c r="C204" s="14">
        <v>45541</v>
      </c>
      <c r="D204" s="13">
        <v>2024</v>
      </c>
      <c r="E204" s="13" t="s">
        <v>14</v>
      </c>
      <c r="F204" s="13" t="s">
        <v>34</v>
      </c>
      <c r="G204" s="15">
        <v>986.19</v>
      </c>
      <c r="H204" s="15">
        <v>986.19</v>
      </c>
      <c r="I204" s="13">
        <v>7</v>
      </c>
      <c r="J204" s="13">
        <v>7</v>
      </c>
      <c r="K204" s="13" t="s">
        <v>35</v>
      </c>
      <c r="L204" s="15">
        <v>140.88428571428571</v>
      </c>
      <c r="M204" s="16">
        <v>140.88428571428571</v>
      </c>
    </row>
    <row r="205" spans="1:13" s="5" customFormat="1" x14ac:dyDescent="0.25">
      <c r="A205" s="12" t="s">
        <v>424</v>
      </c>
      <c r="B205" s="13" t="s">
        <v>425</v>
      </c>
      <c r="C205" s="14">
        <v>45046</v>
      </c>
      <c r="D205" s="13">
        <v>2023</v>
      </c>
      <c r="E205" s="13" t="s">
        <v>3347</v>
      </c>
      <c r="F205" s="13" t="s">
        <v>22</v>
      </c>
      <c r="G205" s="15">
        <v>1105.2991865079364</v>
      </c>
      <c r="H205" s="15">
        <v>1105.2991865079364</v>
      </c>
      <c r="I205" s="13">
        <v>6</v>
      </c>
      <c r="J205" s="13">
        <v>6</v>
      </c>
      <c r="K205" s="13" t="s">
        <v>18</v>
      </c>
      <c r="L205" s="15">
        <v>184.21653108465605</v>
      </c>
      <c r="M205" s="16">
        <v>184.21653108465605</v>
      </c>
    </row>
    <row r="206" spans="1:13" s="5" customFormat="1" x14ac:dyDescent="0.25">
      <c r="A206" s="12" t="s">
        <v>426</v>
      </c>
      <c r="B206" s="13" t="s">
        <v>427</v>
      </c>
      <c r="C206" s="14">
        <v>45528</v>
      </c>
      <c r="D206" s="13">
        <v>2024</v>
      </c>
      <c r="E206" s="13" t="s">
        <v>3347</v>
      </c>
      <c r="F206" s="13" t="s">
        <v>11</v>
      </c>
      <c r="G206" s="15">
        <v>1266.92</v>
      </c>
      <c r="H206" s="15">
        <v>1266.92</v>
      </c>
      <c r="I206" s="13">
        <v>6</v>
      </c>
      <c r="J206" s="13">
        <v>6</v>
      </c>
      <c r="K206" s="13" t="s">
        <v>3348</v>
      </c>
      <c r="L206" s="15">
        <v>211.15333333333334</v>
      </c>
      <c r="M206" s="16">
        <v>211.15333333333334</v>
      </c>
    </row>
    <row r="207" spans="1:13" s="5" customFormat="1" x14ac:dyDescent="0.25">
      <c r="A207" s="12" t="s">
        <v>428</v>
      </c>
      <c r="B207" s="13" t="s">
        <v>429</v>
      </c>
      <c r="C207" s="14">
        <v>45292</v>
      </c>
      <c r="D207" s="13">
        <v>2024</v>
      </c>
      <c r="E207" s="13" t="s">
        <v>21</v>
      </c>
      <c r="F207" s="13" t="s">
        <v>22</v>
      </c>
      <c r="G207" s="15">
        <v>227.48</v>
      </c>
      <c r="H207" s="15">
        <v>227.48</v>
      </c>
      <c r="I207" s="13">
        <v>7</v>
      </c>
      <c r="J207" s="13">
        <v>7</v>
      </c>
      <c r="K207" s="13" t="s">
        <v>35</v>
      </c>
      <c r="L207" s="15">
        <v>32.497142857142855</v>
      </c>
      <c r="M207" s="16">
        <v>32.497142857142855</v>
      </c>
    </row>
    <row r="208" spans="1:13" s="5" customFormat="1" x14ac:dyDescent="0.25">
      <c r="A208" s="12" t="s">
        <v>430</v>
      </c>
      <c r="B208" s="13" t="s">
        <v>431</v>
      </c>
      <c r="C208" s="14">
        <v>44873</v>
      </c>
      <c r="D208" s="13">
        <v>2022</v>
      </c>
      <c r="E208" s="13" t="s">
        <v>14</v>
      </c>
      <c r="F208" s="13" t="s">
        <v>22</v>
      </c>
      <c r="G208" s="15">
        <v>1265.45</v>
      </c>
      <c r="H208" s="15">
        <v>1265.45</v>
      </c>
      <c r="I208" s="13">
        <v>8</v>
      </c>
      <c r="J208" s="13">
        <v>8</v>
      </c>
      <c r="K208" s="13" t="s">
        <v>3346</v>
      </c>
      <c r="L208" s="15">
        <v>158.18125000000001</v>
      </c>
      <c r="M208" s="16">
        <v>158.18125000000001</v>
      </c>
    </row>
    <row r="209" spans="1:13" s="5" customFormat="1" x14ac:dyDescent="0.25">
      <c r="A209" s="12" t="s">
        <v>432</v>
      </c>
      <c r="B209" s="13" t="s">
        <v>433</v>
      </c>
      <c r="C209" s="14">
        <v>44990</v>
      </c>
      <c r="D209" s="13">
        <v>2023</v>
      </c>
      <c r="E209" s="13" t="s">
        <v>3347</v>
      </c>
      <c r="F209" s="13" t="s">
        <v>34</v>
      </c>
      <c r="G209" s="15">
        <v>1365.23</v>
      </c>
      <c r="H209" s="15">
        <v>1365.23</v>
      </c>
      <c r="I209" s="13">
        <v>10</v>
      </c>
      <c r="J209" s="13">
        <v>10</v>
      </c>
      <c r="K209" s="13" t="s">
        <v>3348</v>
      </c>
      <c r="L209" s="15">
        <v>136.523</v>
      </c>
      <c r="M209" s="16">
        <v>136.523</v>
      </c>
    </row>
    <row r="210" spans="1:13" s="5" customFormat="1" x14ac:dyDescent="0.25">
      <c r="A210" s="12" t="s">
        <v>434</v>
      </c>
      <c r="B210" s="13" t="s">
        <v>435</v>
      </c>
      <c r="C210" s="14">
        <v>45368</v>
      </c>
      <c r="D210" s="13">
        <v>2024</v>
      </c>
      <c r="E210" s="13" t="s">
        <v>10</v>
      </c>
      <c r="F210" s="13" t="s">
        <v>11</v>
      </c>
      <c r="G210" s="15">
        <v>264.36</v>
      </c>
      <c r="H210" s="15">
        <v>264.36</v>
      </c>
      <c r="I210" s="13">
        <v>6</v>
      </c>
      <c r="J210" s="13">
        <v>6</v>
      </c>
      <c r="K210" s="13" t="s">
        <v>15</v>
      </c>
      <c r="L210" s="15">
        <v>44.06</v>
      </c>
      <c r="M210" s="16">
        <v>44.06</v>
      </c>
    </row>
    <row r="211" spans="1:13" s="5" customFormat="1" x14ac:dyDescent="0.25">
      <c r="A211" s="12" t="s">
        <v>436</v>
      </c>
      <c r="B211" s="13" t="s">
        <v>437</v>
      </c>
      <c r="C211" s="14">
        <v>45090</v>
      </c>
      <c r="D211" s="13">
        <v>2023</v>
      </c>
      <c r="E211" s="13" t="s">
        <v>3347</v>
      </c>
      <c r="F211" s="13" t="s">
        <v>11</v>
      </c>
      <c r="G211" s="15">
        <v>1746.66</v>
      </c>
      <c r="H211" s="15">
        <v>1746.66</v>
      </c>
      <c r="I211" s="13">
        <v>4</v>
      </c>
      <c r="J211" s="13">
        <v>4</v>
      </c>
      <c r="K211" s="13" t="s">
        <v>15</v>
      </c>
      <c r="L211" s="15">
        <v>436.66500000000002</v>
      </c>
      <c r="M211" s="16">
        <v>436.66500000000002</v>
      </c>
    </row>
    <row r="212" spans="1:13" s="5" customFormat="1" x14ac:dyDescent="0.25">
      <c r="A212" s="12" t="s">
        <v>438</v>
      </c>
      <c r="B212" s="13" t="s">
        <v>439</v>
      </c>
      <c r="C212" s="14">
        <v>45435</v>
      </c>
      <c r="D212" s="13">
        <v>2024</v>
      </c>
      <c r="E212" s="13" t="s">
        <v>14</v>
      </c>
      <c r="F212" s="13" t="s">
        <v>22</v>
      </c>
      <c r="G212" s="15">
        <v>162.44</v>
      </c>
      <c r="H212" s="15">
        <v>162.44</v>
      </c>
      <c r="I212" s="13">
        <v>7</v>
      </c>
      <c r="J212" s="13">
        <v>7</v>
      </c>
      <c r="K212" s="13" t="s">
        <v>3346</v>
      </c>
      <c r="L212" s="15">
        <v>23.205714285714286</v>
      </c>
      <c r="M212" s="16">
        <v>23.205714285714286</v>
      </c>
    </row>
    <row r="213" spans="1:13" s="5" customFormat="1" x14ac:dyDescent="0.25">
      <c r="A213" s="12" t="s">
        <v>440</v>
      </c>
      <c r="B213" s="13" t="s">
        <v>441</v>
      </c>
      <c r="C213" s="14">
        <v>45797</v>
      </c>
      <c r="D213" s="13">
        <v>2025</v>
      </c>
      <c r="E213" s="13" t="s">
        <v>10</v>
      </c>
      <c r="F213" s="13" t="s">
        <v>22</v>
      </c>
      <c r="G213" s="15">
        <v>606.61</v>
      </c>
      <c r="H213" s="15">
        <v>606.61</v>
      </c>
      <c r="I213" s="13">
        <v>8</v>
      </c>
      <c r="J213" s="13">
        <v>8</v>
      </c>
      <c r="K213" s="13" t="s">
        <v>18</v>
      </c>
      <c r="L213" s="15">
        <v>75.826250000000002</v>
      </c>
      <c r="M213" s="16">
        <v>75.826250000000002</v>
      </c>
    </row>
    <row r="214" spans="1:13" s="5" customFormat="1" x14ac:dyDescent="0.25">
      <c r="A214" s="12" t="s">
        <v>442</v>
      </c>
      <c r="B214" s="13" t="s">
        <v>443</v>
      </c>
      <c r="C214" s="14">
        <v>45339</v>
      </c>
      <c r="D214" s="13">
        <v>2024</v>
      </c>
      <c r="E214" s="13" t="s">
        <v>21</v>
      </c>
      <c r="F214" s="13" t="s">
        <v>34</v>
      </c>
      <c r="G214" s="15">
        <v>1757.6616190476193</v>
      </c>
      <c r="H214" s="15">
        <v>1757.6616190476193</v>
      </c>
      <c r="I214" s="13">
        <v>6</v>
      </c>
      <c r="J214" s="13">
        <v>6</v>
      </c>
      <c r="K214" s="13" t="s">
        <v>15</v>
      </c>
      <c r="L214" s="15">
        <v>292.9436031746032</v>
      </c>
      <c r="M214" s="16">
        <v>292.9436031746032</v>
      </c>
    </row>
    <row r="215" spans="1:13" s="5" customFormat="1" x14ac:dyDescent="0.25">
      <c r="A215" s="12" t="s">
        <v>444</v>
      </c>
      <c r="B215" s="13" t="s">
        <v>445</v>
      </c>
      <c r="C215" s="14">
        <v>44956</v>
      </c>
      <c r="D215" s="13">
        <v>2023</v>
      </c>
      <c r="E215" s="13" t="s">
        <v>14</v>
      </c>
      <c r="F215" s="13" t="s">
        <v>22</v>
      </c>
      <c r="G215" s="15">
        <v>1815.01</v>
      </c>
      <c r="H215" s="15">
        <v>1815.01</v>
      </c>
      <c r="I215" s="13">
        <v>9</v>
      </c>
      <c r="J215" s="13">
        <v>9</v>
      </c>
      <c r="K215" s="13" t="s">
        <v>15</v>
      </c>
      <c r="L215" s="15">
        <v>201.66777777777779</v>
      </c>
      <c r="M215" s="16">
        <v>201.66777777777779</v>
      </c>
    </row>
    <row r="216" spans="1:13" s="5" customFormat="1" x14ac:dyDescent="0.25">
      <c r="A216" s="12" t="s">
        <v>446</v>
      </c>
      <c r="B216" s="13" t="s">
        <v>447</v>
      </c>
      <c r="C216" s="14">
        <v>45848</v>
      </c>
      <c r="D216" s="13">
        <v>2025</v>
      </c>
      <c r="E216" s="13" t="s">
        <v>14</v>
      </c>
      <c r="F216" s="13" t="s">
        <v>22</v>
      </c>
      <c r="G216" s="15">
        <v>417.7</v>
      </c>
      <c r="H216" s="15">
        <v>417.7</v>
      </c>
      <c r="I216" s="13">
        <v>1</v>
      </c>
      <c r="J216" s="13">
        <v>1</v>
      </c>
      <c r="K216" s="13" t="s">
        <v>15</v>
      </c>
      <c r="L216" s="15">
        <v>417.7</v>
      </c>
      <c r="M216" s="16">
        <v>417.7</v>
      </c>
    </row>
    <row r="217" spans="1:13" s="5" customFormat="1" x14ac:dyDescent="0.25">
      <c r="A217" s="12" t="s">
        <v>448</v>
      </c>
      <c r="B217" s="13" t="s">
        <v>449</v>
      </c>
      <c r="C217" s="14">
        <v>44994</v>
      </c>
      <c r="D217" s="13">
        <v>2023</v>
      </c>
      <c r="E217" s="13" t="s">
        <v>3347</v>
      </c>
      <c r="F217" s="13" t="s">
        <v>22</v>
      </c>
      <c r="G217" s="15">
        <v>611.41999999999996</v>
      </c>
      <c r="H217" s="15">
        <v>611.41999999999996</v>
      </c>
      <c r="I217" s="13">
        <v>10</v>
      </c>
      <c r="J217" s="13">
        <v>10</v>
      </c>
      <c r="K217" s="13" t="s">
        <v>15</v>
      </c>
      <c r="L217" s="15">
        <v>61.141999999999996</v>
      </c>
      <c r="M217" s="16">
        <v>61.141999999999996</v>
      </c>
    </row>
    <row r="218" spans="1:13" s="5" customFormat="1" x14ac:dyDescent="0.25">
      <c r="A218" s="12" t="s">
        <v>450</v>
      </c>
      <c r="B218" s="13" t="s">
        <v>451</v>
      </c>
      <c r="C218" s="14">
        <v>45027</v>
      </c>
      <c r="D218" s="13">
        <v>2023</v>
      </c>
      <c r="E218" s="13" t="s">
        <v>14</v>
      </c>
      <c r="F218" s="13" t="s">
        <v>11</v>
      </c>
      <c r="G218" s="15">
        <v>880.28</v>
      </c>
      <c r="H218" s="15">
        <v>880.28</v>
      </c>
      <c r="I218" s="13">
        <v>1</v>
      </c>
      <c r="J218" s="13">
        <v>1</v>
      </c>
      <c r="K218" s="13" t="s">
        <v>3348</v>
      </c>
      <c r="L218" s="15">
        <v>880.28</v>
      </c>
      <c r="M218" s="16">
        <v>880.28</v>
      </c>
    </row>
    <row r="219" spans="1:13" s="5" customFormat="1" x14ac:dyDescent="0.25">
      <c r="A219" s="12" t="s">
        <v>452</v>
      </c>
      <c r="B219" s="13" t="s">
        <v>453</v>
      </c>
      <c r="C219" s="14">
        <v>45368</v>
      </c>
      <c r="D219" s="13">
        <v>2024</v>
      </c>
      <c r="E219" s="13" t="s">
        <v>3347</v>
      </c>
      <c r="F219" s="13" t="s">
        <v>22</v>
      </c>
      <c r="G219" s="15">
        <v>977.06</v>
      </c>
      <c r="H219" s="15">
        <v>977.06</v>
      </c>
      <c r="I219" s="13">
        <v>3</v>
      </c>
      <c r="J219" s="13">
        <v>3</v>
      </c>
      <c r="K219" s="13" t="s">
        <v>3346</v>
      </c>
      <c r="L219" s="15">
        <v>325.68666666666667</v>
      </c>
      <c r="M219" s="16">
        <v>340.9203843537415</v>
      </c>
    </row>
    <row r="220" spans="1:13" s="5" customFormat="1" x14ac:dyDescent="0.25">
      <c r="A220" s="12" t="s">
        <v>454</v>
      </c>
      <c r="B220" s="13" t="s">
        <v>455</v>
      </c>
      <c r="C220" s="14">
        <v>45159</v>
      </c>
      <c r="D220" s="13">
        <v>2023</v>
      </c>
      <c r="E220" s="13" t="s">
        <v>10</v>
      </c>
      <c r="F220" s="13" t="s">
        <v>11</v>
      </c>
      <c r="G220" s="15">
        <v>523.78</v>
      </c>
      <c r="H220" s="15">
        <v>523.78</v>
      </c>
      <c r="I220" s="13">
        <v>7</v>
      </c>
      <c r="J220" s="13">
        <v>7</v>
      </c>
      <c r="K220" s="13" t="s">
        <v>3346</v>
      </c>
      <c r="L220" s="15">
        <v>74.825714285714284</v>
      </c>
      <c r="M220" s="16">
        <v>74.825714285714284</v>
      </c>
    </row>
    <row r="221" spans="1:13" s="5" customFormat="1" x14ac:dyDescent="0.25">
      <c r="A221" s="12" t="s">
        <v>456</v>
      </c>
      <c r="B221" s="13" t="s">
        <v>457</v>
      </c>
      <c r="C221" s="14">
        <v>45202</v>
      </c>
      <c r="D221" s="13">
        <v>2023</v>
      </c>
      <c r="E221" s="13" t="s">
        <v>3347</v>
      </c>
      <c r="F221" s="13" t="s">
        <v>34</v>
      </c>
      <c r="G221" s="15">
        <v>692.63</v>
      </c>
      <c r="H221" s="15">
        <v>692.63</v>
      </c>
      <c r="I221" s="13">
        <v>2</v>
      </c>
      <c r="J221" s="13">
        <v>2</v>
      </c>
      <c r="K221" s="13" t="s">
        <v>15</v>
      </c>
      <c r="L221" s="15">
        <v>346.315</v>
      </c>
      <c r="M221" s="16">
        <v>346.315</v>
      </c>
    </row>
    <row r="222" spans="1:13" s="5" customFormat="1" x14ac:dyDescent="0.25">
      <c r="A222" s="12" t="s">
        <v>458</v>
      </c>
      <c r="B222" s="13" t="s">
        <v>459</v>
      </c>
      <c r="C222" s="14">
        <v>45885</v>
      </c>
      <c r="D222" s="13">
        <v>2025</v>
      </c>
      <c r="E222" s="13" t="s">
        <v>3347</v>
      </c>
      <c r="F222" s="13" t="s">
        <v>25</v>
      </c>
      <c r="G222" s="15">
        <v>1706.29</v>
      </c>
      <c r="H222" s="15">
        <v>1706.29</v>
      </c>
      <c r="I222" s="13">
        <v>1</v>
      </c>
      <c r="J222" s="13">
        <v>1</v>
      </c>
      <c r="K222" s="13" t="s">
        <v>15</v>
      </c>
      <c r="L222" s="15">
        <v>1706.29</v>
      </c>
      <c r="M222" s="16">
        <v>1706.29</v>
      </c>
    </row>
    <row r="223" spans="1:13" s="5" customFormat="1" x14ac:dyDescent="0.25">
      <c r="A223" s="12" t="s">
        <v>460</v>
      </c>
      <c r="B223" s="13" t="s">
        <v>461</v>
      </c>
      <c r="C223" s="14">
        <v>45830</v>
      </c>
      <c r="D223" s="13">
        <v>2025</v>
      </c>
      <c r="E223" s="13" t="s">
        <v>14</v>
      </c>
      <c r="F223" s="13" t="s">
        <v>11</v>
      </c>
      <c r="G223" s="15">
        <v>584.26</v>
      </c>
      <c r="H223" s="15">
        <v>584.26</v>
      </c>
      <c r="I223" s="13">
        <v>4</v>
      </c>
      <c r="J223" s="13">
        <v>4</v>
      </c>
      <c r="K223" s="13" t="s">
        <v>18</v>
      </c>
      <c r="L223" s="15">
        <v>146.065</v>
      </c>
      <c r="M223" s="16">
        <v>146.065</v>
      </c>
    </row>
    <row r="224" spans="1:13" s="5" customFormat="1" x14ac:dyDescent="0.25">
      <c r="A224" s="12" t="s">
        <v>462</v>
      </c>
      <c r="B224" s="13" t="s">
        <v>463</v>
      </c>
      <c r="C224" s="14">
        <v>45850</v>
      </c>
      <c r="D224" s="13">
        <v>2025</v>
      </c>
      <c r="E224" s="13" t="s">
        <v>3347</v>
      </c>
      <c r="F224" s="13" t="s">
        <v>11</v>
      </c>
      <c r="G224" s="15">
        <v>5344.8916666666673</v>
      </c>
      <c r="H224" s="15">
        <v>3548.2821388888883</v>
      </c>
      <c r="I224" s="13">
        <v>10</v>
      </c>
      <c r="J224" s="13">
        <v>10</v>
      </c>
      <c r="K224" s="13" t="s">
        <v>3348</v>
      </c>
      <c r="L224" s="15">
        <v>534.48916666666673</v>
      </c>
      <c r="M224" s="16">
        <v>534.48916666666673</v>
      </c>
    </row>
    <row r="225" spans="1:13" s="5" customFormat="1" x14ac:dyDescent="0.25">
      <c r="A225" s="12" t="s">
        <v>464</v>
      </c>
      <c r="B225" s="13" t="s">
        <v>465</v>
      </c>
      <c r="C225" s="14">
        <v>45289</v>
      </c>
      <c r="D225" s="13">
        <v>2023</v>
      </c>
      <c r="E225" s="13" t="s">
        <v>3347</v>
      </c>
      <c r="F225" s="13" t="s">
        <v>34</v>
      </c>
      <c r="G225" s="15">
        <v>1440.32</v>
      </c>
      <c r="H225" s="15">
        <v>1440.32</v>
      </c>
      <c r="I225" s="13">
        <v>5</v>
      </c>
      <c r="J225" s="13">
        <v>5</v>
      </c>
      <c r="K225" s="13" t="s">
        <v>15</v>
      </c>
      <c r="L225" s="15">
        <v>288.06399999999996</v>
      </c>
      <c r="M225" s="16">
        <v>288.06399999999996</v>
      </c>
    </row>
    <row r="226" spans="1:13" s="5" customFormat="1" x14ac:dyDescent="0.25">
      <c r="A226" s="12" t="s">
        <v>466</v>
      </c>
      <c r="B226" s="13" t="s">
        <v>467</v>
      </c>
      <c r="C226" s="14">
        <v>45830</v>
      </c>
      <c r="D226" s="13">
        <v>2025</v>
      </c>
      <c r="E226" s="13" t="s">
        <v>14</v>
      </c>
      <c r="F226" s="13" t="s">
        <v>22</v>
      </c>
      <c r="G226" s="15">
        <v>1916.96</v>
      </c>
      <c r="H226" s="15">
        <v>1916.96</v>
      </c>
      <c r="I226" s="13">
        <v>5</v>
      </c>
      <c r="J226" s="13">
        <v>5</v>
      </c>
      <c r="K226" s="13" t="s">
        <v>3348</v>
      </c>
      <c r="L226" s="15">
        <v>383.392</v>
      </c>
      <c r="M226" s="16">
        <v>400.27690917107583</v>
      </c>
    </row>
    <row r="227" spans="1:13" s="5" customFormat="1" x14ac:dyDescent="0.25">
      <c r="A227" s="12" t="s">
        <v>468</v>
      </c>
      <c r="B227" s="13" t="s">
        <v>469</v>
      </c>
      <c r="C227" s="14">
        <v>45075</v>
      </c>
      <c r="D227" s="13">
        <v>2023</v>
      </c>
      <c r="E227" s="13" t="s">
        <v>14</v>
      </c>
      <c r="F227" s="13" t="s">
        <v>11</v>
      </c>
      <c r="G227" s="15">
        <v>1864.15</v>
      </c>
      <c r="H227" s="15">
        <v>1864.15</v>
      </c>
      <c r="I227" s="13">
        <v>3</v>
      </c>
      <c r="J227" s="13">
        <v>3</v>
      </c>
      <c r="K227" s="13" t="s">
        <v>18</v>
      </c>
      <c r="L227" s="15">
        <v>621.38333333333333</v>
      </c>
      <c r="M227" s="16">
        <v>621.38333333333333</v>
      </c>
    </row>
    <row r="228" spans="1:13" s="5" customFormat="1" x14ac:dyDescent="0.25">
      <c r="A228" s="12" t="s">
        <v>470</v>
      </c>
      <c r="B228" s="13" t="s">
        <v>471</v>
      </c>
      <c r="C228" s="14">
        <v>45041</v>
      </c>
      <c r="D228" s="13">
        <v>2023</v>
      </c>
      <c r="E228" s="13" t="s">
        <v>10</v>
      </c>
      <c r="F228" s="13" t="s">
        <v>22</v>
      </c>
      <c r="G228" s="15">
        <v>552.88826666666671</v>
      </c>
      <c r="H228" s="15">
        <v>552.88826666666671</v>
      </c>
      <c r="I228" s="13">
        <v>2</v>
      </c>
      <c r="J228" s="13">
        <v>2</v>
      </c>
      <c r="K228" s="13" t="s">
        <v>15</v>
      </c>
      <c r="L228" s="15">
        <v>276.44413333333335</v>
      </c>
      <c r="M228" s="16">
        <v>276.44413333333335</v>
      </c>
    </row>
    <row r="229" spans="1:13" s="5" customFormat="1" x14ac:dyDescent="0.25">
      <c r="A229" s="12" t="s">
        <v>472</v>
      </c>
      <c r="B229" s="13" t="s">
        <v>473</v>
      </c>
      <c r="C229" s="14">
        <v>45468</v>
      </c>
      <c r="D229" s="13">
        <v>2024</v>
      </c>
      <c r="E229" s="13" t="s">
        <v>3347</v>
      </c>
      <c r="F229" s="13" t="s">
        <v>11</v>
      </c>
      <c r="G229" s="15">
        <v>749.03</v>
      </c>
      <c r="H229" s="15">
        <v>749.03</v>
      </c>
      <c r="I229" s="13">
        <v>3</v>
      </c>
      <c r="J229" s="13">
        <v>3</v>
      </c>
      <c r="K229" s="13" t="s">
        <v>18</v>
      </c>
      <c r="L229" s="15">
        <v>249.67666666666665</v>
      </c>
      <c r="M229" s="16">
        <v>249.67666666666665</v>
      </c>
    </row>
    <row r="230" spans="1:13" s="5" customFormat="1" x14ac:dyDescent="0.25">
      <c r="A230" s="12" t="s">
        <v>474</v>
      </c>
      <c r="B230" s="13" t="s">
        <v>475</v>
      </c>
      <c r="C230" s="14">
        <v>45346</v>
      </c>
      <c r="D230" s="13">
        <v>2024</v>
      </c>
      <c r="E230" s="13" t="s">
        <v>10</v>
      </c>
      <c r="F230" s="13" t="s">
        <v>34</v>
      </c>
      <c r="G230" s="15">
        <v>6.79</v>
      </c>
      <c r="H230" s="15">
        <v>6.79</v>
      </c>
      <c r="I230" s="13">
        <v>8</v>
      </c>
      <c r="J230" s="13">
        <v>8</v>
      </c>
      <c r="K230" s="13" t="s">
        <v>15</v>
      </c>
      <c r="L230" s="15">
        <v>0.84875</v>
      </c>
      <c r="M230" s="16">
        <v>0.84875</v>
      </c>
    </row>
    <row r="231" spans="1:13" s="5" customFormat="1" x14ac:dyDescent="0.25">
      <c r="A231" s="12" t="s">
        <v>476</v>
      </c>
      <c r="B231" s="13" t="s">
        <v>477</v>
      </c>
      <c r="C231" s="14">
        <v>45185</v>
      </c>
      <c r="D231" s="13">
        <v>2023</v>
      </c>
      <c r="E231" s="13" t="s">
        <v>21</v>
      </c>
      <c r="F231" s="13" t="s">
        <v>11</v>
      </c>
      <c r="G231" s="15">
        <v>193.81</v>
      </c>
      <c r="H231" s="15">
        <v>193.81</v>
      </c>
      <c r="I231" s="13">
        <v>2</v>
      </c>
      <c r="J231" s="13">
        <v>2</v>
      </c>
      <c r="K231" s="13" t="s">
        <v>3346</v>
      </c>
      <c r="L231" s="15">
        <v>96.905000000000001</v>
      </c>
      <c r="M231" s="16">
        <v>96.905000000000001</v>
      </c>
    </row>
    <row r="232" spans="1:13" s="5" customFormat="1" x14ac:dyDescent="0.25">
      <c r="A232" s="12" t="s">
        <v>478</v>
      </c>
      <c r="B232" s="13" t="s">
        <v>479</v>
      </c>
      <c r="C232" s="14">
        <v>45865</v>
      </c>
      <c r="D232" s="13">
        <v>2025</v>
      </c>
      <c r="E232" s="13" t="s">
        <v>3347</v>
      </c>
      <c r="F232" s="13" t="s">
        <v>34</v>
      </c>
      <c r="G232" s="15">
        <v>65.37</v>
      </c>
      <c r="H232" s="15">
        <v>65.37</v>
      </c>
      <c r="I232" s="13">
        <v>2</v>
      </c>
      <c r="J232" s="13">
        <v>2</v>
      </c>
      <c r="K232" s="13" t="s">
        <v>3348</v>
      </c>
      <c r="L232" s="15">
        <v>32.685000000000002</v>
      </c>
      <c r="M232" s="16">
        <v>32.685000000000002</v>
      </c>
    </row>
    <row r="233" spans="1:13" s="5" customFormat="1" x14ac:dyDescent="0.25">
      <c r="A233" s="12" t="s">
        <v>480</v>
      </c>
      <c r="B233" s="13" t="s">
        <v>481</v>
      </c>
      <c r="C233" s="14">
        <v>45907</v>
      </c>
      <c r="D233" s="13">
        <v>2025</v>
      </c>
      <c r="E233" s="13" t="s">
        <v>14</v>
      </c>
      <c r="F233" s="13" t="s">
        <v>11</v>
      </c>
      <c r="G233" s="15">
        <v>1771.55</v>
      </c>
      <c r="H233" s="15">
        <v>1771.55</v>
      </c>
      <c r="I233" s="13">
        <v>1</v>
      </c>
      <c r="J233" s="13">
        <v>1</v>
      </c>
      <c r="K233" s="13" t="s">
        <v>18</v>
      </c>
      <c r="L233" s="15">
        <v>1771.55</v>
      </c>
      <c r="M233" s="16">
        <v>1771.55</v>
      </c>
    </row>
    <row r="234" spans="1:13" s="5" customFormat="1" x14ac:dyDescent="0.25">
      <c r="A234" s="12" t="s">
        <v>482</v>
      </c>
      <c r="B234" s="13" t="s">
        <v>483</v>
      </c>
      <c r="C234" s="14">
        <v>45920</v>
      </c>
      <c r="D234" s="13">
        <v>2025</v>
      </c>
      <c r="E234" s="13" t="s">
        <v>3347</v>
      </c>
      <c r="F234" s="13" t="s">
        <v>22</v>
      </c>
      <c r="G234" s="15">
        <v>2321.0387500000002</v>
      </c>
      <c r="H234" s="15">
        <v>2321.0387500000002</v>
      </c>
      <c r="I234" s="13">
        <v>6</v>
      </c>
      <c r="J234" s="13">
        <v>6</v>
      </c>
      <c r="K234" s="13" t="s">
        <v>18</v>
      </c>
      <c r="L234" s="15">
        <v>386.83979166666671</v>
      </c>
      <c r="M234" s="16">
        <v>386.83979166666671</v>
      </c>
    </row>
    <row r="235" spans="1:13" s="5" customFormat="1" x14ac:dyDescent="0.25">
      <c r="A235" s="12" t="s">
        <v>484</v>
      </c>
      <c r="B235" s="13" t="s">
        <v>485</v>
      </c>
      <c r="C235" s="14">
        <v>45912</v>
      </c>
      <c r="D235" s="13">
        <v>2025</v>
      </c>
      <c r="E235" s="13" t="s">
        <v>21</v>
      </c>
      <c r="F235" s="13" t="s">
        <v>25</v>
      </c>
      <c r="G235" s="15">
        <v>1894.79</v>
      </c>
      <c r="H235" s="15">
        <v>1894.79</v>
      </c>
      <c r="I235" s="13">
        <v>6</v>
      </c>
      <c r="J235" s="13">
        <v>6</v>
      </c>
      <c r="K235" s="13" t="s">
        <v>3348</v>
      </c>
      <c r="L235" s="15">
        <v>315.79833333333335</v>
      </c>
      <c r="M235" s="16">
        <v>315.79833333333335</v>
      </c>
    </row>
    <row r="236" spans="1:13" s="5" customFormat="1" x14ac:dyDescent="0.25">
      <c r="A236" s="12" t="s">
        <v>486</v>
      </c>
      <c r="B236" s="13" t="s">
        <v>487</v>
      </c>
      <c r="C236" s="14">
        <v>45368</v>
      </c>
      <c r="D236" s="13">
        <v>2024</v>
      </c>
      <c r="E236" s="13" t="s">
        <v>3347</v>
      </c>
      <c r="F236" s="13" t="s">
        <v>11</v>
      </c>
      <c r="G236" s="15">
        <v>1960.0836666666667</v>
      </c>
      <c r="H236" s="15">
        <v>1960.0836666666667</v>
      </c>
      <c r="I236" s="13">
        <v>8</v>
      </c>
      <c r="J236" s="13">
        <v>8</v>
      </c>
      <c r="K236" s="13" t="s">
        <v>35</v>
      </c>
      <c r="L236" s="15">
        <v>245.01045833333333</v>
      </c>
      <c r="M236" s="16">
        <v>245.01045833333333</v>
      </c>
    </row>
    <row r="237" spans="1:13" s="5" customFormat="1" x14ac:dyDescent="0.25">
      <c r="A237" s="12" t="s">
        <v>488</v>
      </c>
      <c r="B237" s="13" t="s">
        <v>489</v>
      </c>
      <c r="C237" s="14">
        <v>45244</v>
      </c>
      <c r="D237" s="13">
        <v>2023</v>
      </c>
      <c r="E237" s="13" t="s">
        <v>14</v>
      </c>
      <c r="F237" s="13" t="s">
        <v>22</v>
      </c>
      <c r="G237" s="15">
        <v>1013.22</v>
      </c>
      <c r="H237" s="15">
        <v>1013.22</v>
      </c>
      <c r="I237" s="13">
        <v>4</v>
      </c>
      <c r="J237" s="13">
        <v>4</v>
      </c>
      <c r="K237" s="13" t="s">
        <v>35</v>
      </c>
      <c r="L237" s="15">
        <v>253.30500000000001</v>
      </c>
      <c r="M237" s="16">
        <v>253.30500000000001</v>
      </c>
    </row>
    <row r="238" spans="1:13" s="5" customFormat="1" x14ac:dyDescent="0.25">
      <c r="A238" s="12" t="s">
        <v>490</v>
      </c>
      <c r="B238" s="13" t="s">
        <v>491</v>
      </c>
      <c r="C238" s="14">
        <v>44901</v>
      </c>
      <c r="D238" s="13">
        <v>2022</v>
      </c>
      <c r="E238" s="13" t="s">
        <v>3347</v>
      </c>
      <c r="F238" s="13" t="s">
        <v>11</v>
      </c>
      <c r="G238" s="15">
        <v>667.78</v>
      </c>
      <c r="H238" s="15">
        <v>667.78</v>
      </c>
      <c r="I238" s="13">
        <v>4</v>
      </c>
      <c r="J238" s="13">
        <v>4</v>
      </c>
      <c r="K238" s="13" t="s">
        <v>3346</v>
      </c>
      <c r="L238" s="15">
        <v>166.94499999999999</v>
      </c>
      <c r="M238" s="16">
        <v>166.94499999999999</v>
      </c>
    </row>
    <row r="239" spans="1:13" s="5" customFormat="1" x14ac:dyDescent="0.25">
      <c r="A239" s="12" t="s">
        <v>492</v>
      </c>
      <c r="B239" s="13" t="s">
        <v>493</v>
      </c>
      <c r="C239" s="14">
        <v>45044</v>
      </c>
      <c r="D239" s="13">
        <v>2023</v>
      </c>
      <c r="E239" s="13" t="s">
        <v>10</v>
      </c>
      <c r="F239" s="13" t="s">
        <v>34</v>
      </c>
      <c r="G239" s="15">
        <v>859.85</v>
      </c>
      <c r="H239" s="15">
        <v>859.85</v>
      </c>
      <c r="I239" s="13">
        <v>8</v>
      </c>
      <c r="J239" s="13">
        <v>8</v>
      </c>
      <c r="K239" s="13" t="s">
        <v>18</v>
      </c>
      <c r="L239" s="15">
        <v>107.48125</v>
      </c>
      <c r="M239" s="16">
        <v>107.48125</v>
      </c>
    </row>
    <row r="240" spans="1:13" s="5" customFormat="1" x14ac:dyDescent="0.25">
      <c r="A240" s="12" t="s">
        <v>494</v>
      </c>
      <c r="B240" s="13" t="s">
        <v>495</v>
      </c>
      <c r="C240" s="14">
        <v>45638</v>
      </c>
      <c r="D240" s="13">
        <v>2024</v>
      </c>
      <c r="E240" s="13" t="s">
        <v>10</v>
      </c>
      <c r="F240" s="13" t="s">
        <v>34</v>
      </c>
      <c r="G240" s="15">
        <v>1239.72</v>
      </c>
      <c r="H240" s="15">
        <v>1239.72</v>
      </c>
      <c r="I240" s="13">
        <v>3</v>
      </c>
      <c r="J240" s="13">
        <v>3</v>
      </c>
      <c r="K240" s="13" t="s">
        <v>3346</v>
      </c>
      <c r="L240" s="15">
        <v>413.24</v>
      </c>
      <c r="M240" s="16">
        <v>413.24</v>
      </c>
    </row>
    <row r="241" spans="1:13" s="5" customFormat="1" x14ac:dyDescent="0.25">
      <c r="A241" s="12" t="s">
        <v>496</v>
      </c>
      <c r="B241" s="13" t="s">
        <v>497</v>
      </c>
      <c r="C241" s="14">
        <v>45681</v>
      </c>
      <c r="D241" s="13">
        <v>2025</v>
      </c>
      <c r="E241" s="13" t="s">
        <v>14</v>
      </c>
      <c r="F241" s="13" t="s">
        <v>34</v>
      </c>
      <c r="G241" s="15">
        <v>167.29</v>
      </c>
      <c r="H241" s="15">
        <v>167.29</v>
      </c>
      <c r="I241" s="13">
        <v>5</v>
      </c>
      <c r="J241" s="13">
        <v>5</v>
      </c>
      <c r="K241" s="13" t="s">
        <v>15</v>
      </c>
      <c r="L241" s="15">
        <v>33.457999999999998</v>
      </c>
      <c r="M241" s="16">
        <v>33.457999999999998</v>
      </c>
    </row>
    <row r="242" spans="1:13" s="5" customFormat="1" x14ac:dyDescent="0.25">
      <c r="A242" s="12" t="s">
        <v>499</v>
      </c>
      <c r="B242" s="13" t="s">
        <v>500</v>
      </c>
      <c r="C242" s="14">
        <v>45392</v>
      </c>
      <c r="D242" s="13">
        <v>2024</v>
      </c>
      <c r="E242" s="13" t="s">
        <v>21</v>
      </c>
      <c r="F242" s="13" t="s">
        <v>25</v>
      </c>
      <c r="G242" s="15">
        <v>1180.5</v>
      </c>
      <c r="H242" s="15">
        <v>1180.5</v>
      </c>
      <c r="I242" s="13">
        <v>2</v>
      </c>
      <c r="J242" s="13">
        <v>2</v>
      </c>
      <c r="K242" s="13" t="s">
        <v>18</v>
      </c>
      <c r="L242" s="15">
        <v>590.25</v>
      </c>
      <c r="M242" s="16">
        <v>590.25</v>
      </c>
    </row>
    <row r="243" spans="1:13" s="5" customFormat="1" x14ac:dyDescent="0.25">
      <c r="A243" s="12" t="s">
        <v>501</v>
      </c>
      <c r="B243" s="13" t="s">
        <v>502</v>
      </c>
      <c r="C243" s="14">
        <v>45949</v>
      </c>
      <c r="D243" s="13">
        <v>2025</v>
      </c>
      <c r="E243" s="13" t="s">
        <v>10</v>
      </c>
      <c r="F243" s="13" t="s">
        <v>11</v>
      </c>
      <c r="G243" s="15">
        <v>1371.14</v>
      </c>
      <c r="H243" s="15">
        <v>1371.14</v>
      </c>
      <c r="I243" s="13">
        <v>1</v>
      </c>
      <c r="J243" s="13">
        <v>1</v>
      </c>
      <c r="K243" s="13" t="s">
        <v>3346</v>
      </c>
      <c r="L243" s="15">
        <v>1371.14</v>
      </c>
      <c r="M243" s="16">
        <v>1371.14</v>
      </c>
    </row>
    <row r="244" spans="1:13" s="5" customFormat="1" x14ac:dyDescent="0.25">
      <c r="A244" s="12" t="s">
        <v>503</v>
      </c>
      <c r="B244" s="13" t="s">
        <v>504</v>
      </c>
      <c r="C244" s="14">
        <v>45817</v>
      </c>
      <c r="D244" s="13">
        <v>2025</v>
      </c>
      <c r="E244" s="13" t="s">
        <v>14</v>
      </c>
      <c r="F244" s="13" t="s">
        <v>34</v>
      </c>
      <c r="G244" s="15">
        <v>417.32</v>
      </c>
      <c r="H244" s="15">
        <v>417.32</v>
      </c>
      <c r="I244" s="13">
        <v>8</v>
      </c>
      <c r="J244" s="13">
        <v>8</v>
      </c>
      <c r="K244" s="13" t="s">
        <v>3346</v>
      </c>
      <c r="L244" s="15">
        <v>52.164999999999999</v>
      </c>
      <c r="M244" s="16">
        <v>52.164999999999999</v>
      </c>
    </row>
    <row r="245" spans="1:13" s="5" customFormat="1" x14ac:dyDescent="0.25">
      <c r="A245" s="12" t="s">
        <v>505</v>
      </c>
      <c r="B245" s="13" t="s">
        <v>506</v>
      </c>
      <c r="C245" s="14">
        <v>45827</v>
      </c>
      <c r="D245" s="13">
        <v>2025</v>
      </c>
      <c r="E245" s="13" t="s">
        <v>3347</v>
      </c>
      <c r="F245" s="13" t="s">
        <v>22</v>
      </c>
      <c r="G245" s="15">
        <v>1414.42</v>
      </c>
      <c r="H245" s="15">
        <v>1414.42</v>
      </c>
      <c r="I245" s="13">
        <v>4</v>
      </c>
      <c r="J245" s="13">
        <v>4</v>
      </c>
      <c r="K245" s="13" t="s">
        <v>3348</v>
      </c>
      <c r="L245" s="15">
        <v>353.60500000000002</v>
      </c>
      <c r="M245" s="16">
        <v>353.60500000000002</v>
      </c>
    </row>
    <row r="246" spans="1:13" s="5" customFormat="1" x14ac:dyDescent="0.25">
      <c r="A246" s="12" t="s">
        <v>507</v>
      </c>
      <c r="B246" s="13" t="s">
        <v>508</v>
      </c>
      <c r="C246" s="14">
        <v>45327</v>
      </c>
      <c r="D246" s="13">
        <v>2024</v>
      </c>
      <c r="E246" s="13" t="s">
        <v>10</v>
      </c>
      <c r="F246" s="13" t="s">
        <v>34</v>
      </c>
      <c r="G246" s="15">
        <v>3234.165</v>
      </c>
      <c r="H246" s="15">
        <v>3234.165</v>
      </c>
      <c r="I246" s="13">
        <v>9</v>
      </c>
      <c r="J246" s="13">
        <v>9</v>
      </c>
      <c r="K246" s="13" t="s">
        <v>3348</v>
      </c>
      <c r="L246" s="15">
        <v>359.35166666666669</v>
      </c>
      <c r="M246" s="16">
        <v>359.35166666666669</v>
      </c>
    </row>
    <row r="247" spans="1:13" s="5" customFormat="1" x14ac:dyDescent="0.25">
      <c r="A247" s="12" t="s">
        <v>509</v>
      </c>
      <c r="B247" s="13" t="s">
        <v>510</v>
      </c>
      <c r="C247" s="14">
        <v>45518</v>
      </c>
      <c r="D247" s="13">
        <v>2024</v>
      </c>
      <c r="E247" s="13" t="s">
        <v>10</v>
      </c>
      <c r="F247" s="13" t="s">
        <v>34</v>
      </c>
      <c r="G247" s="15">
        <v>924.08</v>
      </c>
      <c r="H247" s="15">
        <v>924.08</v>
      </c>
      <c r="I247" s="13">
        <v>8</v>
      </c>
      <c r="J247" s="13">
        <v>8</v>
      </c>
      <c r="K247" s="13" t="s">
        <v>35</v>
      </c>
      <c r="L247" s="15">
        <v>115.51</v>
      </c>
      <c r="M247" s="16">
        <v>115.51</v>
      </c>
    </row>
    <row r="248" spans="1:13" s="5" customFormat="1" x14ac:dyDescent="0.25">
      <c r="A248" s="12" t="s">
        <v>511</v>
      </c>
      <c r="B248" s="13" t="s">
        <v>512</v>
      </c>
      <c r="C248" s="14">
        <v>45079</v>
      </c>
      <c r="D248" s="13">
        <v>2023</v>
      </c>
      <c r="E248" s="13" t="s">
        <v>3347</v>
      </c>
      <c r="F248" s="13" t="s">
        <v>34</v>
      </c>
      <c r="G248" s="15">
        <v>1931.16</v>
      </c>
      <c r="H248" s="15">
        <v>1931.16</v>
      </c>
      <c r="I248" s="13">
        <v>4</v>
      </c>
      <c r="J248" s="13">
        <v>4</v>
      </c>
      <c r="K248" s="13" t="s">
        <v>3348</v>
      </c>
      <c r="L248" s="15">
        <v>482.79</v>
      </c>
      <c r="M248" s="16">
        <v>482.79</v>
      </c>
    </row>
    <row r="249" spans="1:13" s="5" customFormat="1" x14ac:dyDescent="0.25">
      <c r="A249" s="12" t="s">
        <v>513</v>
      </c>
      <c r="B249" s="13" t="s">
        <v>514</v>
      </c>
      <c r="C249" s="14">
        <v>45109</v>
      </c>
      <c r="D249" s="13">
        <v>2023</v>
      </c>
      <c r="E249" s="13" t="s">
        <v>10</v>
      </c>
      <c r="F249" s="13" t="s">
        <v>25</v>
      </c>
      <c r="G249" s="15">
        <v>1206.5999999999999</v>
      </c>
      <c r="H249" s="15">
        <v>1206.5999999999999</v>
      </c>
      <c r="I249" s="13">
        <v>10</v>
      </c>
      <c r="J249" s="13">
        <v>10</v>
      </c>
      <c r="K249" s="13" t="s">
        <v>15</v>
      </c>
      <c r="L249" s="15">
        <v>120.66</v>
      </c>
      <c r="M249" s="16">
        <v>120.66</v>
      </c>
    </row>
    <row r="250" spans="1:13" s="5" customFormat="1" x14ac:dyDescent="0.25">
      <c r="A250" s="12" t="s">
        <v>515</v>
      </c>
      <c r="B250" s="13" t="s">
        <v>516</v>
      </c>
      <c r="C250" s="14">
        <v>45736</v>
      </c>
      <c r="D250" s="13">
        <v>2025</v>
      </c>
      <c r="E250" s="13" t="s">
        <v>10</v>
      </c>
      <c r="F250" s="13" t="s">
        <v>34</v>
      </c>
      <c r="G250" s="15">
        <v>1234.18</v>
      </c>
      <c r="H250" s="15">
        <v>1234.18</v>
      </c>
      <c r="I250" s="13">
        <v>2</v>
      </c>
      <c r="J250" s="13">
        <v>2</v>
      </c>
      <c r="K250" s="13" t="s">
        <v>3346</v>
      </c>
      <c r="L250" s="15">
        <v>617.09</v>
      </c>
      <c r="M250" s="16">
        <v>617.09</v>
      </c>
    </row>
    <row r="251" spans="1:13" s="5" customFormat="1" x14ac:dyDescent="0.25">
      <c r="A251" s="12" t="s">
        <v>517</v>
      </c>
      <c r="B251" s="13" t="s">
        <v>518</v>
      </c>
      <c r="C251" s="14">
        <v>45043</v>
      </c>
      <c r="D251" s="13">
        <v>2023</v>
      </c>
      <c r="E251" s="13" t="s">
        <v>3347</v>
      </c>
      <c r="F251" s="13" t="s">
        <v>25</v>
      </c>
      <c r="G251" s="15">
        <v>712.4</v>
      </c>
      <c r="H251" s="15">
        <v>712.4</v>
      </c>
      <c r="I251" s="13">
        <v>9</v>
      </c>
      <c r="J251" s="13">
        <v>9</v>
      </c>
      <c r="K251" s="13" t="s">
        <v>35</v>
      </c>
      <c r="L251" s="15">
        <v>79.155555555555551</v>
      </c>
      <c r="M251" s="16">
        <v>79.155555555555551</v>
      </c>
    </row>
    <row r="252" spans="1:13" s="5" customFormat="1" x14ac:dyDescent="0.25">
      <c r="A252" s="12" t="s">
        <v>519</v>
      </c>
      <c r="B252" s="13" t="s">
        <v>520</v>
      </c>
      <c r="C252" s="14">
        <v>45219</v>
      </c>
      <c r="D252" s="13">
        <v>2023</v>
      </c>
      <c r="E252" s="13" t="s">
        <v>14</v>
      </c>
      <c r="F252" s="13" t="s">
        <v>11</v>
      </c>
      <c r="G252" s="15">
        <v>1365.17</v>
      </c>
      <c r="H252" s="15">
        <v>1365.17</v>
      </c>
      <c r="I252" s="13">
        <v>3</v>
      </c>
      <c r="J252" s="13">
        <v>3</v>
      </c>
      <c r="K252" s="13" t="s">
        <v>15</v>
      </c>
      <c r="L252" s="15">
        <v>455.05666666666667</v>
      </c>
      <c r="M252" s="16">
        <v>455.05666666666667</v>
      </c>
    </row>
    <row r="253" spans="1:13" s="5" customFormat="1" x14ac:dyDescent="0.25">
      <c r="A253" s="12" t="s">
        <v>521</v>
      </c>
      <c r="B253" s="13" t="s">
        <v>522</v>
      </c>
      <c r="C253" s="14">
        <v>44960</v>
      </c>
      <c r="D253" s="13">
        <v>2023</v>
      </c>
      <c r="E253" s="13" t="s">
        <v>14</v>
      </c>
      <c r="F253" s="13" t="s">
        <v>25</v>
      </c>
      <c r="G253" s="15">
        <v>1824.19</v>
      </c>
      <c r="H253" s="15">
        <v>1824.19</v>
      </c>
      <c r="I253" s="13">
        <v>1</v>
      </c>
      <c r="J253" s="13">
        <v>1</v>
      </c>
      <c r="K253" s="13" t="s">
        <v>15</v>
      </c>
      <c r="L253" s="15">
        <v>1824.19</v>
      </c>
      <c r="M253" s="16">
        <v>1824.19</v>
      </c>
    </row>
    <row r="254" spans="1:13" s="5" customFormat="1" x14ac:dyDescent="0.25">
      <c r="A254" s="12" t="s">
        <v>523</v>
      </c>
      <c r="B254" s="13" t="s">
        <v>524</v>
      </c>
      <c r="C254" s="14">
        <v>45916</v>
      </c>
      <c r="D254" s="13">
        <v>2025</v>
      </c>
      <c r="E254" s="13" t="s">
        <v>3347</v>
      </c>
      <c r="F254" s="13" t="s">
        <v>25</v>
      </c>
      <c r="G254" s="15">
        <v>1502.12</v>
      </c>
      <c r="H254" s="15">
        <v>1502.12</v>
      </c>
      <c r="I254" s="13">
        <v>5</v>
      </c>
      <c r="J254" s="13">
        <v>5</v>
      </c>
      <c r="K254" s="13" t="s">
        <v>15</v>
      </c>
      <c r="L254" s="15">
        <v>300.42399999999998</v>
      </c>
      <c r="M254" s="16">
        <v>300.42399999999998</v>
      </c>
    </row>
    <row r="255" spans="1:13" s="5" customFormat="1" x14ac:dyDescent="0.25">
      <c r="A255" s="12" t="s">
        <v>525</v>
      </c>
      <c r="B255" s="13" t="s">
        <v>526</v>
      </c>
      <c r="C255" s="14">
        <v>45715</v>
      </c>
      <c r="D255" s="13">
        <v>2025</v>
      </c>
      <c r="E255" s="13" t="s">
        <v>10</v>
      </c>
      <c r="F255" s="13" t="s">
        <v>25</v>
      </c>
      <c r="G255" s="15">
        <v>922.13</v>
      </c>
      <c r="H255" s="15">
        <v>922.13</v>
      </c>
      <c r="I255" s="13">
        <v>9</v>
      </c>
      <c r="J255" s="13">
        <v>9</v>
      </c>
      <c r="K255" s="13" t="s">
        <v>15</v>
      </c>
      <c r="L255" s="15">
        <v>102.45888888888889</v>
      </c>
      <c r="M255" s="16">
        <v>102.45888888888889</v>
      </c>
    </row>
    <row r="256" spans="1:13" s="5" customFormat="1" x14ac:dyDescent="0.25">
      <c r="A256" s="12" t="s">
        <v>527</v>
      </c>
      <c r="B256" s="13" t="s">
        <v>528</v>
      </c>
      <c r="C256" s="14">
        <v>45906</v>
      </c>
      <c r="D256" s="13">
        <v>2025</v>
      </c>
      <c r="E256" s="13" t="s">
        <v>10</v>
      </c>
      <c r="F256" s="13" t="s">
        <v>25</v>
      </c>
      <c r="G256" s="15">
        <v>13.73</v>
      </c>
      <c r="H256" s="15">
        <v>13.73</v>
      </c>
      <c r="I256" s="13">
        <v>9</v>
      </c>
      <c r="J256" s="13">
        <v>9</v>
      </c>
      <c r="K256" s="13" t="s">
        <v>35</v>
      </c>
      <c r="L256" s="15">
        <v>1.5255555555555556</v>
      </c>
      <c r="M256" s="16">
        <v>1.5255555555555556</v>
      </c>
    </row>
    <row r="257" spans="1:13" s="5" customFormat="1" x14ac:dyDescent="0.25">
      <c r="A257" s="12" t="s">
        <v>529</v>
      </c>
      <c r="B257" s="13" t="s">
        <v>530</v>
      </c>
      <c r="C257" s="14">
        <v>45417</v>
      </c>
      <c r="D257" s="13">
        <v>2024</v>
      </c>
      <c r="E257" s="13" t="s">
        <v>21</v>
      </c>
      <c r="F257" s="13" t="s">
        <v>22</v>
      </c>
      <c r="G257" s="15">
        <v>1409.88</v>
      </c>
      <c r="H257" s="15">
        <v>1409.88</v>
      </c>
      <c r="I257" s="13">
        <v>3</v>
      </c>
      <c r="J257" s="13">
        <v>3</v>
      </c>
      <c r="K257" s="13" t="s">
        <v>3348</v>
      </c>
      <c r="L257" s="15">
        <v>469.96000000000004</v>
      </c>
      <c r="M257" s="16">
        <v>428.9487738095238</v>
      </c>
    </row>
    <row r="258" spans="1:13" s="5" customFormat="1" x14ac:dyDescent="0.25">
      <c r="A258" s="12" t="s">
        <v>531</v>
      </c>
      <c r="B258" s="13" t="s">
        <v>532</v>
      </c>
      <c r="C258" s="14">
        <v>45729</v>
      </c>
      <c r="D258" s="13">
        <v>2025</v>
      </c>
      <c r="E258" s="13" t="s">
        <v>3347</v>
      </c>
      <c r="F258" s="13" t="s">
        <v>11</v>
      </c>
      <c r="G258" s="15">
        <v>1802.13</v>
      </c>
      <c r="H258" s="15">
        <v>1802.13</v>
      </c>
      <c r="I258" s="13">
        <v>1</v>
      </c>
      <c r="J258" s="13">
        <v>1</v>
      </c>
      <c r="K258" s="13" t="s">
        <v>15</v>
      </c>
      <c r="L258" s="15">
        <v>1802.13</v>
      </c>
      <c r="M258" s="16">
        <v>1802.13</v>
      </c>
    </row>
    <row r="259" spans="1:13" s="5" customFormat="1" x14ac:dyDescent="0.25">
      <c r="A259" s="12" t="s">
        <v>533</v>
      </c>
      <c r="B259" s="13" t="s">
        <v>534</v>
      </c>
      <c r="C259" s="14">
        <v>45902</v>
      </c>
      <c r="D259" s="13">
        <v>2025</v>
      </c>
      <c r="E259" s="13" t="s">
        <v>21</v>
      </c>
      <c r="F259" s="13" t="s">
        <v>34</v>
      </c>
      <c r="G259" s="15">
        <v>1244.5999999999999</v>
      </c>
      <c r="H259" s="15">
        <v>1244.5999999999999</v>
      </c>
      <c r="I259" s="13">
        <v>5</v>
      </c>
      <c r="J259" s="13">
        <v>5</v>
      </c>
      <c r="K259" s="13" t="s">
        <v>35</v>
      </c>
      <c r="L259" s="15">
        <v>248.92</v>
      </c>
      <c r="M259" s="16">
        <v>248.92</v>
      </c>
    </row>
    <row r="260" spans="1:13" s="5" customFormat="1" x14ac:dyDescent="0.25">
      <c r="A260" s="12" t="s">
        <v>535</v>
      </c>
      <c r="B260" s="13" t="s">
        <v>536</v>
      </c>
      <c r="C260" s="14">
        <v>45833</v>
      </c>
      <c r="D260" s="13">
        <v>2025</v>
      </c>
      <c r="E260" s="13" t="s">
        <v>21</v>
      </c>
      <c r="F260" s="13" t="s">
        <v>34</v>
      </c>
      <c r="G260" s="15">
        <v>828.78</v>
      </c>
      <c r="H260" s="15">
        <v>828.78</v>
      </c>
      <c r="I260" s="13">
        <v>10</v>
      </c>
      <c r="J260" s="13">
        <v>10</v>
      </c>
      <c r="K260" s="13" t="s">
        <v>35</v>
      </c>
      <c r="L260" s="15">
        <v>82.878</v>
      </c>
      <c r="M260" s="16">
        <v>82.878</v>
      </c>
    </row>
    <row r="261" spans="1:13" s="5" customFormat="1" x14ac:dyDescent="0.25">
      <c r="A261" s="12" t="s">
        <v>537</v>
      </c>
      <c r="B261" s="13" t="s">
        <v>538</v>
      </c>
      <c r="C261" s="14">
        <v>44918</v>
      </c>
      <c r="D261" s="13">
        <v>2022</v>
      </c>
      <c r="E261" s="13" t="s">
        <v>3347</v>
      </c>
      <c r="F261" s="13" t="s">
        <v>22</v>
      </c>
      <c r="G261" s="15">
        <v>2069.8183333333332</v>
      </c>
      <c r="H261" s="15">
        <v>2069.8183333333332</v>
      </c>
      <c r="I261" s="13">
        <v>7</v>
      </c>
      <c r="J261" s="13">
        <v>7</v>
      </c>
      <c r="K261" s="13" t="s">
        <v>18</v>
      </c>
      <c r="L261" s="15">
        <v>295.68833333333333</v>
      </c>
      <c r="M261" s="16">
        <v>295.68833333333333</v>
      </c>
    </row>
    <row r="262" spans="1:13" s="5" customFormat="1" x14ac:dyDescent="0.25">
      <c r="A262" s="12" t="s">
        <v>539</v>
      </c>
      <c r="B262" s="13" t="s">
        <v>540</v>
      </c>
      <c r="C262" s="14">
        <v>45349</v>
      </c>
      <c r="D262" s="13">
        <v>2024</v>
      </c>
      <c r="E262" s="13" t="s">
        <v>3347</v>
      </c>
      <c r="F262" s="13" t="s">
        <v>34</v>
      </c>
      <c r="G262" s="15">
        <v>982.06</v>
      </c>
      <c r="H262" s="15">
        <v>982.06</v>
      </c>
      <c r="I262" s="13">
        <v>3</v>
      </c>
      <c r="J262" s="13">
        <v>3</v>
      </c>
      <c r="K262" s="13" t="s">
        <v>18</v>
      </c>
      <c r="L262" s="15">
        <v>327.3533333333333</v>
      </c>
      <c r="M262" s="16">
        <v>327.3533333333333</v>
      </c>
    </row>
    <row r="263" spans="1:13" s="5" customFormat="1" x14ac:dyDescent="0.25">
      <c r="A263" s="12" t="s">
        <v>541</v>
      </c>
      <c r="B263" s="13" t="s">
        <v>542</v>
      </c>
      <c r="C263" s="14">
        <v>45264</v>
      </c>
      <c r="D263" s="13">
        <v>2023</v>
      </c>
      <c r="E263" s="13" t="s">
        <v>21</v>
      </c>
      <c r="F263" s="13" t="s">
        <v>22</v>
      </c>
      <c r="G263" s="15">
        <v>681.17</v>
      </c>
      <c r="H263" s="15">
        <v>681.17</v>
      </c>
      <c r="I263" s="13">
        <v>5</v>
      </c>
      <c r="J263" s="13">
        <v>5</v>
      </c>
      <c r="K263" s="13" t="s">
        <v>3348</v>
      </c>
      <c r="L263" s="15">
        <v>136.23399999999998</v>
      </c>
      <c r="M263" s="16">
        <v>136.23399999999998</v>
      </c>
    </row>
    <row r="264" spans="1:13" s="5" customFormat="1" x14ac:dyDescent="0.25">
      <c r="A264" s="12" t="s">
        <v>543</v>
      </c>
      <c r="B264" s="13" t="s">
        <v>544</v>
      </c>
      <c r="C264" s="14">
        <v>45540</v>
      </c>
      <c r="D264" s="13">
        <v>2024</v>
      </c>
      <c r="E264" s="13" t="s">
        <v>3347</v>
      </c>
      <c r="F264" s="13" t="s">
        <v>25</v>
      </c>
      <c r="G264" s="15">
        <v>1892.34</v>
      </c>
      <c r="H264" s="15">
        <v>1892.34</v>
      </c>
      <c r="I264" s="13">
        <v>11</v>
      </c>
      <c r="J264" s="13">
        <v>10</v>
      </c>
      <c r="K264" s="13" t="s">
        <v>3346</v>
      </c>
      <c r="L264" s="15">
        <v>172.03090909090909</v>
      </c>
      <c r="M264" s="16">
        <v>172.99932539682541</v>
      </c>
    </row>
    <row r="265" spans="1:13" s="5" customFormat="1" x14ac:dyDescent="0.25">
      <c r="A265" s="12" t="s">
        <v>545</v>
      </c>
      <c r="B265" s="13" t="s">
        <v>546</v>
      </c>
      <c r="C265" s="14">
        <v>45345</v>
      </c>
      <c r="D265" s="13">
        <v>2024</v>
      </c>
      <c r="E265" s="13" t="s">
        <v>3347</v>
      </c>
      <c r="F265" s="13" t="s">
        <v>34</v>
      </c>
      <c r="G265" s="15">
        <v>1264.17</v>
      </c>
      <c r="H265" s="15">
        <v>1264.17</v>
      </c>
      <c r="I265" s="13">
        <v>2</v>
      </c>
      <c r="J265" s="13">
        <v>2</v>
      </c>
      <c r="K265" s="13" t="s">
        <v>35</v>
      </c>
      <c r="L265" s="15">
        <v>632.08500000000004</v>
      </c>
      <c r="M265" s="16">
        <v>632.08500000000004</v>
      </c>
    </row>
    <row r="266" spans="1:13" s="5" customFormat="1" x14ac:dyDescent="0.25">
      <c r="A266" s="12" t="s">
        <v>547</v>
      </c>
      <c r="B266" s="13" t="s">
        <v>548</v>
      </c>
      <c r="C266" s="14">
        <v>45050</v>
      </c>
      <c r="D266" s="13">
        <v>2023</v>
      </c>
      <c r="E266" s="13" t="s">
        <v>21</v>
      </c>
      <c r="F266" s="13" t="s">
        <v>22</v>
      </c>
      <c r="G266" s="15">
        <v>186.96</v>
      </c>
      <c r="H266" s="15">
        <v>186.96</v>
      </c>
      <c r="I266" s="13">
        <v>1</v>
      </c>
      <c r="J266" s="13">
        <v>1</v>
      </c>
      <c r="K266" s="13" t="s">
        <v>3348</v>
      </c>
      <c r="L266" s="15">
        <v>186.96</v>
      </c>
      <c r="M266" s="16">
        <v>253.30313492063493</v>
      </c>
    </row>
    <row r="267" spans="1:13" s="5" customFormat="1" x14ac:dyDescent="0.25">
      <c r="A267" s="12" t="s">
        <v>549</v>
      </c>
      <c r="B267" s="13" t="s">
        <v>550</v>
      </c>
      <c r="C267" s="14">
        <v>45123</v>
      </c>
      <c r="D267" s="13">
        <v>2023</v>
      </c>
      <c r="E267" s="13" t="s">
        <v>10</v>
      </c>
      <c r="F267" s="13" t="s">
        <v>22</v>
      </c>
      <c r="G267" s="15">
        <v>1742.06</v>
      </c>
      <c r="H267" s="15">
        <v>1742.06</v>
      </c>
      <c r="I267" s="13">
        <v>5</v>
      </c>
      <c r="J267" s="13">
        <v>5</v>
      </c>
      <c r="K267" s="13" t="s">
        <v>18</v>
      </c>
      <c r="L267" s="15">
        <v>348.41199999999998</v>
      </c>
      <c r="M267" s="16">
        <v>348.41199999999998</v>
      </c>
    </row>
    <row r="268" spans="1:13" s="5" customFormat="1" x14ac:dyDescent="0.25">
      <c r="A268" s="12" t="s">
        <v>551</v>
      </c>
      <c r="B268" s="13" t="s">
        <v>552</v>
      </c>
      <c r="C268" s="14">
        <v>44960</v>
      </c>
      <c r="D268" s="13">
        <v>2023</v>
      </c>
      <c r="E268" s="13" t="s">
        <v>3347</v>
      </c>
      <c r="F268" s="13" t="s">
        <v>34</v>
      </c>
      <c r="G268" s="15">
        <v>1095.95</v>
      </c>
      <c r="H268" s="15">
        <v>1095.95</v>
      </c>
      <c r="I268" s="13">
        <v>1</v>
      </c>
      <c r="J268" s="13">
        <v>1</v>
      </c>
      <c r="K268" s="13" t="s">
        <v>3346</v>
      </c>
      <c r="L268" s="15">
        <v>1095.95</v>
      </c>
      <c r="M268" s="16">
        <v>1095.95</v>
      </c>
    </row>
    <row r="269" spans="1:13" s="5" customFormat="1" x14ac:dyDescent="0.25">
      <c r="A269" s="12" t="s">
        <v>553</v>
      </c>
      <c r="B269" s="13" t="s">
        <v>554</v>
      </c>
      <c r="C269" s="14">
        <v>45532</v>
      </c>
      <c r="D269" s="13">
        <v>2024</v>
      </c>
      <c r="E269" s="13" t="s">
        <v>21</v>
      </c>
      <c r="F269" s="13" t="s">
        <v>25</v>
      </c>
      <c r="G269" s="15">
        <v>467.11</v>
      </c>
      <c r="H269" s="15">
        <v>467.11</v>
      </c>
      <c r="I269" s="13">
        <v>1</v>
      </c>
      <c r="J269" s="13">
        <v>1</v>
      </c>
      <c r="K269" s="13" t="s">
        <v>3348</v>
      </c>
      <c r="L269" s="15">
        <v>467.11</v>
      </c>
      <c r="M269" s="16">
        <v>471.44636111111112</v>
      </c>
    </row>
    <row r="270" spans="1:13" s="5" customFormat="1" x14ac:dyDescent="0.25">
      <c r="A270" s="12" t="s">
        <v>555</v>
      </c>
      <c r="B270" s="13" t="s">
        <v>556</v>
      </c>
      <c r="C270" s="14">
        <v>45912</v>
      </c>
      <c r="D270" s="13">
        <v>2025</v>
      </c>
      <c r="E270" s="13" t="s">
        <v>3347</v>
      </c>
      <c r="F270" s="13" t="s">
        <v>11</v>
      </c>
      <c r="G270" s="15">
        <v>424.47</v>
      </c>
      <c r="H270" s="15">
        <v>424.47</v>
      </c>
      <c r="I270" s="13">
        <v>1</v>
      </c>
      <c r="J270" s="13">
        <v>1</v>
      </c>
      <c r="K270" s="13" t="s">
        <v>18</v>
      </c>
      <c r="L270" s="15">
        <v>424.47</v>
      </c>
      <c r="M270" s="16">
        <v>424.47</v>
      </c>
    </row>
    <row r="271" spans="1:13" s="5" customFormat="1" x14ac:dyDescent="0.25">
      <c r="A271" s="12" t="s">
        <v>557</v>
      </c>
      <c r="B271" s="13" t="s">
        <v>558</v>
      </c>
      <c r="C271" s="14">
        <v>44963</v>
      </c>
      <c r="D271" s="13">
        <v>2023</v>
      </c>
      <c r="E271" s="13" t="s">
        <v>14</v>
      </c>
      <c r="F271" s="13" t="s">
        <v>11</v>
      </c>
      <c r="G271" s="15">
        <v>294.01</v>
      </c>
      <c r="H271" s="15">
        <v>294.01</v>
      </c>
      <c r="I271" s="13">
        <v>1</v>
      </c>
      <c r="J271" s="13">
        <v>1</v>
      </c>
      <c r="K271" s="13" t="s">
        <v>3346</v>
      </c>
      <c r="L271" s="15">
        <v>294.01</v>
      </c>
      <c r="M271" s="16">
        <v>294.01</v>
      </c>
    </row>
    <row r="272" spans="1:13" s="5" customFormat="1" x14ac:dyDescent="0.25">
      <c r="A272" s="12" t="s">
        <v>559</v>
      </c>
      <c r="B272" s="13" t="s">
        <v>560</v>
      </c>
      <c r="C272" s="14">
        <v>44893</v>
      </c>
      <c r="D272" s="13">
        <v>2022</v>
      </c>
      <c r="E272" s="13" t="s">
        <v>3347</v>
      </c>
      <c r="F272" s="13" t="s">
        <v>34</v>
      </c>
      <c r="G272" s="15">
        <v>435.47</v>
      </c>
      <c r="H272" s="15">
        <v>435.47</v>
      </c>
      <c r="I272" s="13">
        <v>1</v>
      </c>
      <c r="J272" s="13">
        <v>1</v>
      </c>
      <c r="K272" s="13" t="s">
        <v>35</v>
      </c>
      <c r="L272" s="15">
        <v>435.47</v>
      </c>
      <c r="M272" s="16">
        <v>435.47</v>
      </c>
    </row>
    <row r="273" spans="1:13" s="5" customFormat="1" x14ac:dyDescent="0.25">
      <c r="A273" s="12" t="s">
        <v>561</v>
      </c>
      <c r="B273" s="13" t="s">
        <v>562</v>
      </c>
      <c r="C273" s="14">
        <v>45448</v>
      </c>
      <c r="D273" s="13">
        <v>2024</v>
      </c>
      <c r="E273" s="13" t="s">
        <v>21</v>
      </c>
      <c r="F273" s="13" t="s">
        <v>11</v>
      </c>
      <c r="G273" s="15">
        <v>1948.53</v>
      </c>
      <c r="H273" s="15">
        <v>1948.53</v>
      </c>
      <c r="I273" s="13">
        <v>1</v>
      </c>
      <c r="J273" s="13">
        <v>1</v>
      </c>
      <c r="K273" s="13" t="s">
        <v>35</v>
      </c>
      <c r="L273" s="15">
        <v>1948.53</v>
      </c>
      <c r="M273" s="16">
        <v>1948.53</v>
      </c>
    </row>
    <row r="274" spans="1:13" s="5" customFormat="1" x14ac:dyDescent="0.25">
      <c r="A274" s="12" t="s">
        <v>563</v>
      </c>
      <c r="B274" s="13" t="s">
        <v>564</v>
      </c>
      <c r="C274" s="14">
        <v>45374</v>
      </c>
      <c r="D274" s="13">
        <v>2024</v>
      </c>
      <c r="E274" s="13" t="s">
        <v>14</v>
      </c>
      <c r="F274" s="13" t="s">
        <v>34</v>
      </c>
      <c r="G274" s="15">
        <v>567.76</v>
      </c>
      <c r="H274" s="15">
        <v>567.76</v>
      </c>
      <c r="I274" s="13">
        <v>7</v>
      </c>
      <c r="J274" s="13">
        <v>7</v>
      </c>
      <c r="K274" s="13" t="s">
        <v>15</v>
      </c>
      <c r="L274" s="15">
        <v>81.108571428571423</v>
      </c>
      <c r="M274" s="16">
        <v>81.108571428571423</v>
      </c>
    </row>
    <row r="275" spans="1:13" s="5" customFormat="1" x14ac:dyDescent="0.25">
      <c r="A275" s="12" t="s">
        <v>565</v>
      </c>
      <c r="B275" s="13" t="s">
        <v>566</v>
      </c>
      <c r="C275" s="14">
        <v>45796</v>
      </c>
      <c r="D275" s="13">
        <v>2025</v>
      </c>
      <c r="E275" s="13" t="s">
        <v>21</v>
      </c>
      <c r="F275" s="13" t="s">
        <v>11</v>
      </c>
      <c r="G275" s="15">
        <v>965.6</v>
      </c>
      <c r="H275" s="15">
        <v>965.6</v>
      </c>
      <c r="I275" s="13">
        <v>4</v>
      </c>
      <c r="J275" s="13">
        <v>4</v>
      </c>
      <c r="K275" s="13" t="s">
        <v>35</v>
      </c>
      <c r="L275" s="15">
        <v>241.4</v>
      </c>
      <c r="M275" s="16">
        <v>274.60970833333334</v>
      </c>
    </row>
    <row r="276" spans="1:13" s="5" customFormat="1" x14ac:dyDescent="0.25">
      <c r="A276" s="12" t="s">
        <v>567</v>
      </c>
      <c r="B276" s="13" t="s">
        <v>568</v>
      </c>
      <c r="C276" s="14">
        <v>45819</v>
      </c>
      <c r="D276" s="13">
        <v>2025</v>
      </c>
      <c r="E276" s="13" t="s">
        <v>21</v>
      </c>
      <c r="F276" s="13" t="s">
        <v>25</v>
      </c>
      <c r="G276" s="15">
        <v>1155.5999999999999</v>
      </c>
      <c r="H276" s="15">
        <v>1155.5999999999999</v>
      </c>
      <c r="I276" s="13">
        <v>2</v>
      </c>
      <c r="J276" s="13">
        <v>2</v>
      </c>
      <c r="K276" s="13" t="s">
        <v>18</v>
      </c>
      <c r="L276" s="15">
        <v>577.79999999999995</v>
      </c>
      <c r="M276" s="16">
        <v>602.04750000000001</v>
      </c>
    </row>
    <row r="277" spans="1:13" s="5" customFormat="1" x14ac:dyDescent="0.25">
      <c r="A277" s="12" t="s">
        <v>569</v>
      </c>
      <c r="B277" s="13" t="s">
        <v>570</v>
      </c>
      <c r="C277" s="14">
        <v>45338</v>
      </c>
      <c r="D277" s="13">
        <v>2024</v>
      </c>
      <c r="E277" s="13" t="s">
        <v>10</v>
      </c>
      <c r="F277" s="13" t="s">
        <v>34</v>
      </c>
      <c r="G277" s="15">
        <v>1870.29</v>
      </c>
      <c r="H277" s="15">
        <v>1870.29</v>
      </c>
      <c r="I277" s="13">
        <v>2</v>
      </c>
      <c r="J277" s="13">
        <v>2</v>
      </c>
      <c r="K277" s="13" t="s">
        <v>18</v>
      </c>
      <c r="L277" s="15">
        <v>935.14499999999998</v>
      </c>
      <c r="M277" s="16">
        <v>935.14499999999998</v>
      </c>
    </row>
    <row r="278" spans="1:13" s="5" customFormat="1" x14ac:dyDescent="0.25">
      <c r="A278" s="12" t="s">
        <v>572</v>
      </c>
      <c r="B278" s="13" t="s">
        <v>573</v>
      </c>
      <c r="C278" s="14">
        <v>45770</v>
      </c>
      <c r="D278" s="13">
        <v>2025</v>
      </c>
      <c r="E278" s="13" t="s">
        <v>21</v>
      </c>
      <c r="F278" s="13" t="s">
        <v>22</v>
      </c>
      <c r="G278" s="15">
        <v>1412.84</v>
      </c>
      <c r="H278" s="15">
        <v>1412.84</v>
      </c>
      <c r="I278" s="13">
        <v>6</v>
      </c>
      <c r="J278" s="13">
        <v>6</v>
      </c>
      <c r="K278" s="13" t="s">
        <v>15</v>
      </c>
      <c r="L278" s="15">
        <v>235.47333333333333</v>
      </c>
      <c r="M278" s="16">
        <v>235.47333333333333</v>
      </c>
    </row>
    <row r="279" spans="1:13" s="5" customFormat="1" x14ac:dyDescent="0.25">
      <c r="A279" s="12" t="s">
        <v>574</v>
      </c>
      <c r="B279" s="13" t="s">
        <v>575</v>
      </c>
      <c r="C279" s="14">
        <v>45889</v>
      </c>
      <c r="D279" s="13">
        <v>2025</v>
      </c>
      <c r="E279" s="13" t="s">
        <v>21</v>
      </c>
      <c r="F279" s="13" t="s">
        <v>34</v>
      </c>
      <c r="G279" s="15">
        <v>1129.75</v>
      </c>
      <c r="H279" s="15">
        <v>1129.75</v>
      </c>
      <c r="I279" s="13">
        <v>9</v>
      </c>
      <c r="J279" s="13">
        <v>9</v>
      </c>
      <c r="K279" s="13" t="s">
        <v>3346</v>
      </c>
      <c r="L279" s="15">
        <v>125.52777777777777</v>
      </c>
      <c r="M279" s="16">
        <v>125.52777777777777</v>
      </c>
    </row>
    <row r="280" spans="1:13" s="5" customFormat="1" x14ac:dyDescent="0.25">
      <c r="A280" s="12" t="s">
        <v>576</v>
      </c>
      <c r="B280" s="13" t="s">
        <v>577</v>
      </c>
      <c r="C280" s="14">
        <v>45469</v>
      </c>
      <c r="D280" s="13">
        <v>2024</v>
      </c>
      <c r="E280" s="13" t="s">
        <v>10</v>
      </c>
      <c r="F280" s="13" t="s">
        <v>34</v>
      </c>
      <c r="G280" s="15">
        <v>325.13</v>
      </c>
      <c r="H280" s="15">
        <v>325.13</v>
      </c>
      <c r="I280" s="13">
        <v>2</v>
      </c>
      <c r="J280" s="13">
        <v>2</v>
      </c>
      <c r="K280" s="13" t="s">
        <v>18</v>
      </c>
      <c r="L280" s="15">
        <v>162.565</v>
      </c>
      <c r="M280" s="16">
        <v>162.565</v>
      </c>
    </row>
    <row r="281" spans="1:13" s="5" customFormat="1" x14ac:dyDescent="0.25">
      <c r="A281" s="12" t="s">
        <v>578</v>
      </c>
      <c r="B281" s="13" t="s">
        <v>579</v>
      </c>
      <c r="C281" s="14">
        <v>45388</v>
      </c>
      <c r="D281" s="13">
        <v>2024</v>
      </c>
      <c r="E281" s="13" t="s">
        <v>14</v>
      </c>
      <c r="F281" s="13" t="s">
        <v>34</v>
      </c>
      <c r="G281" s="15">
        <v>1610.55</v>
      </c>
      <c r="H281" s="15">
        <v>1610.55</v>
      </c>
      <c r="I281" s="13">
        <v>1</v>
      </c>
      <c r="J281" s="13">
        <v>1</v>
      </c>
      <c r="K281" s="13" t="s">
        <v>3348</v>
      </c>
      <c r="L281" s="15">
        <v>1610.55</v>
      </c>
      <c r="M281" s="16">
        <v>1610.55</v>
      </c>
    </row>
    <row r="282" spans="1:13" s="5" customFormat="1" x14ac:dyDescent="0.25">
      <c r="A282" s="12" t="s">
        <v>580</v>
      </c>
      <c r="B282" s="13" t="s">
        <v>581</v>
      </c>
      <c r="C282" s="14">
        <v>45244</v>
      </c>
      <c r="D282" s="13">
        <v>2023</v>
      </c>
      <c r="E282" s="13" t="s">
        <v>14</v>
      </c>
      <c r="F282" s="13" t="s">
        <v>22</v>
      </c>
      <c r="G282" s="15">
        <v>1010.07</v>
      </c>
      <c r="H282" s="15">
        <v>1010.07</v>
      </c>
      <c r="I282" s="13">
        <v>5</v>
      </c>
      <c r="J282" s="13">
        <v>5</v>
      </c>
      <c r="K282" s="13" t="s">
        <v>3346</v>
      </c>
      <c r="L282" s="15">
        <v>202.01400000000001</v>
      </c>
      <c r="M282" s="16">
        <v>202.01400000000001</v>
      </c>
    </row>
    <row r="283" spans="1:13" s="5" customFormat="1" x14ac:dyDescent="0.25">
      <c r="A283" s="12" t="s">
        <v>582</v>
      </c>
      <c r="B283" s="13" t="s">
        <v>354</v>
      </c>
      <c r="C283" s="14">
        <v>45322</v>
      </c>
      <c r="D283" s="13">
        <v>2024</v>
      </c>
      <c r="E283" s="13" t="s">
        <v>21</v>
      </c>
      <c r="F283" s="13" t="s">
        <v>22</v>
      </c>
      <c r="G283" s="15">
        <v>198.68</v>
      </c>
      <c r="H283" s="15">
        <v>198.68</v>
      </c>
      <c r="I283" s="13">
        <v>8</v>
      </c>
      <c r="J283" s="13">
        <v>8</v>
      </c>
      <c r="K283" s="13" t="s">
        <v>15</v>
      </c>
      <c r="L283" s="15">
        <v>24.835000000000001</v>
      </c>
      <c r="M283" s="16">
        <v>24.835000000000001</v>
      </c>
    </row>
    <row r="284" spans="1:13" s="5" customFormat="1" x14ac:dyDescent="0.25">
      <c r="A284" s="12" t="s">
        <v>583</v>
      </c>
      <c r="B284" s="13" t="s">
        <v>584</v>
      </c>
      <c r="C284" s="14">
        <v>45135</v>
      </c>
      <c r="D284" s="13">
        <v>2023</v>
      </c>
      <c r="E284" s="13" t="s">
        <v>3347</v>
      </c>
      <c r="F284" s="13" t="s">
        <v>34</v>
      </c>
      <c r="G284" s="15">
        <v>210.91</v>
      </c>
      <c r="H284" s="15">
        <v>210.91</v>
      </c>
      <c r="I284" s="13">
        <v>3</v>
      </c>
      <c r="J284" s="13">
        <v>3</v>
      </c>
      <c r="K284" s="13" t="s">
        <v>3346</v>
      </c>
      <c r="L284" s="15">
        <v>70.303333333333327</v>
      </c>
      <c r="M284" s="16">
        <v>70.303333333333327</v>
      </c>
    </row>
    <row r="285" spans="1:13" s="5" customFormat="1" x14ac:dyDescent="0.25">
      <c r="A285" s="12" t="s">
        <v>585</v>
      </c>
      <c r="B285" s="13" t="s">
        <v>586</v>
      </c>
      <c r="C285" s="14">
        <v>45775</v>
      </c>
      <c r="D285" s="13">
        <v>2025</v>
      </c>
      <c r="E285" s="13" t="s">
        <v>3347</v>
      </c>
      <c r="F285" s="13" t="s">
        <v>25</v>
      </c>
      <c r="G285" s="15">
        <v>768.35</v>
      </c>
      <c r="H285" s="15">
        <v>768.35</v>
      </c>
      <c r="I285" s="13">
        <v>3</v>
      </c>
      <c r="J285" s="13">
        <v>3</v>
      </c>
      <c r="K285" s="13" t="s">
        <v>35</v>
      </c>
      <c r="L285" s="15">
        <v>256.11666666666667</v>
      </c>
      <c r="M285" s="16">
        <v>256.11666666666667</v>
      </c>
    </row>
    <row r="286" spans="1:13" s="5" customFormat="1" x14ac:dyDescent="0.25">
      <c r="A286" s="12" t="s">
        <v>587</v>
      </c>
      <c r="B286" s="13" t="s">
        <v>588</v>
      </c>
      <c r="C286" s="14">
        <v>44998</v>
      </c>
      <c r="D286" s="13">
        <v>2023</v>
      </c>
      <c r="E286" s="13" t="s">
        <v>14</v>
      </c>
      <c r="F286" s="13" t="s">
        <v>22</v>
      </c>
      <c r="G286" s="15">
        <v>443.77</v>
      </c>
      <c r="H286" s="15">
        <v>443.77</v>
      </c>
      <c r="I286" s="13">
        <v>9</v>
      </c>
      <c r="J286" s="13">
        <v>9</v>
      </c>
      <c r="K286" s="13" t="s">
        <v>3346</v>
      </c>
      <c r="L286" s="15">
        <v>49.307777777777773</v>
      </c>
      <c r="M286" s="16">
        <v>49.307777777777773</v>
      </c>
    </row>
    <row r="287" spans="1:13" s="5" customFormat="1" x14ac:dyDescent="0.25">
      <c r="A287" s="12" t="s">
        <v>589</v>
      </c>
      <c r="B287" s="13" t="s">
        <v>590</v>
      </c>
      <c r="C287" s="14">
        <v>45387</v>
      </c>
      <c r="D287" s="13">
        <v>2024</v>
      </c>
      <c r="E287" s="13" t="s">
        <v>14</v>
      </c>
      <c r="F287" s="13" t="s">
        <v>25</v>
      </c>
      <c r="G287" s="15">
        <v>418.03</v>
      </c>
      <c r="H287" s="15">
        <v>418.03</v>
      </c>
      <c r="I287" s="13">
        <v>5</v>
      </c>
      <c r="J287" s="13">
        <v>5</v>
      </c>
      <c r="K287" s="13" t="s">
        <v>3348</v>
      </c>
      <c r="L287" s="15">
        <v>83.605999999999995</v>
      </c>
      <c r="M287" s="16">
        <v>83.605999999999995</v>
      </c>
    </row>
    <row r="288" spans="1:13" s="5" customFormat="1" x14ac:dyDescent="0.25">
      <c r="A288" s="12" t="s">
        <v>591</v>
      </c>
      <c r="B288" s="13" t="s">
        <v>592</v>
      </c>
      <c r="C288" s="14">
        <v>45878</v>
      </c>
      <c r="D288" s="13">
        <v>2025</v>
      </c>
      <c r="E288" s="13" t="s">
        <v>14</v>
      </c>
      <c r="F288" s="13" t="s">
        <v>22</v>
      </c>
      <c r="G288" s="15">
        <v>704.33</v>
      </c>
      <c r="H288" s="15">
        <v>704.33</v>
      </c>
      <c r="I288" s="13">
        <v>6</v>
      </c>
      <c r="J288" s="13">
        <v>6</v>
      </c>
      <c r="K288" s="13" t="s">
        <v>15</v>
      </c>
      <c r="L288" s="15">
        <v>117.38833333333334</v>
      </c>
      <c r="M288" s="16">
        <v>117.38833333333334</v>
      </c>
    </row>
    <row r="289" spans="1:13" s="5" customFormat="1" x14ac:dyDescent="0.25">
      <c r="A289" s="12" t="s">
        <v>593</v>
      </c>
      <c r="B289" s="13" t="s">
        <v>594</v>
      </c>
      <c r="C289" s="14">
        <v>45459</v>
      </c>
      <c r="D289" s="13">
        <v>2024</v>
      </c>
      <c r="E289" s="13" t="s">
        <v>3347</v>
      </c>
      <c r="F289" s="13" t="s">
        <v>25</v>
      </c>
      <c r="G289" s="15">
        <v>110.59</v>
      </c>
      <c r="H289" s="15">
        <v>110.59</v>
      </c>
      <c r="I289" s="13">
        <v>3</v>
      </c>
      <c r="J289" s="13">
        <v>3</v>
      </c>
      <c r="K289" s="13" t="s">
        <v>15</v>
      </c>
      <c r="L289" s="15">
        <v>36.863333333333337</v>
      </c>
      <c r="M289" s="16">
        <v>36.863333333333337</v>
      </c>
    </row>
    <row r="290" spans="1:13" s="5" customFormat="1" x14ac:dyDescent="0.25">
      <c r="A290" s="12" t="s">
        <v>595</v>
      </c>
      <c r="B290" s="13" t="s">
        <v>596</v>
      </c>
      <c r="C290" s="14">
        <v>45520</v>
      </c>
      <c r="D290" s="13">
        <v>2024</v>
      </c>
      <c r="E290" s="13" t="s">
        <v>21</v>
      </c>
      <c r="F290" s="13" t="s">
        <v>25</v>
      </c>
      <c r="G290" s="15">
        <v>1079.18</v>
      </c>
      <c r="H290" s="15">
        <v>1079.18</v>
      </c>
      <c r="I290" s="13">
        <v>7</v>
      </c>
      <c r="J290" s="13">
        <v>7</v>
      </c>
      <c r="K290" s="13" t="s">
        <v>15</v>
      </c>
      <c r="L290" s="15">
        <v>154.16857142857143</v>
      </c>
      <c r="M290" s="16">
        <v>154.16857142857143</v>
      </c>
    </row>
    <row r="291" spans="1:13" s="5" customFormat="1" x14ac:dyDescent="0.25">
      <c r="A291" s="12" t="s">
        <v>597</v>
      </c>
      <c r="B291" s="13" t="s">
        <v>598</v>
      </c>
      <c r="C291" s="14">
        <v>45521</v>
      </c>
      <c r="D291" s="13">
        <v>2024</v>
      </c>
      <c r="E291" s="13" t="s">
        <v>3347</v>
      </c>
      <c r="F291" s="13" t="s">
        <v>34</v>
      </c>
      <c r="G291" s="15">
        <v>1397.34</v>
      </c>
      <c r="H291" s="15">
        <v>1397.34</v>
      </c>
      <c r="I291" s="13">
        <v>1</v>
      </c>
      <c r="J291" s="13">
        <v>1</v>
      </c>
      <c r="K291" s="13" t="s">
        <v>3346</v>
      </c>
      <c r="L291" s="15">
        <v>1397.34</v>
      </c>
      <c r="M291" s="16">
        <v>1397.34</v>
      </c>
    </row>
    <row r="292" spans="1:13" s="5" customFormat="1" x14ac:dyDescent="0.25">
      <c r="A292" s="12" t="s">
        <v>599</v>
      </c>
      <c r="B292" s="13" t="s">
        <v>600</v>
      </c>
      <c r="C292" s="14">
        <v>45802</v>
      </c>
      <c r="D292" s="13">
        <v>2025</v>
      </c>
      <c r="E292" s="13" t="s">
        <v>21</v>
      </c>
      <c r="F292" s="13" t="s">
        <v>34</v>
      </c>
      <c r="G292" s="15">
        <v>1473.2333035714287</v>
      </c>
      <c r="H292" s="15">
        <v>1473.2333035714287</v>
      </c>
      <c r="I292" s="13">
        <v>9</v>
      </c>
      <c r="J292" s="13">
        <v>9</v>
      </c>
      <c r="K292" s="13" t="s">
        <v>18</v>
      </c>
      <c r="L292" s="15">
        <v>163.69258928571429</v>
      </c>
      <c r="M292" s="16">
        <v>163.69258928571429</v>
      </c>
    </row>
    <row r="293" spans="1:13" s="5" customFormat="1" x14ac:dyDescent="0.25">
      <c r="A293" s="12" t="s">
        <v>601</v>
      </c>
      <c r="B293" s="13" t="s">
        <v>602</v>
      </c>
      <c r="C293" s="14">
        <v>45286</v>
      </c>
      <c r="D293" s="13">
        <v>2023</v>
      </c>
      <c r="E293" s="13" t="s">
        <v>21</v>
      </c>
      <c r="F293" s="13" t="s">
        <v>34</v>
      </c>
      <c r="G293" s="15">
        <v>1484.83</v>
      </c>
      <c r="H293" s="15">
        <v>1484.83</v>
      </c>
      <c r="I293" s="13">
        <v>10</v>
      </c>
      <c r="J293" s="13">
        <v>10</v>
      </c>
      <c r="K293" s="13" t="s">
        <v>15</v>
      </c>
      <c r="L293" s="15">
        <v>148.483</v>
      </c>
      <c r="M293" s="16">
        <v>148.483</v>
      </c>
    </row>
    <row r="294" spans="1:13" s="5" customFormat="1" x14ac:dyDescent="0.25">
      <c r="A294" s="12" t="s">
        <v>603</v>
      </c>
      <c r="B294" s="13" t="s">
        <v>604</v>
      </c>
      <c r="C294" s="14">
        <v>45587</v>
      </c>
      <c r="D294" s="13">
        <v>2024</v>
      </c>
      <c r="E294" s="13" t="s">
        <v>14</v>
      </c>
      <c r="F294" s="13" t="s">
        <v>22</v>
      </c>
      <c r="G294" s="15">
        <v>1244.8800000000001</v>
      </c>
      <c r="H294" s="15">
        <v>1244.8800000000001</v>
      </c>
      <c r="I294" s="13">
        <v>7</v>
      </c>
      <c r="J294" s="13">
        <v>7</v>
      </c>
      <c r="K294" s="13" t="s">
        <v>18</v>
      </c>
      <c r="L294" s="15">
        <v>177.84</v>
      </c>
      <c r="M294" s="16">
        <v>177.84</v>
      </c>
    </row>
    <row r="295" spans="1:13" s="5" customFormat="1" x14ac:dyDescent="0.25">
      <c r="A295" s="12" t="s">
        <v>605</v>
      </c>
      <c r="B295" s="13" t="s">
        <v>606</v>
      </c>
      <c r="C295" s="14">
        <v>45707</v>
      </c>
      <c r="D295" s="13">
        <v>2025</v>
      </c>
      <c r="E295" s="13" t="s">
        <v>10</v>
      </c>
      <c r="F295" s="13" t="s">
        <v>34</v>
      </c>
      <c r="G295" s="15">
        <v>240.39999999999998</v>
      </c>
      <c r="H295" s="15">
        <v>240.39999999999998</v>
      </c>
      <c r="I295" s="13">
        <v>8</v>
      </c>
      <c r="J295" s="13">
        <v>8</v>
      </c>
      <c r="K295" s="13" t="s">
        <v>15</v>
      </c>
      <c r="L295" s="15">
        <v>30.049999999999997</v>
      </c>
      <c r="M295" s="16">
        <v>30.049999999999997</v>
      </c>
    </row>
    <row r="296" spans="1:13" s="5" customFormat="1" x14ac:dyDescent="0.25">
      <c r="A296" s="12" t="s">
        <v>607</v>
      </c>
      <c r="B296" s="13" t="s">
        <v>608</v>
      </c>
      <c r="C296" s="14">
        <v>45515</v>
      </c>
      <c r="D296" s="13">
        <v>2024</v>
      </c>
      <c r="E296" s="13" t="s">
        <v>14</v>
      </c>
      <c r="F296" s="13" t="s">
        <v>22</v>
      </c>
      <c r="G296" s="15">
        <v>869.89</v>
      </c>
      <c r="H296" s="15">
        <v>869.89</v>
      </c>
      <c r="I296" s="13">
        <v>5</v>
      </c>
      <c r="J296" s="13">
        <v>5</v>
      </c>
      <c r="K296" s="13" t="s">
        <v>35</v>
      </c>
      <c r="L296" s="15">
        <v>173.97800000000001</v>
      </c>
      <c r="M296" s="16">
        <v>173.97800000000001</v>
      </c>
    </row>
    <row r="297" spans="1:13" s="5" customFormat="1" x14ac:dyDescent="0.25">
      <c r="A297" s="12" t="s">
        <v>609</v>
      </c>
      <c r="B297" s="13" t="s">
        <v>610</v>
      </c>
      <c r="C297" s="14">
        <v>45455</v>
      </c>
      <c r="D297" s="13">
        <v>2024</v>
      </c>
      <c r="E297" s="13" t="s">
        <v>3347</v>
      </c>
      <c r="F297" s="13" t="s">
        <v>11</v>
      </c>
      <c r="G297" s="15">
        <v>3970.3851190476194</v>
      </c>
      <c r="H297" s="15">
        <v>3548.2821388888883</v>
      </c>
      <c r="I297" s="13">
        <v>6</v>
      </c>
      <c r="J297" s="13">
        <v>6</v>
      </c>
      <c r="K297" s="13" t="s">
        <v>3348</v>
      </c>
      <c r="L297" s="15">
        <v>661.73085317460323</v>
      </c>
      <c r="M297" s="16">
        <v>661.73085317460323</v>
      </c>
    </row>
    <row r="298" spans="1:13" s="5" customFormat="1" x14ac:dyDescent="0.25">
      <c r="A298" s="12" t="s">
        <v>611</v>
      </c>
      <c r="B298" s="13" t="s">
        <v>612</v>
      </c>
      <c r="C298" s="14">
        <v>45348</v>
      </c>
      <c r="D298" s="13">
        <v>2024</v>
      </c>
      <c r="E298" s="13" t="s">
        <v>3347</v>
      </c>
      <c r="F298" s="13" t="s">
        <v>22</v>
      </c>
      <c r="G298" s="15">
        <v>922.45</v>
      </c>
      <c r="H298" s="15">
        <v>922.45</v>
      </c>
      <c r="I298" s="13">
        <v>6</v>
      </c>
      <c r="J298" s="13">
        <v>6</v>
      </c>
      <c r="K298" s="13" t="s">
        <v>15</v>
      </c>
      <c r="L298" s="15">
        <v>153.74166666666667</v>
      </c>
      <c r="M298" s="16">
        <v>153.74166666666667</v>
      </c>
    </row>
    <row r="299" spans="1:13" s="5" customFormat="1" x14ac:dyDescent="0.25">
      <c r="A299" s="12" t="s">
        <v>613</v>
      </c>
      <c r="B299" s="13" t="s">
        <v>614</v>
      </c>
      <c r="C299" s="14">
        <v>45661</v>
      </c>
      <c r="D299" s="13">
        <v>2025</v>
      </c>
      <c r="E299" s="13" t="s">
        <v>14</v>
      </c>
      <c r="F299" s="13" t="s">
        <v>22</v>
      </c>
      <c r="G299" s="15">
        <v>1900.41</v>
      </c>
      <c r="H299" s="15">
        <v>1900.41</v>
      </c>
      <c r="I299" s="13">
        <v>10</v>
      </c>
      <c r="J299" s="13">
        <v>10</v>
      </c>
      <c r="K299" s="13" t="s">
        <v>3348</v>
      </c>
      <c r="L299" s="15">
        <v>190.041</v>
      </c>
      <c r="M299" s="16">
        <v>190.041</v>
      </c>
    </row>
    <row r="300" spans="1:13" s="5" customFormat="1" x14ac:dyDescent="0.25">
      <c r="A300" s="12" t="s">
        <v>615</v>
      </c>
      <c r="B300" s="13" t="s">
        <v>616</v>
      </c>
      <c r="C300" s="14">
        <v>44872</v>
      </c>
      <c r="D300" s="13">
        <v>2022</v>
      </c>
      <c r="E300" s="13" t="s">
        <v>21</v>
      </c>
      <c r="F300" s="13" t="s">
        <v>34</v>
      </c>
      <c r="G300" s="15">
        <v>1896.8</v>
      </c>
      <c r="H300" s="15">
        <v>1896.8</v>
      </c>
      <c r="I300" s="13">
        <v>1</v>
      </c>
      <c r="J300" s="13">
        <v>1</v>
      </c>
      <c r="K300" s="13" t="s">
        <v>15</v>
      </c>
      <c r="L300" s="15">
        <v>1896.8</v>
      </c>
      <c r="M300" s="16">
        <v>1896.8</v>
      </c>
    </row>
    <row r="301" spans="1:13" s="5" customFormat="1" x14ac:dyDescent="0.25">
      <c r="A301" s="12" t="s">
        <v>617</v>
      </c>
      <c r="B301" s="13" t="s">
        <v>618</v>
      </c>
      <c r="C301" s="14">
        <v>44897</v>
      </c>
      <c r="D301" s="13">
        <v>2022</v>
      </c>
      <c r="E301" s="13" t="s">
        <v>21</v>
      </c>
      <c r="F301" s="13" t="s">
        <v>11</v>
      </c>
      <c r="G301" s="15">
        <v>606.23</v>
      </c>
      <c r="H301" s="15">
        <v>606.23</v>
      </c>
      <c r="I301" s="13">
        <v>7</v>
      </c>
      <c r="J301" s="13">
        <v>7</v>
      </c>
      <c r="K301" s="13" t="s">
        <v>3346</v>
      </c>
      <c r="L301" s="15">
        <v>86.604285714285723</v>
      </c>
      <c r="M301" s="16">
        <v>86.604285714285723</v>
      </c>
    </row>
    <row r="302" spans="1:13" s="5" customFormat="1" x14ac:dyDescent="0.25">
      <c r="A302" s="12" t="s">
        <v>619</v>
      </c>
      <c r="B302" s="13" t="s">
        <v>620</v>
      </c>
      <c r="C302" s="14">
        <v>45361</v>
      </c>
      <c r="D302" s="13">
        <v>2024</v>
      </c>
      <c r="E302" s="13" t="s">
        <v>21</v>
      </c>
      <c r="F302" s="13" t="s">
        <v>25</v>
      </c>
      <c r="G302" s="15">
        <v>586.12</v>
      </c>
      <c r="H302" s="15">
        <v>586.12</v>
      </c>
      <c r="I302" s="13">
        <v>9</v>
      </c>
      <c r="J302" s="13">
        <v>9</v>
      </c>
      <c r="K302" s="13" t="s">
        <v>15</v>
      </c>
      <c r="L302" s="15">
        <v>65.12444444444445</v>
      </c>
      <c r="M302" s="16">
        <v>65.12444444444445</v>
      </c>
    </row>
    <row r="303" spans="1:13" s="5" customFormat="1" x14ac:dyDescent="0.25">
      <c r="A303" s="12" t="s">
        <v>621</v>
      </c>
      <c r="B303" s="13" t="s">
        <v>622</v>
      </c>
      <c r="C303" s="14">
        <v>45251</v>
      </c>
      <c r="D303" s="13">
        <v>2023</v>
      </c>
      <c r="E303" s="13" t="s">
        <v>10</v>
      </c>
      <c r="F303" s="13" t="s">
        <v>22</v>
      </c>
      <c r="G303" s="15">
        <v>1250.47</v>
      </c>
      <c r="H303" s="15">
        <v>1250.47</v>
      </c>
      <c r="I303" s="13">
        <v>2</v>
      </c>
      <c r="J303" s="13">
        <v>2</v>
      </c>
      <c r="K303" s="13" t="s">
        <v>3348</v>
      </c>
      <c r="L303" s="15">
        <v>625.23500000000001</v>
      </c>
      <c r="M303" s="16">
        <v>625.23500000000001</v>
      </c>
    </row>
    <row r="304" spans="1:13" s="5" customFormat="1" x14ac:dyDescent="0.25">
      <c r="A304" s="12" t="s">
        <v>623</v>
      </c>
      <c r="B304" s="13" t="s">
        <v>624</v>
      </c>
      <c r="C304" s="14">
        <v>45177</v>
      </c>
      <c r="D304" s="13">
        <v>2023</v>
      </c>
      <c r="E304" s="13" t="s">
        <v>21</v>
      </c>
      <c r="F304" s="13" t="s">
        <v>22</v>
      </c>
      <c r="G304" s="15">
        <v>392.99</v>
      </c>
      <c r="H304" s="15">
        <v>392.99</v>
      </c>
      <c r="I304" s="13">
        <v>1</v>
      </c>
      <c r="J304" s="13">
        <v>1</v>
      </c>
      <c r="K304" s="13" t="s">
        <v>3346</v>
      </c>
      <c r="L304" s="15">
        <v>392.99</v>
      </c>
      <c r="M304" s="16">
        <v>392.99</v>
      </c>
    </row>
    <row r="305" spans="1:13" s="5" customFormat="1" x14ac:dyDescent="0.25">
      <c r="A305" s="12" t="s">
        <v>625</v>
      </c>
      <c r="B305" s="13" t="s">
        <v>626</v>
      </c>
      <c r="C305" s="14">
        <v>45188</v>
      </c>
      <c r="D305" s="13">
        <v>2023</v>
      </c>
      <c r="E305" s="13" t="s">
        <v>21</v>
      </c>
      <c r="F305" s="13" t="s">
        <v>34</v>
      </c>
      <c r="G305" s="15">
        <v>1249.8</v>
      </c>
      <c r="H305" s="15">
        <v>1249.8</v>
      </c>
      <c r="I305" s="13">
        <v>10</v>
      </c>
      <c r="J305" s="13">
        <v>10</v>
      </c>
      <c r="K305" s="13" t="s">
        <v>15</v>
      </c>
      <c r="L305" s="15">
        <v>124.97999999999999</v>
      </c>
      <c r="M305" s="16">
        <v>124.97999999999999</v>
      </c>
    </row>
    <row r="306" spans="1:13" s="5" customFormat="1" x14ac:dyDescent="0.25">
      <c r="A306" s="12" t="s">
        <v>627</v>
      </c>
      <c r="B306" s="13" t="s">
        <v>628</v>
      </c>
      <c r="C306" s="14">
        <v>44876</v>
      </c>
      <c r="D306" s="13">
        <v>2022</v>
      </c>
      <c r="E306" s="13" t="s">
        <v>21</v>
      </c>
      <c r="F306" s="13" t="s">
        <v>22</v>
      </c>
      <c r="G306" s="15">
        <v>1713.43</v>
      </c>
      <c r="H306" s="15">
        <v>1713.43</v>
      </c>
      <c r="I306" s="13">
        <v>6</v>
      </c>
      <c r="J306" s="13">
        <v>6</v>
      </c>
      <c r="K306" s="13" t="s">
        <v>18</v>
      </c>
      <c r="L306" s="15">
        <v>285.57166666666666</v>
      </c>
      <c r="M306" s="16">
        <v>285.57166666666666</v>
      </c>
    </row>
    <row r="307" spans="1:13" s="5" customFormat="1" x14ac:dyDescent="0.25">
      <c r="A307" s="12" t="s">
        <v>629</v>
      </c>
      <c r="B307" s="13" t="s">
        <v>630</v>
      </c>
      <c r="C307" s="14">
        <v>45385</v>
      </c>
      <c r="D307" s="13">
        <v>2024</v>
      </c>
      <c r="E307" s="13" t="s">
        <v>3347</v>
      </c>
      <c r="F307" s="13" t="s">
        <v>34</v>
      </c>
      <c r="G307" s="15">
        <v>1327.29</v>
      </c>
      <c r="H307" s="15">
        <v>1327.29</v>
      </c>
      <c r="I307" s="13">
        <v>3</v>
      </c>
      <c r="J307" s="13">
        <v>3</v>
      </c>
      <c r="K307" s="13" t="s">
        <v>15</v>
      </c>
      <c r="L307" s="15">
        <v>442.43</v>
      </c>
      <c r="M307" s="16">
        <v>442.43</v>
      </c>
    </row>
    <row r="308" spans="1:13" s="5" customFormat="1" x14ac:dyDescent="0.25">
      <c r="A308" s="12" t="s">
        <v>631</v>
      </c>
      <c r="B308" s="13" t="s">
        <v>632</v>
      </c>
      <c r="C308" s="14">
        <v>44891</v>
      </c>
      <c r="D308" s="13">
        <v>2022</v>
      </c>
      <c r="E308" s="13" t="s">
        <v>3347</v>
      </c>
      <c r="F308" s="13" t="s">
        <v>22</v>
      </c>
      <c r="G308" s="15">
        <v>1774.13</v>
      </c>
      <c r="H308" s="15">
        <v>1774.13</v>
      </c>
      <c r="I308" s="13">
        <v>6</v>
      </c>
      <c r="J308" s="13">
        <v>6</v>
      </c>
      <c r="K308" s="13" t="s">
        <v>18</v>
      </c>
      <c r="L308" s="15">
        <v>295.68833333333333</v>
      </c>
      <c r="M308" s="16">
        <v>295.68833333333333</v>
      </c>
    </row>
    <row r="309" spans="1:13" s="5" customFormat="1" x14ac:dyDescent="0.25">
      <c r="A309" s="12" t="s">
        <v>633</v>
      </c>
      <c r="B309" s="13" t="s">
        <v>634</v>
      </c>
      <c r="C309" s="14">
        <v>45939</v>
      </c>
      <c r="D309" s="13">
        <v>2025</v>
      </c>
      <c r="E309" s="13" t="s">
        <v>21</v>
      </c>
      <c r="F309" s="13" t="s">
        <v>34</v>
      </c>
      <c r="G309" s="15">
        <v>154.58000000000001</v>
      </c>
      <c r="H309" s="15">
        <v>154.58000000000001</v>
      </c>
      <c r="I309" s="13">
        <v>7</v>
      </c>
      <c r="J309" s="13">
        <v>7</v>
      </c>
      <c r="K309" s="13" t="s">
        <v>18</v>
      </c>
      <c r="L309" s="15">
        <v>22.082857142857144</v>
      </c>
      <c r="M309" s="16">
        <v>22.082857142857144</v>
      </c>
    </row>
    <row r="310" spans="1:13" s="5" customFormat="1" x14ac:dyDescent="0.25">
      <c r="A310" s="12" t="s">
        <v>635</v>
      </c>
      <c r="B310" s="13" t="s">
        <v>636</v>
      </c>
      <c r="C310" s="14">
        <v>45462</v>
      </c>
      <c r="D310" s="13">
        <v>2024</v>
      </c>
      <c r="E310" s="13" t="s">
        <v>3347</v>
      </c>
      <c r="F310" s="13" t="s">
        <v>34</v>
      </c>
      <c r="G310" s="15">
        <v>2419.4962916666664</v>
      </c>
      <c r="H310" s="15">
        <v>2419.4962916666664</v>
      </c>
      <c r="I310" s="13">
        <v>7</v>
      </c>
      <c r="J310" s="13">
        <v>7</v>
      </c>
      <c r="K310" s="13" t="s">
        <v>3346</v>
      </c>
      <c r="L310" s="15">
        <v>345.64232738095234</v>
      </c>
      <c r="M310" s="16">
        <v>345.64232738095234</v>
      </c>
    </row>
    <row r="311" spans="1:13" s="5" customFormat="1" x14ac:dyDescent="0.25">
      <c r="A311" s="12" t="s">
        <v>637</v>
      </c>
      <c r="B311" s="13" t="s">
        <v>638</v>
      </c>
      <c r="C311" s="14">
        <v>45832</v>
      </c>
      <c r="D311" s="13">
        <v>2025</v>
      </c>
      <c r="E311" s="13" t="s">
        <v>21</v>
      </c>
      <c r="F311" s="13" t="s">
        <v>11</v>
      </c>
      <c r="G311" s="15">
        <v>1601.22</v>
      </c>
      <c r="H311" s="15">
        <v>1601.22</v>
      </c>
      <c r="I311" s="13">
        <v>3</v>
      </c>
      <c r="J311" s="13">
        <v>3</v>
      </c>
      <c r="K311" s="13" t="s">
        <v>15</v>
      </c>
      <c r="L311" s="15">
        <v>533.74</v>
      </c>
      <c r="M311" s="16">
        <v>533.74</v>
      </c>
    </row>
    <row r="312" spans="1:13" s="5" customFormat="1" x14ac:dyDescent="0.25">
      <c r="A312" s="12" t="s">
        <v>639</v>
      </c>
      <c r="B312" s="13" t="s">
        <v>640</v>
      </c>
      <c r="C312" s="14">
        <v>44867</v>
      </c>
      <c r="D312" s="13">
        <v>2022</v>
      </c>
      <c r="E312" s="13" t="s">
        <v>21</v>
      </c>
      <c r="F312" s="13" t="s">
        <v>22</v>
      </c>
      <c r="G312" s="15">
        <v>603.91999999999996</v>
      </c>
      <c r="H312" s="15">
        <v>603.91999999999996</v>
      </c>
      <c r="I312" s="13">
        <v>9</v>
      </c>
      <c r="J312" s="13">
        <v>9</v>
      </c>
      <c r="K312" s="13" t="s">
        <v>35</v>
      </c>
      <c r="L312" s="15">
        <v>67.102222222222224</v>
      </c>
      <c r="M312" s="16">
        <v>67.102222222222224</v>
      </c>
    </row>
    <row r="313" spans="1:13" s="5" customFormat="1" x14ac:dyDescent="0.25">
      <c r="A313" s="12" t="s">
        <v>641</v>
      </c>
      <c r="B313" s="13" t="s">
        <v>642</v>
      </c>
      <c r="C313" s="14">
        <v>45501</v>
      </c>
      <c r="D313" s="13">
        <v>2024</v>
      </c>
      <c r="E313" s="13" t="s">
        <v>3347</v>
      </c>
      <c r="F313" s="13" t="s">
        <v>25</v>
      </c>
      <c r="G313" s="15">
        <v>1119.8</v>
      </c>
      <c r="H313" s="15">
        <v>1119.8</v>
      </c>
      <c r="I313" s="13">
        <v>6</v>
      </c>
      <c r="J313" s="13">
        <v>6</v>
      </c>
      <c r="K313" s="13" t="s">
        <v>3346</v>
      </c>
      <c r="L313" s="15">
        <v>186.63333333333333</v>
      </c>
      <c r="M313" s="16">
        <v>172.99932539682541</v>
      </c>
    </row>
    <row r="314" spans="1:13" s="5" customFormat="1" x14ac:dyDescent="0.25">
      <c r="A314" s="12" t="s">
        <v>643</v>
      </c>
      <c r="B314" s="13" t="s">
        <v>644</v>
      </c>
      <c r="C314" s="14">
        <v>45137</v>
      </c>
      <c r="D314" s="13">
        <v>2023</v>
      </c>
      <c r="E314" s="13" t="s">
        <v>10</v>
      </c>
      <c r="F314" s="13" t="s">
        <v>22</v>
      </c>
      <c r="G314" s="15">
        <v>1152.6300000000001</v>
      </c>
      <c r="H314" s="15">
        <v>1152.6300000000001</v>
      </c>
      <c r="I314" s="13">
        <v>3</v>
      </c>
      <c r="J314" s="13">
        <v>3</v>
      </c>
      <c r="K314" s="13" t="s">
        <v>3346</v>
      </c>
      <c r="L314" s="15">
        <v>384.21000000000004</v>
      </c>
      <c r="M314" s="16">
        <v>384.21000000000004</v>
      </c>
    </row>
    <row r="315" spans="1:13" s="5" customFormat="1" x14ac:dyDescent="0.25">
      <c r="A315" s="12" t="s">
        <v>645</v>
      </c>
      <c r="B315" s="13" t="s">
        <v>646</v>
      </c>
      <c r="C315" s="14">
        <v>45561</v>
      </c>
      <c r="D315" s="13">
        <v>2024</v>
      </c>
      <c r="E315" s="13" t="s">
        <v>3347</v>
      </c>
      <c r="F315" s="13" t="s">
        <v>22</v>
      </c>
      <c r="G315" s="15">
        <v>281.22000000000003</v>
      </c>
      <c r="H315" s="15">
        <v>281.22000000000003</v>
      </c>
      <c r="I315" s="13">
        <v>3</v>
      </c>
      <c r="J315" s="13">
        <v>3</v>
      </c>
      <c r="K315" s="13" t="s">
        <v>3348</v>
      </c>
      <c r="L315" s="15">
        <v>93.740000000000009</v>
      </c>
      <c r="M315" s="16">
        <v>93.740000000000009</v>
      </c>
    </row>
    <row r="316" spans="1:13" s="5" customFormat="1" x14ac:dyDescent="0.25">
      <c r="A316" s="12" t="s">
        <v>647</v>
      </c>
      <c r="B316" s="13" t="s">
        <v>648</v>
      </c>
      <c r="C316" s="14">
        <v>45457</v>
      </c>
      <c r="D316" s="13">
        <v>2024</v>
      </c>
      <c r="E316" s="13" t="s">
        <v>10</v>
      </c>
      <c r="F316" s="13" t="s">
        <v>34</v>
      </c>
      <c r="G316" s="15">
        <v>341.01</v>
      </c>
      <c r="H316" s="15">
        <v>341.01</v>
      </c>
      <c r="I316" s="13">
        <v>1</v>
      </c>
      <c r="J316" s="13">
        <v>1</v>
      </c>
      <c r="K316" s="13" t="s">
        <v>3348</v>
      </c>
      <c r="L316" s="15">
        <v>341.01</v>
      </c>
      <c r="M316" s="16">
        <v>359.35166666666669</v>
      </c>
    </row>
    <row r="317" spans="1:13" s="5" customFormat="1" x14ac:dyDescent="0.25">
      <c r="A317" s="12" t="s">
        <v>649</v>
      </c>
      <c r="B317" s="13" t="s">
        <v>650</v>
      </c>
      <c r="C317" s="14">
        <v>45329</v>
      </c>
      <c r="D317" s="13">
        <v>2024</v>
      </c>
      <c r="E317" s="13" t="s">
        <v>14</v>
      </c>
      <c r="F317" s="13" t="s">
        <v>11</v>
      </c>
      <c r="G317" s="15">
        <v>60.42</v>
      </c>
      <c r="H317" s="15">
        <v>60.42</v>
      </c>
      <c r="I317" s="13">
        <v>9</v>
      </c>
      <c r="J317" s="13">
        <v>9</v>
      </c>
      <c r="K317" s="13" t="s">
        <v>18</v>
      </c>
      <c r="L317" s="15">
        <v>6.7133333333333338</v>
      </c>
      <c r="M317" s="16">
        <v>6.7133333333333338</v>
      </c>
    </row>
    <row r="318" spans="1:13" s="5" customFormat="1" x14ac:dyDescent="0.25">
      <c r="A318" s="12" t="s">
        <v>651</v>
      </c>
      <c r="B318" s="13" t="s">
        <v>391</v>
      </c>
      <c r="C318" s="14">
        <v>45417</v>
      </c>
      <c r="D318" s="13">
        <v>2024</v>
      </c>
      <c r="E318" s="13" t="s">
        <v>21</v>
      </c>
      <c r="F318" s="13" t="s">
        <v>25</v>
      </c>
      <c r="G318" s="15">
        <v>103.38</v>
      </c>
      <c r="H318" s="15">
        <v>103.38</v>
      </c>
      <c r="I318" s="13">
        <v>5</v>
      </c>
      <c r="J318" s="13">
        <v>5</v>
      </c>
      <c r="K318" s="13" t="s">
        <v>18</v>
      </c>
      <c r="L318" s="15">
        <v>20.675999999999998</v>
      </c>
      <c r="M318" s="16">
        <v>20.675999999999998</v>
      </c>
    </row>
    <row r="319" spans="1:13" s="5" customFormat="1" x14ac:dyDescent="0.25">
      <c r="A319" s="12" t="s">
        <v>652</v>
      </c>
      <c r="B319" s="13" t="s">
        <v>653</v>
      </c>
      <c r="C319" s="14">
        <v>45923</v>
      </c>
      <c r="D319" s="13">
        <v>2025</v>
      </c>
      <c r="E319" s="13" t="s">
        <v>14</v>
      </c>
      <c r="F319" s="13" t="s">
        <v>34</v>
      </c>
      <c r="G319" s="15">
        <v>1486.16</v>
      </c>
      <c r="H319" s="15">
        <v>1486.16</v>
      </c>
      <c r="I319" s="13">
        <v>7</v>
      </c>
      <c r="J319" s="13">
        <v>7</v>
      </c>
      <c r="K319" s="13" t="s">
        <v>35</v>
      </c>
      <c r="L319" s="15">
        <v>212.30857142857144</v>
      </c>
      <c r="M319" s="16">
        <v>212.30857142857144</v>
      </c>
    </row>
    <row r="320" spans="1:13" s="5" customFormat="1" x14ac:dyDescent="0.25">
      <c r="A320" s="12" t="s">
        <v>654</v>
      </c>
      <c r="B320" s="13" t="s">
        <v>655</v>
      </c>
      <c r="C320" s="14">
        <v>45310</v>
      </c>
      <c r="D320" s="13">
        <v>2024</v>
      </c>
      <c r="E320" s="13" t="s">
        <v>14</v>
      </c>
      <c r="F320" s="13" t="s">
        <v>34</v>
      </c>
      <c r="G320" s="15">
        <v>966.93783035714296</v>
      </c>
      <c r="H320" s="15">
        <v>966.93783035714296</v>
      </c>
      <c r="I320" s="13">
        <v>6</v>
      </c>
      <c r="J320" s="13">
        <v>6</v>
      </c>
      <c r="K320" s="13" t="s">
        <v>18</v>
      </c>
      <c r="L320" s="15">
        <v>161.15630505952382</v>
      </c>
      <c r="M320" s="16">
        <v>161.15630505952382</v>
      </c>
    </row>
    <row r="321" spans="1:13" s="5" customFormat="1" x14ac:dyDescent="0.25">
      <c r="A321" s="12" t="s">
        <v>656</v>
      </c>
      <c r="B321" s="13" t="s">
        <v>657</v>
      </c>
      <c r="C321" s="14">
        <v>45453</v>
      </c>
      <c r="D321" s="13">
        <v>2024</v>
      </c>
      <c r="E321" s="13" t="s">
        <v>14</v>
      </c>
      <c r="F321" s="13" t="s">
        <v>34</v>
      </c>
      <c r="G321" s="15">
        <v>1486.17</v>
      </c>
      <c r="H321" s="15">
        <v>1486.17</v>
      </c>
      <c r="I321" s="13">
        <v>4</v>
      </c>
      <c r="J321" s="13">
        <v>4</v>
      </c>
      <c r="K321" s="13" t="s">
        <v>15</v>
      </c>
      <c r="L321" s="15">
        <v>371.54250000000002</v>
      </c>
      <c r="M321" s="16">
        <v>371.54250000000002</v>
      </c>
    </row>
    <row r="322" spans="1:13" s="5" customFormat="1" x14ac:dyDescent="0.25">
      <c r="A322" s="12" t="s">
        <v>658</v>
      </c>
      <c r="B322" s="13" t="s">
        <v>659</v>
      </c>
      <c r="C322" s="14">
        <v>45592</v>
      </c>
      <c r="D322" s="13">
        <v>2024</v>
      </c>
      <c r="E322" s="13" t="s">
        <v>3347</v>
      </c>
      <c r="F322" s="13" t="s">
        <v>34</v>
      </c>
      <c r="G322" s="15">
        <v>1526.5</v>
      </c>
      <c r="H322" s="15">
        <v>1526.5</v>
      </c>
      <c r="I322" s="13">
        <v>2</v>
      </c>
      <c r="J322" s="13">
        <v>2</v>
      </c>
      <c r="K322" s="13" t="s">
        <v>35</v>
      </c>
      <c r="L322" s="15">
        <v>763.25</v>
      </c>
      <c r="M322" s="16">
        <v>763.25</v>
      </c>
    </row>
    <row r="323" spans="1:13" s="5" customFormat="1" x14ac:dyDescent="0.25">
      <c r="A323" s="12" t="s">
        <v>660</v>
      </c>
      <c r="B323" s="13" t="s">
        <v>661</v>
      </c>
      <c r="C323" s="14">
        <v>45739</v>
      </c>
      <c r="D323" s="13">
        <v>2025</v>
      </c>
      <c r="E323" s="13" t="s">
        <v>14</v>
      </c>
      <c r="F323" s="13" t="s">
        <v>25</v>
      </c>
      <c r="G323" s="15">
        <v>1747.6</v>
      </c>
      <c r="H323" s="15">
        <v>1747.6</v>
      </c>
      <c r="I323" s="13">
        <v>4</v>
      </c>
      <c r="J323" s="13">
        <v>4</v>
      </c>
      <c r="K323" s="13" t="s">
        <v>15</v>
      </c>
      <c r="L323" s="15">
        <v>436.9</v>
      </c>
      <c r="M323" s="16">
        <v>436.9</v>
      </c>
    </row>
    <row r="324" spans="1:13" s="5" customFormat="1" x14ac:dyDescent="0.25">
      <c r="A324" s="12" t="s">
        <v>662</v>
      </c>
      <c r="B324" s="13" t="s">
        <v>663</v>
      </c>
      <c r="C324" s="14">
        <v>45595</v>
      </c>
      <c r="D324" s="13">
        <v>2024</v>
      </c>
      <c r="E324" s="13" t="s">
        <v>14</v>
      </c>
      <c r="F324" s="13" t="s">
        <v>34</v>
      </c>
      <c r="G324" s="15">
        <v>1466.09</v>
      </c>
      <c r="H324" s="15">
        <v>1466.09</v>
      </c>
      <c r="I324" s="13">
        <v>7</v>
      </c>
      <c r="J324" s="13">
        <v>7</v>
      </c>
      <c r="K324" s="13" t="s">
        <v>3348</v>
      </c>
      <c r="L324" s="15">
        <v>209.44142857142856</v>
      </c>
      <c r="M324" s="16">
        <v>209.44142857142856</v>
      </c>
    </row>
    <row r="325" spans="1:13" s="5" customFormat="1" x14ac:dyDescent="0.25">
      <c r="A325" s="12" t="s">
        <v>664</v>
      </c>
      <c r="B325" s="13" t="s">
        <v>33</v>
      </c>
      <c r="C325" s="14">
        <v>45361</v>
      </c>
      <c r="D325" s="13">
        <v>2024</v>
      </c>
      <c r="E325" s="13" t="s">
        <v>3347</v>
      </c>
      <c r="F325" s="13" t="s">
        <v>25</v>
      </c>
      <c r="G325" s="15">
        <v>58.12</v>
      </c>
      <c r="H325" s="15">
        <v>58.12</v>
      </c>
      <c r="I325" s="13">
        <v>5</v>
      </c>
      <c r="J325" s="13">
        <v>5</v>
      </c>
      <c r="K325" s="13" t="s">
        <v>35</v>
      </c>
      <c r="L325" s="15">
        <v>11.623999999999999</v>
      </c>
      <c r="M325" s="16">
        <v>11.623999999999999</v>
      </c>
    </row>
    <row r="326" spans="1:13" s="5" customFormat="1" x14ac:dyDescent="0.25">
      <c r="A326" s="12" t="s">
        <v>665</v>
      </c>
      <c r="B326" s="13" t="s">
        <v>666</v>
      </c>
      <c r="C326" s="14">
        <v>45874</v>
      </c>
      <c r="D326" s="13">
        <v>2025</v>
      </c>
      <c r="E326" s="13" t="s">
        <v>21</v>
      </c>
      <c r="F326" s="13" t="s">
        <v>34</v>
      </c>
      <c r="G326" s="15">
        <v>365.55</v>
      </c>
      <c r="H326" s="15">
        <v>365.55</v>
      </c>
      <c r="I326" s="13">
        <v>2</v>
      </c>
      <c r="J326" s="13">
        <v>2</v>
      </c>
      <c r="K326" s="13" t="s">
        <v>3346</v>
      </c>
      <c r="L326" s="15">
        <v>182.77500000000001</v>
      </c>
      <c r="M326" s="16">
        <v>182.77500000000001</v>
      </c>
    </row>
    <row r="327" spans="1:13" s="5" customFormat="1" x14ac:dyDescent="0.25">
      <c r="A327" s="12" t="s">
        <v>667</v>
      </c>
      <c r="B327" s="13" t="s">
        <v>668</v>
      </c>
      <c r="C327" s="14">
        <v>45252</v>
      </c>
      <c r="D327" s="13">
        <v>2023</v>
      </c>
      <c r="E327" s="13" t="s">
        <v>10</v>
      </c>
      <c r="F327" s="13" t="s">
        <v>34</v>
      </c>
      <c r="G327" s="15">
        <v>528.44000000000005</v>
      </c>
      <c r="H327" s="15">
        <v>528.44000000000005</v>
      </c>
      <c r="I327" s="13">
        <v>4</v>
      </c>
      <c r="J327" s="13">
        <v>4</v>
      </c>
      <c r="K327" s="13" t="s">
        <v>3348</v>
      </c>
      <c r="L327" s="15">
        <v>132.11000000000001</v>
      </c>
      <c r="M327" s="16">
        <v>132.11000000000001</v>
      </c>
    </row>
    <row r="328" spans="1:13" s="5" customFormat="1" x14ac:dyDescent="0.25">
      <c r="A328" s="12" t="s">
        <v>669</v>
      </c>
      <c r="B328" s="13" t="s">
        <v>670</v>
      </c>
      <c r="C328" s="14">
        <v>45247</v>
      </c>
      <c r="D328" s="13">
        <v>2023</v>
      </c>
      <c r="E328" s="13" t="s">
        <v>14</v>
      </c>
      <c r="F328" s="13" t="s">
        <v>22</v>
      </c>
      <c r="G328" s="15">
        <v>1041.54</v>
      </c>
      <c r="H328" s="15">
        <v>1041.54</v>
      </c>
      <c r="I328" s="13">
        <v>8</v>
      </c>
      <c r="J328" s="13">
        <v>8</v>
      </c>
      <c r="K328" s="13" t="s">
        <v>35</v>
      </c>
      <c r="L328" s="15">
        <v>130.1925</v>
      </c>
      <c r="M328" s="16">
        <v>130.1925</v>
      </c>
    </row>
    <row r="329" spans="1:13" s="5" customFormat="1" x14ac:dyDescent="0.25">
      <c r="A329" s="12" t="s">
        <v>671</v>
      </c>
      <c r="B329" s="13" t="s">
        <v>672</v>
      </c>
      <c r="C329" s="14">
        <v>45740</v>
      </c>
      <c r="D329" s="13">
        <v>2025</v>
      </c>
      <c r="E329" s="13" t="s">
        <v>14</v>
      </c>
      <c r="F329" s="13" t="s">
        <v>22</v>
      </c>
      <c r="G329" s="15">
        <v>470.83</v>
      </c>
      <c r="H329" s="15">
        <v>470.83</v>
      </c>
      <c r="I329" s="13">
        <v>7</v>
      </c>
      <c r="J329" s="13">
        <v>7</v>
      </c>
      <c r="K329" s="13" t="s">
        <v>3348</v>
      </c>
      <c r="L329" s="15">
        <v>67.261428571428567</v>
      </c>
      <c r="M329" s="16">
        <v>67.261428571428567</v>
      </c>
    </row>
    <row r="330" spans="1:13" s="5" customFormat="1" x14ac:dyDescent="0.25">
      <c r="A330" s="12" t="s">
        <v>673</v>
      </c>
      <c r="B330" s="13" t="s">
        <v>674</v>
      </c>
      <c r="C330" s="14">
        <v>45010</v>
      </c>
      <c r="D330" s="13">
        <v>2023</v>
      </c>
      <c r="E330" s="13" t="s">
        <v>3347</v>
      </c>
      <c r="F330" s="13" t="s">
        <v>34</v>
      </c>
      <c r="G330" s="15">
        <v>1058.73</v>
      </c>
      <c r="H330" s="15">
        <v>1058.73</v>
      </c>
      <c r="I330" s="13">
        <v>8</v>
      </c>
      <c r="J330" s="13">
        <v>8</v>
      </c>
      <c r="K330" s="13" t="s">
        <v>35</v>
      </c>
      <c r="L330" s="15">
        <v>132.34125</v>
      </c>
      <c r="M330" s="16">
        <v>132.34125</v>
      </c>
    </row>
    <row r="331" spans="1:13" s="5" customFormat="1" x14ac:dyDescent="0.25">
      <c r="A331" s="12" t="s">
        <v>675</v>
      </c>
      <c r="B331" s="13" t="s">
        <v>676</v>
      </c>
      <c r="C331" s="14">
        <v>44965</v>
      </c>
      <c r="D331" s="13">
        <v>2023</v>
      </c>
      <c r="E331" s="13" t="s">
        <v>14</v>
      </c>
      <c r="F331" s="13" t="s">
        <v>11</v>
      </c>
      <c r="G331" s="15">
        <v>639.92999999999995</v>
      </c>
      <c r="H331" s="15">
        <v>639.92999999999995</v>
      </c>
      <c r="I331" s="13">
        <v>8</v>
      </c>
      <c r="J331" s="13">
        <v>8</v>
      </c>
      <c r="K331" s="13" t="s">
        <v>3346</v>
      </c>
      <c r="L331" s="15">
        <v>79.991249999999994</v>
      </c>
      <c r="M331" s="16">
        <v>79.991249999999994</v>
      </c>
    </row>
    <row r="332" spans="1:13" s="5" customFormat="1" x14ac:dyDescent="0.25">
      <c r="A332" s="12" t="s">
        <v>677</v>
      </c>
      <c r="B332" s="13" t="s">
        <v>678</v>
      </c>
      <c r="C332" s="14">
        <v>45133</v>
      </c>
      <c r="D332" s="13">
        <v>2023</v>
      </c>
      <c r="E332" s="13" t="s">
        <v>10</v>
      </c>
      <c r="F332" s="13" t="s">
        <v>25</v>
      </c>
      <c r="G332" s="15">
        <v>1637.15</v>
      </c>
      <c r="H332" s="15">
        <v>1637.15</v>
      </c>
      <c r="I332" s="13">
        <v>12</v>
      </c>
      <c r="J332" s="13">
        <v>10</v>
      </c>
      <c r="K332" s="13" t="s">
        <v>3346</v>
      </c>
      <c r="L332" s="15">
        <v>136.42916666666667</v>
      </c>
      <c r="M332" s="16">
        <v>131.3463630952381</v>
      </c>
    </row>
    <row r="333" spans="1:13" s="5" customFormat="1" x14ac:dyDescent="0.25">
      <c r="A333" s="12" t="s">
        <v>679</v>
      </c>
      <c r="B333" s="13" t="s">
        <v>680</v>
      </c>
      <c r="C333" s="14">
        <v>45507</v>
      </c>
      <c r="D333" s="13">
        <v>2024</v>
      </c>
      <c r="E333" s="13" t="s">
        <v>14</v>
      </c>
      <c r="F333" s="13" t="s">
        <v>34</v>
      </c>
      <c r="G333" s="15">
        <v>204.01</v>
      </c>
      <c r="H333" s="15">
        <v>204.01</v>
      </c>
      <c r="I333" s="13">
        <v>6</v>
      </c>
      <c r="J333" s="13">
        <v>6</v>
      </c>
      <c r="K333" s="13" t="s">
        <v>3348</v>
      </c>
      <c r="L333" s="15">
        <v>34.001666666666665</v>
      </c>
      <c r="M333" s="16">
        <v>34.001666666666665</v>
      </c>
    </row>
    <row r="334" spans="1:13" s="5" customFormat="1" x14ac:dyDescent="0.25">
      <c r="A334" s="12" t="s">
        <v>681</v>
      </c>
      <c r="B334" s="13" t="s">
        <v>682</v>
      </c>
      <c r="C334" s="14">
        <v>45163</v>
      </c>
      <c r="D334" s="13">
        <v>2023</v>
      </c>
      <c r="E334" s="13" t="s">
        <v>3347</v>
      </c>
      <c r="F334" s="13" t="s">
        <v>25</v>
      </c>
      <c r="G334" s="15">
        <v>957.75</v>
      </c>
      <c r="H334" s="15">
        <v>957.75</v>
      </c>
      <c r="I334" s="13">
        <v>3</v>
      </c>
      <c r="J334" s="13">
        <v>3</v>
      </c>
      <c r="K334" s="13" t="s">
        <v>35</v>
      </c>
      <c r="L334" s="15">
        <v>319.25</v>
      </c>
      <c r="M334" s="16">
        <v>319.25</v>
      </c>
    </row>
    <row r="335" spans="1:13" s="5" customFormat="1" x14ac:dyDescent="0.25">
      <c r="A335" s="12" t="s">
        <v>683</v>
      </c>
      <c r="B335" s="13" t="s">
        <v>684</v>
      </c>
      <c r="C335" s="14">
        <v>45173</v>
      </c>
      <c r="D335" s="13">
        <v>2023</v>
      </c>
      <c r="E335" s="13" t="s">
        <v>3347</v>
      </c>
      <c r="F335" s="13" t="s">
        <v>25</v>
      </c>
      <c r="G335" s="15">
        <v>1811.7885694444442</v>
      </c>
      <c r="H335" s="15">
        <v>1811.7885694444442</v>
      </c>
      <c r="I335" s="13">
        <v>7</v>
      </c>
      <c r="J335" s="13">
        <v>7</v>
      </c>
      <c r="K335" s="13" t="s">
        <v>18</v>
      </c>
      <c r="L335" s="15">
        <v>258.82693849206345</v>
      </c>
      <c r="M335" s="16">
        <v>258.82693849206345</v>
      </c>
    </row>
    <row r="336" spans="1:13" s="5" customFormat="1" x14ac:dyDescent="0.25">
      <c r="A336" s="12" t="s">
        <v>685</v>
      </c>
      <c r="B336" s="13" t="s">
        <v>686</v>
      </c>
      <c r="C336" s="14">
        <v>45935</v>
      </c>
      <c r="D336" s="13">
        <v>2025</v>
      </c>
      <c r="E336" s="13" t="s">
        <v>3347</v>
      </c>
      <c r="F336" s="13" t="s">
        <v>34</v>
      </c>
      <c r="G336" s="15">
        <v>2524.7171809523811</v>
      </c>
      <c r="H336" s="15">
        <v>2524.7171809523811</v>
      </c>
      <c r="I336" s="13">
        <v>8</v>
      </c>
      <c r="J336" s="13">
        <v>8</v>
      </c>
      <c r="K336" s="13" t="s">
        <v>3346</v>
      </c>
      <c r="L336" s="15">
        <v>315.58964761904764</v>
      </c>
      <c r="M336" s="16">
        <v>315.58964761904764</v>
      </c>
    </row>
    <row r="337" spans="1:13" s="5" customFormat="1" x14ac:dyDescent="0.25">
      <c r="A337" s="12" t="s">
        <v>687</v>
      </c>
      <c r="B337" s="13" t="s">
        <v>688</v>
      </c>
      <c r="C337" s="14">
        <v>45515</v>
      </c>
      <c r="D337" s="13">
        <v>2024</v>
      </c>
      <c r="E337" s="13" t="s">
        <v>14</v>
      </c>
      <c r="F337" s="13" t="s">
        <v>25</v>
      </c>
      <c r="G337" s="15">
        <v>221.34</v>
      </c>
      <c r="H337" s="15">
        <v>221.34</v>
      </c>
      <c r="I337" s="13">
        <v>10</v>
      </c>
      <c r="J337" s="13">
        <v>10</v>
      </c>
      <c r="K337" s="13" t="s">
        <v>3346</v>
      </c>
      <c r="L337" s="15">
        <v>22.134</v>
      </c>
      <c r="M337" s="16">
        <v>22.134</v>
      </c>
    </row>
    <row r="338" spans="1:13" s="5" customFormat="1" x14ac:dyDescent="0.25">
      <c r="A338" s="12" t="s">
        <v>689</v>
      </c>
      <c r="B338" s="13" t="s">
        <v>690</v>
      </c>
      <c r="C338" s="14">
        <v>45542</v>
      </c>
      <c r="D338" s="13">
        <v>2024</v>
      </c>
      <c r="E338" s="13" t="s">
        <v>14</v>
      </c>
      <c r="F338" s="13" t="s">
        <v>25</v>
      </c>
      <c r="G338" s="15">
        <v>1151.8399999999999</v>
      </c>
      <c r="H338" s="15">
        <v>1151.8399999999999</v>
      </c>
      <c r="I338" s="13">
        <v>10</v>
      </c>
      <c r="J338" s="13">
        <v>10</v>
      </c>
      <c r="K338" s="13" t="s">
        <v>35</v>
      </c>
      <c r="L338" s="15">
        <v>115.184</v>
      </c>
      <c r="M338" s="16">
        <v>115.184</v>
      </c>
    </row>
    <row r="339" spans="1:13" s="5" customFormat="1" x14ac:dyDescent="0.25">
      <c r="A339" s="12" t="s">
        <v>691</v>
      </c>
      <c r="B339" s="13" t="s">
        <v>692</v>
      </c>
      <c r="C339" s="14">
        <v>45495</v>
      </c>
      <c r="D339" s="13">
        <v>2024</v>
      </c>
      <c r="E339" s="13" t="s">
        <v>10</v>
      </c>
      <c r="F339" s="13" t="s">
        <v>25</v>
      </c>
      <c r="G339" s="15">
        <v>1804.47</v>
      </c>
      <c r="H339" s="15">
        <v>1804.47</v>
      </c>
      <c r="I339" s="13">
        <v>4</v>
      </c>
      <c r="J339" s="13">
        <v>4</v>
      </c>
      <c r="K339" s="13" t="s">
        <v>3348</v>
      </c>
      <c r="L339" s="15">
        <v>451.11750000000001</v>
      </c>
      <c r="M339" s="16">
        <v>451.11750000000001</v>
      </c>
    </row>
    <row r="340" spans="1:13" s="5" customFormat="1" x14ac:dyDescent="0.25">
      <c r="A340" s="12" t="s">
        <v>693</v>
      </c>
      <c r="B340" s="13" t="s">
        <v>694</v>
      </c>
      <c r="C340" s="14">
        <v>45851</v>
      </c>
      <c r="D340" s="13">
        <v>2025</v>
      </c>
      <c r="E340" s="13" t="s">
        <v>3347</v>
      </c>
      <c r="F340" s="13" t="s">
        <v>22</v>
      </c>
      <c r="G340" s="15">
        <v>988.73</v>
      </c>
      <c r="H340" s="15">
        <v>988.73</v>
      </c>
      <c r="I340" s="13">
        <v>7</v>
      </c>
      <c r="J340" s="13">
        <v>7</v>
      </c>
      <c r="K340" s="13" t="s">
        <v>15</v>
      </c>
      <c r="L340" s="15">
        <v>141.24714285714285</v>
      </c>
      <c r="M340" s="16">
        <v>141.24714285714285</v>
      </c>
    </row>
    <row r="341" spans="1:13" s="5" customFormat="1" x14ac:dyDescent="0.25">
      <c r="A341" s="12" t="s">
        <v>695</v>
      </c>
      <c r="B341" s="13" t="s">
        <v>696</v>
      </c>
      <c r="C341" s="14">
        <v>45554</v>
      </c>
      <c r="D341" s="13">
        <v>2024</v>
      </c>
      <c r="E341" s="13" t="s">
        <v>14</v>
      </c>
      <c r="F341" s="13" t="s">
        <v>25</v>
      </c>
      <c r="G341" s="15">
        <v>744.26</v>
      </c>
      <c r="H341" s="15">
        <v>744.26</v>
      </c>
      <c r="I341" s="13">
        <v>10</v>
      </c>
      <c r="J341" s="13">
        <v>10</v>
      </c>
      <c r="K341" s="13" t="s">
        <v>18</v>
      </c>
      <c r="L341" s="15">
        <v>74.426000000000002</v>
      </c>
      <c r="M341" s="16">
        <v>74.426000000000002</v>
      </c>
    </row>
    <row r="342" spans="1:13" s="5" customFormat="1" x14ac:dyDescent="0.25">
      <c r="A342" s="12" t="s">
        <v>697</v>
      </c>
      <c r="B342" s="13" t="s">
        <v>698</v>
      </c>
      <c r="C342" s="14">
        <v>45297</v>
      </c>
      <c r="D342" s="13">
        <v>2024</v>
      </c>
      <c r="E342" s="13" t="s">
        <v>10</v>
      </c>
      <c r="F342" s="13" t="s">
        <v>34</v>
      </c>
      <c r="G342" s="15">
        <v>65.180000000000007</v>
      </c>
      <c r="H342" s="15">
        <v>65.180000000000007</v>
      </c>
      <c r="I342" s="13">
        <v>4</v>
      </c>
      <c r="J342" s="13">
        <v>4</v>
      </c>
      <c r="K342" s="13" t="s">
        <v>35</v>
      </c>
      <c r="L342" s="15">
        <v>16.295000000000002</v>
      </c>
      <c r="M342" s="16">
        <v>16.295000000000002</v>
      </c>
    </row>
    <row r="343" spans="1:13" s="5" customFormat="1" x14ac:dyDescent="0.25">
      <c r="A343" s="12" t="s">
        <v>699</v>
      </c>
      <c r="B343" s="13" t="s">
        <v>700</v>
      </c>
      <c r="C343" s="14">
        <v>45716</v>
      </c>
      <c r="D343" s="13">
        <v>2025</v>
      </c>
      <c r="E343" s="13" t="s">
        <v>21</v>
      </c>
      <c r="F343" s="13" t="s">
        <v>25</v>
      </c>
      <c r="G343" s="15">
        <v>1751.55</v>
      </c>
      <c r="H343" s="15">
        <v>1751.55</v>
      </c>
      <c r="I343" s="13">
        <v>9</v>
      </c>
      <c r="J343" s="13">
        <v>9</v>
      </c>
      <c r="K343" s="13" t="s">
        <v>3346</v>
      </c>
      <c r="L343" s="15">
        <v>194.61666666666667</v>
      </c>
      <c r="M343" s="16">
        <v>194.61666666666667</v>
      </c>
    </row>
    <row r="344" spans="1:13" s="5" customFormat="1" x14ac:dyDescent="0.25">
      <c r="A344" s="12" t="s">
        <v>701</v>
      </c>
      <c r="B344" s="13" t="s">
        <v>702</v>
      </c>
      <c r="C344" s="14">
        <v>45119</v>
      </c>
      <c r="D344" s="13">
        <v>2023</v>
      </c>
      <c r="E344" s="13" t="s">
        <v>14</v>
      </c>
      <c r="F344" s="13" t="s">
        <v>11</v>
      </c>
      <c r="G344" s="15">
        <v>1821.2</v>
      </c>
      <c r="H344" s="15">
        <v>1821.2</v>
      </c>
      <c r="I344" s="13">
        <v>4</v>
      </c>
      <c r="J344" s="13">
        <v>4</v>
      </c>
      <c r="K344" s="13" t="s">
        <v>35</v>
      </c>
      <c r="L344" s="15">
        <v>455.3</v>
      </c>
      <c r="M344" s="16">
        <v>455.3</v>
      </c>
    </row>
    <row r="345" spans="1:13" s="5" customFormat="1" x14ac:dyDescent="0.25">
      <c r="A345" s="12" t="s">
        <v>703</v>
      </c>
      <c r="B345" s="13" t="s">
        <v>704</v>
      </c>
      <c r="C345" s="14">
        <v>45829</v>
      </c>
      <c r="D345" s="13">
        <v>2025</v>
      </c>
      <c r="E345" s="13" t="s">
        <v>3347</v>
      </c>
      <c r="F345" s="13" t="s">
        <v>34</v>
      </c>
      <c r="G345" s="15">
        <v>3295.5219047619044</v>
      </c>
      <c r="H345" s="15">
        <v>3295.5219047619044</v>
      </c>
      <c r="I345" s="13">
        <v>10</v>
      </c>
      <c r="J345" s="13">
        <v>10</v>
      </c>
      <c r="K345" s="13" t="s">
        <v>35</v>
      </c>
      <c r="L345" s="15">
        <v>329.55219047619045</v>
      </c>
      <c r="M345" s="16">
        <v>329.55219047619045</v>
      </c>
    </row>
    <row r="346" spans="1:13" s="5" customFormat="1" x14ac:dyDescent="0.25">
      <c r="A346" s="12" t="s">
        <v>705</v>
      </c>
      <c r="B346" s="13" t="s">
        <v>706</v>
      </c>
      <c r="C346" s="14">
        <v>45398</v>
      </c>
      <c r="D346" s="13">
        <v>2024</v>
      </c>
      <c r="E346" s="13" t="s">
        <v>21</v>
      </c>
      <c r="F346" s="13" t="s">
        <v>34</v>
      </c>
      <c r="G346" s="15">
        <v>633.67999999999995</v>
      </c>
      <c r="H346" s="15">
        <v>633.67999999999995</v>
      </c>
      <c r="I346" s="13">
        <v>7</v>
      </c>
      <c r="J346" s="13">
        <v>7</v>
      </c>
      <c r="K346" s="13" t="s">
        <v>18</v>
      </c>
      <c r="L346" s="15">
        <v>90.525714285714272</v>
      </c>
      <c r="M346" s="16">
        <v>90.525714285714272</v>
      </c>
    </row>
    <row r="347" spans="1:13" s="5" customFormat="1" x14ac:dyDescent="0.25">
      <c r="A347" s="12" t="s">
        <v>707</v>
      </c>
      <c r="B347" s="13" t="s">
        <v>708</v>
      </c>
      <c r="C347" s="14">
        <v>45745</v>
      </c>
      <c r="D347" s="13">
        <v>2025</v>
      </c>
      <c r="E347" s="13" t="s">
        <v>10</v>
      </c>
      <c r="F347" s="13" t="s">
        <v>22</v>
      </c>
      <c r="G347" s="15">
        <v>12.67</v>
      </c>
      <c r="H347" s="15">
        <v>12.67</v>
      </c>
      <c r="I347" s="13">
        <v>2</v>
      </c>
      <c r="J347" s="13">
        <v>2</v>
      </c>
      <c r="K347" s="13" t="s">
        <v>3346</v>
      </c>
      <c r="L347" s="15">
        <v>6.335</v>
      </c>
      <c r="M347" s="16">
        <v>6.335</v>
      </c>
    </row>
    <row r="348" spans="1:13" s="5" customFormat="1" x14ac:dyDescent="0.25">
      <c r="A348" s="12" t="s">
        <v>709</v>
      </c>
      <c r="B348" s="13" t="s">
        <v>710</v>
      </c>
      <c r="C348" s="14">
        <v>45908</v>
      </c>
      <c r="D348" s="13">
        <v>2025</v>
      </c>
      <c r="E348" s="13" t="s">
        <v>14</v>
      </c>
      <c r="F348" s="13" t="s">
        <v>22</v>
      </c>
      <c r="G348" s="15">
        <v>1648.06</v>
      </c>
      <c r="H348" s="15">
        <v>1648.06</v>
      </c>
      <c r="I348" s="13">
        <v>7</v>
      </c>
      <c r="J348" s="13">
        <v>7</v>
      </c>
      <c r="K348" s="13" t="s">
        <v>3348</v>
      </c>
      <c r="L348" s="15">
        <v>235.43714285714285</v>
      </c>
      <c r="M348" s="16">
        <v>235.43714285714285</v>
      </c>
    </row>
    <row r="349" spans="1:13" s="5" customFormat="1" x14ac:dyDescent="0.25">
      <c r="A349" s="12" t="s">
        <v>711</v>
      </c>
      <c r="B349" s="13" t="s">
        <v>712</v>
      </c>
      <c r="C349" s="14">
        <v>45112</v>
      </c>
      <c r="D349" s="13">
        <v>2023</v>
      </c>
      <c r="E349" s="13" t="s">
        <v>3347</v>
      </c>
      <c r="F349" s="13" t="s">
        <v>34</v>
      </c>
      <c r="G349" s="15">
        <v>540.57193055555558</v>
      </c>
      <c r="H349" s="15">
        <v>540.57193055555558</v>
      </c>
      <c r="I349" s="13">
        <v>1</v>
      </c>
      <c r="J349" s="13">
        <v>1</v>
      </c>
      <c r="K349" s="13" t="s">
        <v>3348</v>
      </c>
      <c r="L349" s="15">
        <v>540.57193055555558</v>
      </c>
      <c r="M349" s="16">
        <v>540.57193055555558</v>
      </c>
    </row>
    <row r="350" spans="1:13" s="5" customFormat="1" x14ac:dyDescent="0.25">
      <c r="A350" s="12" t="s">
        <v>713</v>
      </c>
      <c r="B350" s="13" t="s">
        <v>714</v>
      </c>
      <c r="C350" s="14">
        <v>45419</v>
      </c>
      <c r="D350" s="13">
        <v>2024</v>
      </c>
      <c r="E350" s="13" t="s">
        <v>21</v>
      </c>
      <c r="F350" s="13" t="s">
        <v>11</v>
      </c>
      <c r="G350" s="15">
        <v>1238.68</v>
      </c>
      <c r="H350" s="15">
        <v>1238.68</v>
      </c>
      <c r="I350" s="13">
        <v>4</v>
      </c>
      <c r="J350" s="13">
        <v>4</v>
      </c>
      <c r="K350" s="13" t="s">
        <v>15</v>
      </c>
      <c r="L350" s="15">
        <v>309.67</v>
      </c>
      <c r="M350" s="16">
        <v>309.67</v>
      </c>
    </row>
    <row r="351" spans="1:13" s="5" customFormat="1" x14ac:dyDescent="0.25">
      <c r="A351" s="12" t="s">
        <v>715</v>
      </c>
      <c r="B351" s="13" t="s">
        <v>716</v>
      </c>
      <c r="C351" s="14">
        <v>45091</v>
      </c>
      <c r="D351" s="13">
        <v>2023</v>
      </c>
      <c r="E351" s="13" t="s">
        <v>21</v>
      </c>
      <c r="F351" s="13" t="s">
        <v>11</v>
      </c>
      <c r="G351" s="15">
        <v>6283.6681250000001</v>
      </c>
      <c r="H351" s="15">
        <v>3548.2821388888883</v>
      </c>
      <c r="I351" s="13">
        <v>7</v>
      </c>
      <c r="J351" s="13">
        <v>7</v>
      </c>
      <c r="K351" s="13" t="s">
        <v>18</v>
      </c>
      <c r="L351" s="15">
        <v>897.666875</v>
      </c>
      <c r="M351" s="16">
        <v>897.666875</v>
      </c>
    </row>
    <row r="352" spans="1:13" s="5" customFormat="1" x14ac:dyDescent="0.25">
      <c r="A352" s="12" t="s">
        <v>717</v>
      </c>
      <c r="B352" s="13" t="s">
        <v>718</v>
      </c>
      <c r="C352" s="14">
        <v>45676</v>
      </c>
      <c r="D352" s="13">
        <v>2025</v>
      </c>
      <c r="E352" s="13" t="s">
        <v>10</v>
      </c>
      <c r="F352" s="13" t="s">
        <v>34</v>
      </c>
      <c r="G352" s="15">
        <v>744.45</v>
      </c>
      <c r="H352" s="15">
        <v>744.45</v>
      </c>
      <c r="I352" s="13">
        <v>1</v>
      </c>
      <c r="J352" s="13">
        <v>1</v>
      </c>
      <c r="K352" s="13" t="s">
        <v>35</v>
      </c>
      <c r="L352" s="15">
        <v>744.45</v>
      </c>
      <c r="M352" s="16">
        <v>744.45</v>
      </c>
    </row>
    <row r="353" spans="1:13" s="5" customFormat="1" x14ac:dyDescent="0.25">
      <c r="A353" s="12" t="s">
        <v>719</v>
      </c>
      <c r="B353" s="13" t="s">
        <v>720</v>
      </c>
      <c r="C353" s="14">
        <v>45168</v>
      </c>
      <c r="D353" s="13">
        <v>2023</v>
      </c>
      <c r="E353" s="13" t="s">
        <v>3347</v>
      </c>
      <c r="F353" s="13" t="s">
        <v>34</v>
      </c>
      <c r="G353" s="15">
        <v>1843.79</v>
      </c>
      <c r="H353" s="15">
        <v>1843.79</v>
      </c>
      <c r="I353" s="13">
        <v>8</v>
      </c>
      <c r="J353" s="13">
        <v>8</v>
      </c>
      <c r="K353" s="13" t="s">
        <v>15</v>
      </c>
      <c r="L353" s="15">
        <v>230.47375</v>
      </c>
      <c r="M353" s="16">
        <v>230.47375</v>
      </c>
    </row>
    <row r="354" spans="1:13" s="5" customFormat="1" x14ac:dyDescent="0.25">
      <c r="A354" s="12" t="s">
        <v>721</v>
      </c>
      <c r="B354" s="13" t="s">
        <v>722</v>
      </c>
      <c r="C354" s="14">
        <v>45631</v>
      </c>
      <c r="D354" s="13">
        <v>2024</v>
      </c>
      <c r="E354" s="13" t="s">
        <v>21</v>
      </c>
      <c r="F354" s="13" t="s">
        <v>34</v>
      </c>
      <c r="G354" s="15">
        <v>160.46</v>
      </c>
      <c r="H354" s="15">
        <v>160.46</v>
      </c>
      <c r="I354" s="13">
        <v>9</v>
      </c>
      <c r="J354" s="13">
        <v>9</v>
      </c>
      <c r="K354" s="13" t="s">
        <v>3348</v>
      </c>
      <c r="L354" s="15">
        <v>17.828888888888891</v>
      </c>
      <c r="M354" s="16">
        <v>17.828888888888891</v>
      </c>
    </row>
    <row r="355" spans="1:13" s="5" customFormat="1" x14ac:dyDescent="0.25">
      <c r="A355" s="12" t="s">
        <v>723</v>
      </c>
      <c r="B355" s="13" t="s">
        <v>724</v>
      </c>
      <c r="C355" s="14">
        <v>45843</v>
      </c>
      <c r="D355" s="13">
        <v>2025</v>
      </c>
      <c r="E355" s="13" t="s">
        <v>21</v>
      </c>
      <c r="F355" s="13" t="s">
        <v>22</v>
      </c>
      <c r="G355" s="15">
        <v>1696.66</v>
      </c>
      <c r="H355" s="15">
        <v>1696.66</v>
      </c>
      <c r="I355" s="13">
        <v>6</v>
      </c>
      <c r="J355" s="13">
        <v>6</v>
      </c>
      <c r="K355" s="13" t="s">
        <v>3346</v>
      </c>
      <c r="L355" s="15">
        <v>282.7766666666667</v>
      </c>
      <c r="M355" s="16">
        <v>269.95944047619054</v>
      </c>
    </row>
    <row r="356" spans="1:13" s="5" customFormat="1" x14ac:dyDescent="0.25">
      <c r="A356" s="12" t="s">
        <v>725</v>
      </c>
      <c r="B356" s="13" t="s">
        <v>726</v>
      </c>
      <c r="C356" s="14">
        <v>45793</v>
      </c>
      <c r="D356" s="13">
        <v>2025</v>
      </c>
      <c r="E356" s="13" t="s">
        <v>3347</v>
      </c>
      <c r="F356" s="13" t="s">
        <v>34</v>
      </c>
      <c r="G356" s="15">
        <v>498.22</v>
      </c>
      <c r="H356" s="15">
        <v>498.22</v>
      </c>
      <c r="I356" s="13">
        <v>8</v>
      </c>
      <c r="J356" s="13">
        <v>8</v>
      </c>
      <c r="K356" s="13" t="s">
        <v>3348</v>
      </c>
      <c r="L356" s="15">
        <v>62.277500000000003</v>
      </c>
      <c r="M356" s="16">
        <v>62.277500000000003</v>
      </c>
    </row>
    <row r="357" spans="1:13" s="5" customFormat="1" x14ac:dyDescent="0.25">
      <c r="A357" s="12" t="s">
        <v>727</v>
      </c>
      <c r="B357" s="13" t="s">
        <v>728</v>
      </c>
      <c r="C357" s="14">
        <v>44922</v>
      </c>
      <c r="D357" s="13">
        <v>2022</v>
      </c>
      <c r="E357" s="13" t="s">
        <v>3347</v>
      </c>
      <c r="F357" s="13" t="s">
        <v>22</v>
      </c>
      <c r="G357" s="15">
        <v>1905.9151095238096</v>
      </c>
      <c r="H357" s="15">
        <v>1905.9151095238096</v>
      </c>
      <c r="I357" s="13">
        <v>8</v>
      </c>
      <c r="J357" s="13">
        <v>8</v>
      </c>
      <c r="K357" s="13" t="s">
        <v>35</v>
      </c>
      <c r="L357" s="15">
        <v>238.2393886904762</v>
      </c>
      <c r="M357" s="16">
        <v>238.2393886904762</v>
      </c>
    </row>
    <row r="358" spans="1:13" s="5" customFormat="1" x14ac:dyDescent="0.25">
      <c r="A358" s="12" t="s">
        <v>729</v>
      </c>
      <c r="B358" s="13" t="s">
        <v>730</v>
      </c>
      <c r="C358" s="14">
        <v>45033</v>
      </c>
      <c r="D358" s="13">
        <v>2023</v>
      </c>
      <c r="E358" s="13" t="s">
        <v>14</v>
      </c>
      <c r="F358" s="13" t="s">
        <v>25</v>
      </c>
      <c r="G358" s="15">
        <v>518.1</v>
      </c>
      <c r="H358" s="15">
        <v>518.1</v>
      </c>
      <c r="I358" s="13">
        <v>1</v>
      </c>
      <c r="J358" s="13">
        <v>1</v>
      </c>
      <c r="K358" s="13" t="s">
        <v>3346</v>
      </c>
      <c r="L358" s="15">
        <v>518.1</v>
      </c>
      <c r="M358" s="16">
        <v>518.1</v>
      </c>
    </row>
    <row r="359" spans="1:13" s="5" customFormat="1" x14ac:dyDescent="0.25">
      <c r="A359" s="12" t="s">
        <v>731</v>
      </c>
      <c r="B359" s="13" t="s">
        <v>732</v>
      </c>
      <c r="C359" s="14">
        <v>45647</v>
      </c>
      <c r="D359" s="13">
        <v>2024</v>
      </c>
      <c r="E359" s="13" t="s">
        <v>21</v>
      </c>
      <c r="F359" s="13" t="s">
        <v>25</v>
      </c>
      <c r="G359" s="15">
        <v>1808.39</v>
      </c>
      <c r="H359" s="15">
        <v>1808.39</v>
      </c>
      <c r="I359" s="13">
        <v>9</v>
      </c>
      <c r="J359" s="13">
        <v>9</v>
      </c>
      <c r="K359" s="13" t="s">
        <v>15</v>
      </c>
      <c r="L359" s="15">
        <v>200.93222222222224</v>
      </c>
      <c r="M359" s="16">
        <v>200.93222222222224</v>
      </c>
    </row>
    <row r="360" spans="1:13" s="5" customFormat="1" x14ac:dyDescent="0.25">
      <c r="A360" s="12" t="s">
        <v>733</v>
      </c>
      <c r="B360" s="13" t="s">
        <v>734</v>
      </c>
      <c r="C360" s="14">
        <v>45678</v>
      </c>
      <c r="D360" s="13">
        <v>2025</v>
      </c>
      <c r="E360" s="13" t="s">
        <v>3347</v>
      </c>
      <c r="F360" s="13" t="s">
        <v>25</v>
      </c>
      <c r="G360" s="15">
        <v>1038.7</v>
      </c>
      <c r="H360" s="15">
        <v>1038.7</v>
      </c>
      <c r="I360" s="13">
        <v>1</v>
      </c>
      <c r="J360" s="13">
        <v>1</v>
      </c>
      <c r="K360" s="13" t="s">
        <v>3346</v>
      </c>
      <c r="L360" s="15">
        <v>1038.7</v>
      </c>
      <c r="M360" s="16">
        <v>1038.7</v>
      </c>
    </row>
    <row r="361" spans="1:13" s="5" customFormat="1" x14ac:dyDescent="0.25">
      <c r="A361" s="12" t="s">
        <v>735</v>
      </c>
      <c r="B361" s="13" t="s">
        <v>736</v>
      </c>
      <c r="C361" s="14">
        <v>45267</v>
      </c>
      <c r="D361" s="13">
        <v>2023</v>
      </c>
      <c r="E361" s="13" t="s">
        <v>14</v>
      </c>
      <c r="F361" s="13" t="s">
        <v>22</v>
      </c>
      <c r="G361" s="15">
        <v>1167.0899999999999</v>
      </c>
      <c r="H361" s="15">
        <v>1167.0899999999999</v>
      </c>
      <c r="I361" s="13">
        <v>6</v>
      </c>
      <c r="J361" s="13">
        <v>6</v>
      </c>
      <c r="K361" s="13" t="s">
        <v>35</v>
      </c>
      <c r="L361" s="15">
        <v>194.51499999999999</v>
      </c>
      <c r="M361" s="16">
        <v>194.51499999999999</v>
      </c>
    </row>
    <row r="362" spans="1:13" s="5" customFormat="1" x14ac:dyDescent="0.25">
      <c r="A362" s="12" t="s">
        <v>737</v>
      </c>
      <c r="B362" s="13" t="s">
        <v>738</v>
      </c>
      <c r="C362" s="14">
        <v>45039</v>
      </c>
      <c r="D362" s="13">
        <v>2023</v>
      </c>
      <c r="E362" s="13" t="s">
        <v>3347</v>
      </c>
      <c r="F362" s="13" t="s">
        <v>11</v>
      </c>
      <c r="G362" s="15">
        <v>1524.8</v>
      </c>
      <c r="H362" s="15">
        <v>1524.8</v>
      </c>
      <c r="I362" s="13">
        <v>8</v>
      </c>
      <c r="J362" s="13">
        <v>8</v>
      </c>
      <c r="K362" s="13" t="s">
        <v>3346</v>
      </c>
      <c r="L362" s="15">
        <v>190.6</v>
      </c>
      <c r="M362" s="16">
        <v>190.6</v>
      </c>
    </row>
    <row r="363" spans="1:13" s="5" customFormat="1" x14ac:dyDescent="0.25">
      <c r="A363" s="12" t="s">
        <v>739</v>
      </c>
      <c r="B363" s="13" t="s">
        <v>740</v>
      </c>
      <c r="C363" s="14">
        <v>44997</v>
      </c>
      <c r="D363" s="13">
        <v>2023</v>
      </c>
      <c r="E363" s="13" t="s">
        <v>21</v>
      </c>
      <c r="F363" s="13" t="s">
        <v>11</v>
      </c>
      <c r="G363" s="15">
        <v>1740.04</v>
      </c>
      <c r="H363" s="15">
        <v>1740.04</v>
      </c>
      <c r="I363" s="13">
        <v>8</v>
      </c>
      <c r="J363" s="13">
        <v>8</v>
      </c>
      <c r="K363" s="13" t="s">
        <v>35</v>
      </c>
      <c r="L363" s="15">
        <v>217.505</v>
      </c>
      <c r="M363" s="16">
        <v>217.505</v>
      </c>
    </row>
    <row r="364" spans="1:13" s="5" customFormat="1" x14ac:dyDescent="0.25">
      <c r="A364" s="12" t="s">
        <v>741</v>
      </c>
      <c r="B364" s="13" t="s">
        <v>742</v>
      </c>
      <c r="C364" s="14">
        <v>45077</v>
      </c>
      <c r="D364" s="13">
        <v>2023</v>
      </c>
      <c r="E364" s="13" t="s">
        <v>14</v>
      </c>
      <c r="F364" s="13" t="s">
        <v>34</v>
      </c>
      <c r="G364" s="15">
        <v>36.67</v>
      </c>
      <c r="H364" s="15">
        <v>36.67</v>
      </c>
      <c r="I364" s="13">
        <v>8</v>
      </c>
      <c r="J364" s="13">
        <v>8</v>
      </c>
      <c r="K364" s="13" t="s">
        <v>3348</v>
      </c>
      <c r="L364" s="15">
        <v>4.5837500000000002</v>
      </c>
      <c r="M364" s="16">
        <v>4.5837500000000002</v>
      </c>
    </row>
    <row r="365" spans="1:13" s="5" customFormat="1" x14ac:dyDescent="0.25">
      <c r="A365" s="12" t="s">
        <v>743</v>
      </c>
      <c r="B365" s="13" t="s">
        <v>121</v>
      </c>
      <c r="C365" s="14">
        <v>45797</v>
      </c>
      <c r="D365" s="13">
        <v>2025</v>
      </c>
      <c r="E365" s="13" t="s">
        <v>21</v>
      </c>
      <c r="F365" s="13" t="s">
        <v>22</v>
      </c>
      <c r="G365" s="15">
        <v>753.95</v>
      </c>
      <c r="H365" s="15">
        <v>753.95</v>
      </c>
      <c r="I365" s="13">
        <v>6</v>
      </c>
      <c r="J365" s="13">
        <v>6</v>
      </c>
      <c r="K365" s="13" t="s">
        <v>18</v>
      </c>
      <c r="L365" s="15">
        <v>125.65833333333335</v>
      </c>
      <c r="M365" s="16">
        <v>125.65833333333335</v>
      </c>
    </row>
    <row r="366" spans="1:13" s="5" customFormat="1" x14ac:dyDescent="0.25">
      <c r="A366" s="12" t="s">
        <v>744</v>
      </c>
      <c r="B366" s="13" t="s">
        <v>745</v>
      </c>
      <c r="C366" s="14">
        <v>45794</v>
      </c>
      <c r="D366" s="13">
        <v>2025</v>
      </c>
      <c r="E366" s="13" t="s">
        <v>3347</v>
      </c>
      <c r="F366" s="13" t="s">
        <v>11</v>
      </c>
      <c r="G366" s="15">
        <v>1991.57</v>
      </c>
      <c r="H366" s="15">
        <v>1991.57</v>
      </c>
      <c r="I366" s="13">
        <v>4</v>
      </c>
      <c r="J366" s="13">
        <v>4</v>
      </c>
      <c r="K366" s="13" t="s">
        <v>18</v>
      </c>
      <c r="L366" s="15">
        <v>497.89249999999998</v>
      </c>
      <c r="M366" s="16">
        <v>497.89249999999998</v>
      </c>
    </row>
    <row r="367" spans="1:13" s="5" customFormat="1" x14ac:dyDescent="0.25">
      <c r="A367" s="12" t="s">
        <v>746</v>
      </c>
      <c r="B367" s="13" t="s">
        <v>747</v>
      </c>
      <c r="C367" s="14">
        <v>44951</v>
      </c>
      <c r="D367" s="13">
        <v>2023</v>
      </c>
      <c r="E367" s="13" t="s">
        <v>3347</v>
      </c>
      <c r="F367" s="13" t="s">
        <v>25</v>
      </c>
      <c r="G367" s="15">
        <v>749.1825</v>
      </c>
      <c r="H367" s="15">
        <v>749.1825</v>
      </c>
      <c r="I367" s="13">
        <v>3</v>
      </c>
      <c r="J367" s="13">
        <v>3</v>
      </c>
      <c r="K367" s="13" t="s">
        <v>3348</v>
      </c>
      <c r="L367" s="15">
        <v>249.72749999999999</v>
      </c>
      <c r="M367" s="16">
        <v>249.72749999999999</v>
      </c>
    </row>
    <row r="368" spans="1:13" s="5" customFormat="1" x14ac:dyDescent="0.25">
      <c r="A368" s="12" t="s">
        <v>748</v>
      </c>
      <c r="B368" s="13" t="s">
        <v>749</v>
      </c>
      <c r="C368" s="14">
        <v>45243</v>
      </c>
      <c r="D368" s="13">
        <v>2023</v>
      </c>
      <c r="E368" s="13" t="s">
        <v>10</v>
      </c>
      <c r="F368" s="13" t="s">
        <v>22</v>
      </c>
      <c r="G368" s="15">
        <v>1373.02</v>
      </c>
      <c r="H368" s="15">
        <v>1373.02</v>
      </c>
      <c r="I368" s="13">
        <v>5</v>
      </c>
      <c r="J368" s="13">
        <v>5</v>
      </c>
      <c r="K368" s="13" t="s">
        <v>3348</v>
      </c>
      <c r="L368" s="15">
        <v>274.60399999999998</v>
      </c>
      <c r="M368" s="16">
        <v>274.60399999999998</v>
      </c>
    </row>
    <row r="369" spans="1:13" s="5" customFormat="1" x14ac:dyDescent="0.25">
      <c r="A369" s="12" t="s">
        <v>750</v>
      </c>
      <c r="B369" s="13" t="s">
        <v>544</v>
      </c>
      <c r="C369" s="14">
        <v>45356</v>
      </c>
      <c r="D369" s="13">
        <v>2024</v>
      </c>
      <c r="E369" s="13" t="s">
        <v>21</v>
      </c>
      <c r="F369" s="13" t="s">
        <v>22</v>
      </c>
      <c r="G369" s="15">
        <v>451.81</v>
      </c>
      <c r="H369" s="15">
        <v>451.81</v>
      </c>
      <c r="I369" s="13">
        <v>6</v>
      </c>
      <c r="J369" s="13">
        <v>6</v>
      </c>
      <c r="K369" s="13" t="s">
        <v>15</v>
      </c>
      <c r="L369" s="15">
        <v>75.301666666666662</v>
      </c>
      <c r="M369" s="16">
        <v>75.301666666666662</v>
      </c>
    </row>
    <row r="370" spans="1:13" s="5" customFormat="1" x14ac:dyDescent="0.25">
      <c r="A370" s="12" t="s">
        <v>751</v>
      </c>
      <c r="B370" s="13" t="s">
        <v>752</v>
      </c>
      <c r="C370" s="14">
        <v>45913</v>
      </c>
      <c r="D370" s="13">
        <v>2025</v>
      </c>
      <c r="E370" s="13" t="s">
        <v>14</v>
      </c>
      <c r="F370" s="13" t="s">
        <v>22</v>
      </c>
      <c r="G370" s="15">
        <v>643.03</v>
      </c>
      <c r="H370" s="15">
        <v>643.03</v>
      </c>
      <c r="I370" s="13">
        <v>3</v>
      </c>
      <c r="J370" s="13">
        <v>3</v>
      </c>
      <c r="K370" s="13" t="s">
        <v>35</v>
      </c>
      <c r="L370" s="15">
        <v>214.34333333333333</v>
      </c>
      <c r="M370" s="16">
        <v>214.34333333333333</v>
      </c>
    </row>
    <row r="371" spans="1:13" s="5" customFormat="1" x14ac:dyDescent="0.25">
      <c r="A371" s="12" t="s">
        <v>753</v>
      </c>
      <c r="B371" s="13" t="s">
        <v>712</v>
      </c>
      <c r="C371" s="14">
        <v>45251</v>
      </c>
      <c r="D371" s="13">
        <v>2023</v>
      </c>
      <c r="E371" s="13" t="s">
        <v>10</v>
      </c>
      <c r="F371" s="13" t="s">
        <v>25</v>
      </c>
      <c r="G371" s="15">
        <v>1003.8087857142857</v>
      </c>
      <c r="H371" s="15">
        <v>1003.8087857142857</v>
      </c>
      <c r="I371" s="13">
        <v>3</v>
      </c>
      <c r="J371" s="13">
        <v>3</v>
      </c>
      <c r="K371" s="13" t="s">
        <v>3348</v>
      </c>
      <c r="L371" s="15">
        <v>334.60292857142855</v>
      </c>
      <c r="M371" s="16">
        <v>334.60292857142855</v>
      </c>
    </row>
    <row r="372" spans="1:13" s="5" customFormat="1" x14ac:dyDescent="0.25">
      <c r="A372" s="12" t="s">
        <v>754</v>
      </c>
      <c r="B372" s="13" t="s">
        <v>755</v>
      </c>
      <c r="C372" s="14">
        <v>45730</v>
      </c>
      <c r="D372" s="13">
        <v>2025</v>
      </c>
      <c r="E372" s="13" t="s">
        <v>10</v>
      </c>
      <c r="F372" s="13" t="s">
        <v>11</v>
      </c>
      <c r="G372" s="15">
        <v>704.29</v>
      </c>
      <c r="H372" s="15">
        <v>704.29</v>
      </c>
      <c r="I372" s="13">
        <v>5</v>
      </c>
      <c r="J372" s="13">
        <v>5</v>
      </c>
      <c r="K372" s="13" t="s">
        <v>3346</v>
      </c>
      <c r="L372" s="15">
        <v>140.858</v>
      </c>
      <c r="M372" s="16">
        <v>140.858</v>
      </c>
    </row>
    <row r="373" spans="1:13" s="5" customFormat="1" x14ac:dyDescent="0.25">
      <c r="A373" s="12" t="s">
        <v>756</v>
      </c>
      <c r="B373" s="13" t="s">
        <v>757</v>
      </c>
      <c r="C373" s="14">
        <v>45031</v>
      </c>
      <c r="D373" s="13">
        <v>2023</v>
      </c>
      <c r="E373" s="13" t="s">
        <v>10</v>
      </c>
      <c r="F373" s="13" t="s">
        <v>34</v>
      </c>
      <c r="G373" s="15">
        <v>2052.8570666666669</v>
      </c>
      <c r="H373" s="15">
        <v>2052.8570666666669</v>
      </c>
      <c r="I373" s="13">
        <v>8</v>
      </c>
      <c r="J373" s="13">
        <v>8</v>
      </c>
      <c r="K373" s="13" t="s">
        <v>3346</v>
      </c>
      <c r="L373" s="15">
        <v>256.60713333333337</v>
      </c>
      <c r="M373" s="16">
        <v>256.60713333333337</v>
      </c>
    </row>
    <row r="374" spans="1:13" s="5" customFormat="1" x14ac:dyDescent="0.25">
      <c r="A374" s="12" t="s">
        <v>758</v>
      </c>
      <c r="B374" s="13" t="s">
        <v>233</v>
      </c>
      <c r="C374" s="14">
        <v>45165</v>
      </c>
      <c r="D374" s="13">
        <v>2023</v>
      </c>
      <c r="E374" s="13" t="s">
        <v>21</v>
      </c>
      <c r="F374" s="13" t="s">
        <v>22</v>
      </c>
      <c r="G374" s="15">
        <v>1667.59</v>
      </c>
      <c r="H374" s="15">
        <v>1667.59</v>
      </c>
      <c r="I374" s="13">
        <v>7</v>
      </c>
      <c r="J374" s="13">
        <v>7</v>
      </c>
      <c r="K374" s="13" t="s">
        <v>35</v>
      </c>
      <c r="L374" s="15">
        <v>238.22714285714284</v>
      </c>
      <c r="M374" s="16">
        <v>238.22714285714284</v>
      </c>
    </row>
    <row r="375" spans="1:13" s="5" customFormat="1" x14ac:dyDescent="0.25">
      <c r="A375" s="12" t="s">
        <v>759</v>
      </c>
      <c r="B375" s="13" t="s">
        <v>760</v>
      </c>
      <c r="C375" s="14">
        <v>45776</v>
      </c>
      <c r="D375" s="13">
        <v>2025</v>
      </c>
      <c r="E375" s="13" t="s">
        <v>3347</v>
      </c>
      <c r="F375" s="13" t="s">
        <v>11</v>
      </c>
      <c r="G375" s="15">
        <v>1343.45</v>
      </c>
      <c r="H375" s="15">
        <v>1343.45</v>
      </c>
      <c r="I375" s="13">
        <v>6</v>
      </c>
      <c r="J375" s="13">
        <v>6</v>
      </c>
      <c r="K375" s="13" t="s">
        <v>35</v>
      </c>
      <c r="L375" s="15">
        <v>223.90833333333333</v>
      </c>
      <c r="M375" s="16">
        <v>223.90833333333333</v>
      </c>
    </row>
    <row r="376" spans="1:13" s="5" customFormat="1" x14ac:dyDescent="0.25">
      <c r="A376" s="12" t="s">
        <v>761</v>
      </c>
      <c r="B376" s="13" t="s">
        <v>762</v>
      </c>
      <c r="C376" s="14">
        <v>45431</v>
      </c>
      <c r="D376" s="13">
        <v>2024</v>
      </c>
      <c r="E376" s="13" t="s">
        <v>14</v>
      </c>
      <c r="F376" s="13" t="s">
        <v>34</v>
      </c>
      <c r="G376" s="15">
        <v>1189.8399999999999</v>
      </c>
      <c r="H376" s="15">
        <v>1189.8399999999999</v>
      </c>
      <c r="I376" s="13">
        <v>5</v>
      </c>
      <c r="J376" s="13">
        <v>5</v>
      </c>
      <c r="K376" s="13" t="s">
        <v>18</v>
      </c>
      <c r="L376" s="15">
        <v>237.96799999999999</v>
      </c>
      <c r="M376" s="16">
        <v>237.96799999999999</v>
      </c>
    </row>
    <row r="377" spans="1:13" s="5" customFormat="1" x14ac:dyDescent="0.25">
      <c r="A377" s="12" t="s">
        <v>763</v>
      </c>
      <c r="B377" s="13" t="s">
        <v>764</v>
      </c>
      <c r="C377" s="14">
        <v>45922</v>
      </c>
      <c r="D377" s="13">
        <v>2025</v>
      </c>
      <c r="E377" s="13" t="s">
        <v>14</v>
      </c>
      <c r="F377" s="13" t="s">
        <v>11</v>
      </c>
      <c r="G377" s="15">
        <v>836.28</v>
      </c>
      <c r="H377" s="15">
        <v>836.28</v>
      </c>
      <c r="I377" s="13">
        <v>3</v>
      </c>
      <c r="J377" s="13">
        <v>3</v>
      </c>
      <c r="K377" s="13" t="s">
        <v>3346</v>
      </c>
      <c r="L377" s="15">
        <v>278.76</v>
      </c>
      <c r="M377" s="16">
        <v>278.76</v>
      </c>
    </row>
    <row r="378" spans="1:13" s="5" customFormat="1" x14ac:dyDescent="0.25">
      <c r="A378" s="12" t="s">
        <v>765</v>
      </c>
      <c r="B378" s="13" t="s">
        <v>556</v>
      </c>
      <c r="C378" s="14">
        <v>45516</v>
      </c>
      <c r="D378" s="13">
        <v>2024</v>
      </c>
      <c r="E378" s="13" t="s">
        <v>3347</v>
      </c>
      <c r="F378" s="13" t="s">
        <v>25</v>
      </c>
      <c r="G378" s="15">
        <v>1864.12</v>
      </c>
      <c r="H378" s="15">
        <v>1864.12</v>
      </c>
      <c r="I378" s="13">
        <v>3</v>
      </c>
      <c r="J378" s="13">
        <v>3</v>
      </c>
      <c r="K378" s="13" t="s">
        <v>35</v>
      </c>
      <c r="L378" s="15">
        <v>621.37333333333333</v>
      </c>
      <c r="M378" s="16">
        <v>621.37333333333333</v>
      </c>
    </row>
    <row r="379" spans="1:13" s="5" customFormat="1" x14ac:dyDescent="0.25">
      <c r="A379" s="12" t="s">
        <v>766</v>
      </c>
      <c r="B379" s="13" t="s">
        <v>767</v>
      </c>
      <c r="C379" s="14">
        <v>44998</v>
      </c>
      <c r="D379" s="13">
        <v>2023</v>
      </c>
      <c r="E379" s="13" t="s">
        <v>3347</v>
      </c>
      <c r="F379" s="13" t="s">
        <v>11</v>
      </c>
      <c r="G379" s="15">
        <v>1002.96</v>
      </c>
      <c r="H379" s="15">
        <v>1002.96</v>
      </c>
      <c r="I379" s="13">
        <v>6</v>
      </c>
      <c r="J379" s="13">
        <v>6</v>
      </c>
      <c r="K379" s="13" t="s">
        <v>3346</v>
      </c>
      <c r="L379" s="15">
        <v>167.16</v>
      </c>
      <c r="M379" s="16">
        <v>167.16</v>
      </c>
    </row>
    <row r="380" spans="1:13" s="5" customFormat="1" x14ac:dyDescent="0.25">
      <c r="A380" s="12" t="s">
        <v>768</v>
      </c>
      <c r="B380" s="13" t="s">
        <v>769</v>
      </c>
      <c r="C380" s="14">
        <v>45579</v>
      </c>
      <c r="D380" s="13">
        <v>2024</v>
      </c>
      <c r="E380" s="13" t="s">
        <v>10</v>
      </c>
      <c r="F380" s="13" t="s">
        <v>11</v>
      </c>
      <c r="G380" s="15">
        <v>1675.5740555555556</v>
      </c>
      <c r="H380" s="15">
        <v>1675.5740555555556</v>
      </c>
      <c r="I380" s="13">
        <v>7</v>
      </c>
      <c r="J380" s="13">
        <v>7</v>
      </c>
      <c r="K380" s="13" t="s">
        <v>3346</v>
      </c>
      <c r="L380" s="15">
        <v>239.36772222222223</v>
      </c>
      <c r="M380" s="16">
        <v>239.36772222222223</v>
      </c>
    </row>
    <row r="381" spans="1:13" s="5" customFormat="1" x14ac:dyDescent="0.25">
      <c r="A381" s="12" t="s">
        <v>770</v>
      </c>
      <c r="B381" s="13" t="s">
        <v>771</v>
      </c>
      <c r="C381" s="14">
        <v>45616</v>
      </c>
      <c r="D381" s="13">
        <v>2024</v>
      </c>
      <c r="E381" s="13" t="s">
        <v>21</v>
      </c>
      <c r="F381" s="13" t="s">
        <v>22</v>
      </c>
      <c r="G381" s="15">
        <v>1082.96</v>
      </c>
      <c r="H381" s="15">
        <v>1082.96</v>
      </c>
      <c r="I381" s="13">
        <v>4</v>
      </c>
      <c r="J381" s="13">
        <v>4</v>
      </c>
      <c r="K381" s="13" t="s">
        <v>35</v>
      </c>
      <c r="L381" s="15">
        <v>270.74</v>
      </c>
      <c r="M381" s="16">
        <v>270.74</v>
      </c>
    </row>
    <row r="382" spans="1:13" s="5" customFormat="1" x14ac:dyDescent="0.25">
      <c r="A382" s="12" t="s">
        <v>772</v>
      </c>
      <c r="B382" s="13" t="s">
        <v>773</v>
      </c>
      <c r="C382" s="14">
        <v>45224</v>
      </c>
      <c r="D382" s="13">
        <v>2023</v>
      </c>
      <c r="E382" s="13" t="s">
        <v>14</v>
      </c>
      <c r="F382" s="13" t="s">
        <v>34</v>
      </c>
      <c r="G382" s="15">
        <v>200.14</v>
      </c>
      <c r="H382" s="15">
        <v>200.14</v>
      </c>
      <c r="I382" s="13">
        <v>2</v>
      </c>
      <c r="J382" s="13">
        <v>2</v>
      </c>
      <c r="K382" s="13" t="s">
        <v>15</v>
      </c>
      <c r="L382" s="15">
        <v>100.07</v>
      </c>
      <c r="M382" s="16">
        <v>100.07</v>
      </c>
    </row>
    <row r="383" spans="1:13" s="5" customFormat="1" x14ac:dyDescent="0.25">
      <c r="A383" s="12" t="s">
        <v>774</v>
      </c>
      <c r="B383" s="13" t="s">
        <v>775</v>
      </c>
      <c r="C383" s="14">
        <v>45794</v>
      </c>
      <c r="D383" s="13">
        <v>2025</v>
      </c>
      <c r="E383" s="13" t="s">
        <v>21</v>
      </c>
      <c r="F383" s="13" t="s">
        <v>22</v>
      </c>
      <c r="G383" s="15">
        <v>357.78</v>
      </c>
      <c r="H383" s="15">
        <v>357.78</v>
      </c>
      <c r="I383" s="13">
        <v>3</v>
      </c>
      <c r="J383" s="13">
        <v>3</v>
      </c>
      <c r="K383" s="13" t="s">
        <v>15</v>
      </c>
      <c r="L383" s="15">
        <v>119.25999999999999</v>
      </c>
      <c r="M383" s="16">
        <v>119.25999999999999</v>
      </c>
    </row>
    <row r="384" spans="1:13" s="5" customFormat="1" x14ac:dyDescent="0.25">
      <c r="A384" s="12" t="s">
        <v>776</v>
      </c>
      <c r="B384" s="13" t="s">
        <v>777</v>
      </c>
      <c r="C384" s="14">
        <v>44920</v>
      </c>
      <c r="D384" s="13">
        <v>2022</v>
      </c>
      <c r="E384" s="13" t="s">
        <v>10</v>
      </c>
      <c r="F384" s="13" t="s">
        <v>25</v>
      </c>
      <c r="G384" s="15">
        <v>21.37</v>
      </c>
      <c r="H384" s="15">
        <v>21.37</v>
      </c>
      <c r="I384" s="13">
        <v>10</v>
      </c>
      <c r="J384" s="13">
        <v>10</v>
      </c>
      <c r="K384" s="13" t="s">
        <v>3348</v>
      </c>
      <c r="L384" s="15">
        <v>2.137</v>
      </c>
      <c r="M384" s="16">
        <v>2.137</v>
      </c>
    </row>
    <row r="385" spans="1:13" s="5" customFormat="1" x14ac:dyDescent="0.25">
      <c r="A385" s="12" t="s">
        <v>778</v>
      </c>
      <c r="B385" s="13" t="s">
        <v>779</v>
      </c>
      <c r="C385" s="14">
        <v>45222</v>
      </c>
      <c r="D385" s="13">
        <v>2023</v>
      </c>
      <c r="E385" s="13" t="s">
        <v>10</v>
      </c>
      <c r="F385" s="13" t="s">
        <v>11</v>
      </c>
      <c r="G385" s="15">
        <v>1553.76</v>
      </c>
      <c r="H385" s="15">
        <v>1553.76</v>
      </c>
      <c r="I385" s="13">
        <v>3</v>
      </c>
      <c r="J385" s="13">
        <v>3</v>
      </c>
      <c r="K385" s="13" t="s">
        <v>35</v>
      </c>
      <c r="L385" s="15">
        <v>517.91999999999996</v>
      </c>
      <c r="M385" s="16">
        <v>582.61855555555553</v>
      </c>
    </row>
    <row r="386" spans="1:13" s="5" customFormat="1" x14ac:dyDescent="0.25">
      <c r="A386" s="12" t="s">
        <v>780</v>
      </c>
      <c r="B386" s="13" t="s">
        <v>781</v>
      </c>
      <c r="C386" s="14">
        <v>45117</v>
      </c>
      <c r="D386" s="13">
        <v>2023</v>
      </c>
      <c r="E386" s="13" t="s">
        <v>21</v>
      </c>
      <c r="F386" s="13" t="s">
        <v>25</v>
      </c>
      <c r="G386" s="15">
        <v>1682.24</v>
      </c>
      <c r="H386" s="15">
        <v>1682.24</v>
      </c>
      <c r="I386" s="13">
        <v>9</v>
      </c>
      <c r="J386" s="13">
        <v>9</v>
      </c>
      <c r="K386" s="13" t="s">
        <v>3346</v>
      </c>
      <c r="L386" s="15">
        <v>186.91555555555556</v>
      </c>
      <c r="M386" s="16">
        <v>186.91555555555556</v>
      </c>
    </row>
    <row r="387" spans="1:13" s="5" customFormat="1" x14ac:dyDescent="0.25">
      <c r="A387" s="12" t="s">
        <v>782</v>
      </c>
      <c r="B387" s="13" t="s">
        <v>783</v>
      </c>
      <c r="C387" s="14">
        <v>45815</v>
      </c>
      <c r="D387" s="13">
        <v>2025</v>
      </c>
      <c r="E387" s="13" t="s">
        <v>10</v>
      </c>
      <c r="F387" s="13" t="s">
        <v>34</v>
      </c>
      <c r="G387" s="15">
        <v>1207.74</v>
      </c>
      <c r="H387" s="15">
        <v>1207.74</v>
      </c>
      <c r="I387" s="13">
        <v>5</v>
      </c>
      <c r="J387" s="13">
        <v>5</v>
      </c>
      <c r="K387" s="13" t="s">
        <v>3346</v>
      </c>
      <c r="L387" s="15">
        <v>241.548</v>
      </c>
      <c r="M387" s="16">
        <v>241.548</v>
      </c>
    </row>
    <row r="388" spans="1:13" s="5" customFormat="1" x14ac:dyDescent="0.25">
      <c r="A388" s="12" t="s">
        <v>784</v>
      </c>
      <c r="B388" s="13" t="s">
        <v>785</v>
      </c>
      <c r="C388" s="14">
        <v>45106</v>
      </c>
      <c r="D388" s="13">
        <v>2023</v>
      </c>
      <c r="E388" s="13" t="s">
        <v>21</v>
      </c>
      <c r="F388" s="13" t="s">
        <v>11</v>
      </c>
      <c r="G388" s="15">
        <v>1647.77</v>
      </c>
      <c r="H388" s="15">
        <v>1647.77</v>
      </c>
      <c r="I388" s="13">
        <v>10</v>
      </c>
      <c r="J388" s="13">
        <v>10</v>
      </c>
      <c r="K388" s="13" t="s">
        <v>3348</v>
      </c>
      <c r="L388" s="15">
        <v>164.77699999999999</v>
      </c>
      <c r="M388" s="16">
        <v>164.77699999999999</v>
      </c>
    </row>
    <row r="389" spans="1:13" s="5" customFormat="1" x14ac:dyDescent="0.25">
      <c r="A389" s="12" t="s">
        <v>786</v>
      </c>
      <c r="B389" s="13" t="s">
        <v>787</v>
      </c>
      <c r="C389" s="14">
        <v>45055</v>
      </c>
      <c r="D389" s="13">
        <v>2023</v>
      </c>
      <c r="E389" s="13" t="s">
        <v>21</v>
      </c>
      <c r="F389" s="13" t="s">
        <v>22</v>
      </c>
      <c r="G389" s="15">
        <v>1059.8273061224488</v>
      </c>
      <c r="H389" s="15">
        <v>1059.8273061224488</v>
      </c>
      <c r="I389" s="13">
        <v>8</v>
      </c>
      <c r="J389" s="13">
        <v>8</v>
      </c>
      <c r="K389" s="13" t="s">
        <v>35</v>
      </c>
      <c r="L389" s="15">
        <v>132.4784132653061</v>
      </c>
      <c r="M389" s="16">
        <v>132.4784132653061</v>
      </c>
    </row>
    <row r="390" spans="1:13" s="5" customFormat="1" x14ac:dyDescent="0.25">
      <c r="A390" s="12" t="s">
        <v>788</v>
      </c>
      <c r="B390" s="13" t="s">
        <v>789</v>
      </c>
      <c r="C390" s="14">
        <v>45519</v>
      </c>
      <c r="D390" s="13">
        <v>2024</v>
      </c>
      <c r="E390" s="13" t="s">
        <v>3347</v>
      </c>
      <c r="F390" s="13" t="s">
        <v>34</v>
      </c>
      <c r="G390" s="15">
        <v>10.94</v>
      </c>
      <c r="H390" s="15">
        <v>10.94</v>
      </c>
      <c r="I390" s="13">
        <v>10</v>
      </c>
      <c r="J390" s="13">
        <v>10</v>
      </c>
      <c r="K390" s="13" t="s">
        <v>15</v>
      </c>
      <c r="L390" s="15">
        <v>1.0939999999999999</v>
      </c>
      <c r="M390" s="16">
        <v>1.0939999999999999</v>
      </c>
    </row>
    <row r="391" spans="1:13" s="5" customFormat="1" x14ac:dyDescent="0.25">
      <c r="A391" s="12" t="s">
        <v>790</v>
      </c>
      <c r="B391" s="13" t="s">
        <v>791</v>
      </c>
      <c r="C391" s="14">
        <v>45923</v>
      </c>
      <c r="D391" s="13">
        <v>2025</v>
      </c>
      <c r="E391" s="13" t="s">
        <v>10</v>
      </c>
      <c r="F391" s="13" t="s">
        <v>22</v>
      </c>
      <c r="G391" s="15">
        <v>1449.53</v>
      </c>
      <c r="H391" s="15">
        <v>1449.53</v>
      </c>
      <c r="I391" s="13">
        <v>8</v>
      </c>
      <c r="J391" s="13">
        <v>8</v>
      </c>
      <c r="K391" s="13" t="s">
        <v>3346</v>
      </c>
      <c r="L391" s="15">
        <v>181.19125</v>
      </c>
      <c r="M391" s="16">
        <v>181.19125</v>
      </c>
    </row>
    <row r="392" spans="1:13" s="5" customFormat="1" x14ac:dyDescent="0.25">
      <c r="A392" s="12" t="s">
        <v>792</v>
      </c>
      <c r="B392" s="13" t="s">
        <v>793</v>
      </c>
      <c r="C392" s="14">
        <v>45324</v>
      </c>
      <c r="D392" s="13">
        <v>2024</v>
      </c>
      <c r="E392" s="13" t="s">
        <v>3347</v>
      </c>
      <c r="F392" s="13" t="s">
        <v>11</v>
      </c>
      <c r="G392" s="15">
        <v>191.13</v>
      </c>
      <c r="H392" s="15">
        <v>191.13</v>
      </c>
      <c r="I392" s="13">
        <v>3</v>
      </c>
      <c r="J392" s="13">
        <v>3</v>
      </c>
      <c r="K392" s="13" t="s">
        <v>18</v>
      </c>
      <c r="L392" s="15">
        <v>63.71</v>
      </c>
      <c r="M392" s="16">
        <v>63.71</v>
      </c>
    </row>
    <row r="393" spans="1:13" s="5" customFormat="1" x14ac:dyDescent="0.25">
      <c r="A393" s="12" t="s">
        <v>794</v>
      </c>
      <c r="B393" s="13" t="s">
        <v>795</v>
      </c>
      <c r="C393" s="14">
        <v>44970</v>
      </c>
      <c r="D393" s="13">
        <v>2023</v>
      </c>
      <c r="E393" s="13" t="s">
        <v>3347</v>
      </c>
      <c r="F393" s="13" t="s">
        <v>34</v>
      </c>
      <c r="G393" s="15">
        <v>556.51628306878308</v>
      </c>
      <c r="H393" s="15">
        <v>556.51628306878308</v>
      </c>
      <c r="I393" s="13">
        <v>2</v>
      </c>
      <c r="J393" s="13">
        <v>2</v>
      </c>
      <c r="K393" s="13" t="s">
        <v>15</v>
      </c>
      <c r="L393" s="15">
        <v>278.25814153439154</v>
      </c>
      <c r="M393" s="16">
        <v>278.25814153439154</v>
      </c>
    </row>
    <row r="394" spans="1:13" s="5" customFormat="1" x14ac:dyDescent="0.25">
      <c r="A394" s="12" t="s">
        <v>796</v>
      </c>
      <c r="B394" s="13" t="s">
        <v>797</v>
      </c>
      <c r="C394" s="14">
        <v>45725</v>
      </c>
      <c r="D394" s="13">
        <v>2025</v>
      </c>
      <c r="E394" s="13" t="s">
        <v>21</v>
      </c>
      <c r="F394" s="13" t="s">
        <v>34</v>
      </c>
      <c r="G394" s="15">
        <v>1716.53</v>
      </c>
      <c r="H394" s="15">
        <v>1716.53</v>
      </c>
      <c r="I394" s="13">
        <v>3</v>
      </c>
      <c r="J394" s="13">
        <v>3</v>
      </c>
      <c r="K394" s="13" t="s">
        <v>35</v>
      </c>
      <c r="L394" s="15">
        <v>572.17666666666662</v>
      </c>
      <c r="M394" s="16">
        <v>572.17666666666662</v>
      </c>
    </row>
    <row r="395" spans="1:13" s="5" customFormat="1" x14ac:dyDescent="0.25">
      <c r="A395" s="12" t="s">
        <v>798</v>
      </c>
      <c r="B395" s="13" t="s">
        <v>799</v>
      </c>
      <c r="C395" s="14">
        <v>45706</v>
      </c>
      <c r="D395" s="13">
        <v>2025</v>
      </c>
      <c r="E395" s="13" t="s">
        <v>21</v>
      </c>
      <c r="F395" s="13" t="s">
        <v>25</v>
      </c>
      <c r="G395" s="15">
        <v>1738.7</v>
      </c>
      <c r="H395" s="15">
        <v>1738.7</v>
      </c>
      <c r="I395" s="13">
        <v>3</v>
      </c>
      <c r="J395" s="13">
        <v>3</v>
      </c>
      <c r="K395" s="13" t="s">
        <v>3348</v>
      </c>
      <c r="L395" s="15">
        <v>579.56666666666672</v>
      </c>
      <c r="M395" s="16">
        <v>579.56666666666672</v>
      </c>
    </row>
    <row r="396" spans="1:13" s="5" customFormat="1" x14ac:dyDescent="0.25">
      <c r="A396" s="12" t="s">
        <v>800</v>
      </c>
      <c r="B396" s="13" t="s">
        <v>801</v>
      </c>
      <c r="C396" s="14">
        <v>44997</v>
      </c>
      <c r="D396" s="13">
        <v>2023</v>
      </c>
      <c r="E396" s="13" t="s">
        <v>14</v>
      </c>
      <c r="F396" s="13" t="s">
        <v>11</v>
      </c>
      <c r="G396" s="15">
        <v>1301.3399999999999</v>
      </c>
      <c r="H396" s="15">
        <v>1301.3399999999999</v>
      </c>
      <c r="I396" s="13">
        <v>3</v>
      </c>
      <c r="J396" s="13">
        <v>3</v>
      </c>
      <c r="K396" s="13" t="s">
        <v>18</v>
      </c>
      <c r="L396" s="15">
        <v>433.78</v>
      </c>
      <c r="M396" s="16">
        <v>433.78</v>
      </c>
    </row>
    <row r="397" spans="1:13" s="5" customFormat="1" x14ac:dyDescent="0.25">
      <c r="A397" s="12" t="s">
        <v>802</v>
      </c>
      <c r="B397" s="13" t="s">
        <v>500</v>
      </c>
      <c r="C397" s="14">
        <v>45636</v>
      </c>
      <c r="D397" s="13">
        <v>2024</v>
      </c>
      <c r="E397" s="13" t="s">
        <v>10</v>
      </c>
      <c r="F397" s="13" t="s">
        <v>34</v>
      </c>
      <c r="G397" s="15">
        <v>1542.46</v>
      </c>
      <c r="H397" s="15">
        <v>1542.46</v>
      </c>
      <c r="I397" s="13">
        <v>1</v>
      </c>
      <c r="J397" s="13">
        <v>1</v>
      </c>
      <c r="K397" s="13" t="s">
        <v>3346</v>
      </c>
      <c r="L397" s="15">
        <v>1542.46</v>
      </c>
      <c r="M397" s="16">
        <v>1542.46</v>
      </c>
    </row>
    <row r="398" spans="1:13" s="5" customFormat="1" x14ac:dyDescent="0.25">
      <c r="A398" s="12" t="s">
        <v>803</v>
      </c>
      <c r="B398" s="13" t="s">
        <v>804</v>
      </c>
      <c r="C398" s="14">
        <v>45771</v>
      </c>
      <c r="D398" s="13">
        <v>2025</v>
      </c>
      <c r="E398" s="13" t="s">
        <v>14</v>
      </c>
      <c r="F398" s="13" t="s">
        <v>22</v>
      </c>
      <c r="G398" s="15">
        <v>744.69906250000008</v>
      </c>
      <c r="H398" s="15">
        <v>744.69906250000008</v>
      </c>
      <c r="I398" s="13">
        <v>3</v>
      </c>
      <c r="J398" s="13">
        <v>3</v>
      </c>
      <c r="K398" s="13" t="s">
        <v>15</v>
      </c>
      <c r="L398" s="15">
        <v>248.23302083333337</v>
      </c>
      <c r="M398" s="16">
        <v>248.23302083333337</v>
      </c>
    </row>
    <row r="399" spans="1:13" s="5" customFormat="1" x14ac:dyDescent="0.25">
      <c r="A399" s="12" t="s">
        <v>805</v>
      </c>
      <c r="B399" s="13" t="s">
        <v>806</v>
      </c>
      <c r="C399" s="14">
        <v>45650</v>
      </c>
      <c r="D399" s="13">
        <v>2024</v>
      </c>
      <c r="E399" s="13" t="s">
        <v>14</v>
      </c>
      <c r="F399" s="13" t="s">
        <v>34</v>
      </c>
      <c r="G399" s="15">
        <v>201.42</v>
      </c>
      <c r="H399" s="15">
        <v>201.42</v>
      </c>
      <c r="I399" s="13">
        <v>8</v>
      </c>
      <c r="J399" s="13">
        <v>8</v>
      </c>
      <c r="K399" s="13" t="s">
        <v>35</v>
      </c>
      <c r="L399" s="15">
        <v>25.177499999999998</v>
      </c>
      <c r="M399" s="16">
        <v>25.177499999999998</v>
      </c>
    </row>
    <row r="400" spans="1:13" s="5" customFormat="1" x14ac:dyDescent="0.25">
      <c r="A400" s="12" t="s">
        <v>807</v>
      </c>
      <c r="B400" s="13" t="s">
        <v>808</v>
      </c>
      <c r="C400" s="14">
        <v>45916</v>
      </c>
      <c r="D400" s="13">
        <v>2025</v>
      </c>
      <c r="E400" s="13" t="s">
        <v>10</v>
      </c>
      <c r="F400" s="13" t="s">
        <v>22</v>
      </c>
      <c r="G400" s="15">
        <v>106.73</v>
      </c>
      <c r="H400" s="15">
        <v>106.73</v>
      </c>
      <c r="I400" s="13">
        <v>5</v>
      </c>
      <c r="J400" s="13">
        <v>5</v>
      </c>
      <c r="K400" s="13" t="s">
        <v>35</v>
      </c>
      <c r="L400" s="15">
        <v>21.346</v>
      </c>
      <c r="M400" s="16">
        <v>21.346</v>
      </c>
    </row>
    <row r="401" spans="1:13" s="5" customFormat="1" x14ac:dyDescent="0.25">
      <c r="A401" s="12" t="s">
        <v>809</v>
      </c>
      <c r="B401" s="13" t="s">
        <v>810</v>
      </c>
      <c r="C401" s="14">
        <v>45252</v>
      </c>
      <c r="D401" s="13">
        <v>2023</v>
      </c>
      <c r="E401" s="13" t="s">
        <v>10</v>
      </c>
      <c r="F401" s="13" t="s">
        <v>11</v>
      </c>
      <c r="G401" s="15">
        <v>853.63</v>
      </c>
      <c r="H401" s="15">
        <v>853.63</v>
      </c>
      <c r="I401" s="13">
        <v>6</v>
      </c>
      <c r="J401" s="13">
        <v>6</v>
      </c>
      <c r="K401" s="13" t="s">
        <v>15</v>
      </c>
      <c r="L401" s="15">
        <v>142.27166666666668</v>
      </c>
      <c r="M401" s="16">
        <v>142.27166666666668</v>
      </c>
    </row>
    <row r="402" spans="1:13" s="5" customFormat="1" x14ac:dyDescent="0.25">
      <c r="A402" s="12" t="s">
        <v>811</v>
      </c>
      <c r="B402" s="13" t="s">
        <v>812</v>
      </c>
      <c r="C402" s="14">
        <v>45249</v>
      </c>
      <c r="D402" s="13">
        <v>2023</v>
      </c>
      <c r="E402" s="13" t="s">
        <v>3347</v>
      </c>
      <c r="F402" s="13" t="s">
        <v>34</v>
      </c>
      <c r="G402" s="15">
        <v>80.64</v>
      </c>
      <c r="H402" s="15">
        <v>80.64</v>
      </c>
      <c r="I402" s="13">
        <v>3</v>
      </c>
      <c r="J402" s="13">
        <v>3</v>
      </c>
      <c r="K402" s="13" t="s">
        <v>15</v>
      </c>
      <c r="L402" s="15">
        <v>26.88</v>
      </c>
      <c r="M402" s="16">
        <v>26.88</v>
      </c>
    </row>
    <row r="403" spans="1:13" s="5" customFormat="1" x14ac:dyDescent="0.25">
      <c r="A403" s="12" t="s">
        <v>813</v>
      </c>
      <c r="B403" s="13" t="s">
        <v>814</v>
      </c>
      <c r="C403" s="14">
        <v>44996</v>
      </c>
      <c r="D403" s="13">
        <v>2023</v>
      </c>
      <c r="E403" s="13" t="s">
        <v>10</v>
      </c>
      <c r="F403" s="13" t="s">
        <v>11</v>
      </c>
      <c r="G403" s="15">
        <v>1250.77</v>
      </c>
      <c r="H403" s="15">
        <v>1250.77</v>
      </c>
      <c r="I403" s="13">
        <v>6</v>
      </c>
      <c r="J403" s="13">
        <v>6</v>
      </c>
      <c r="K403" s="13" t="s">
        <v>3346</v>
      </c>
      <c r="L403" s="15">
        <v>208.46166666666667</v>
      </c>
      <c r="M403" s="16">
        <v>208.46166666666667</v>
      </c>
    </row>
    <row r="404" spans="1:13" s="5" customFormat="1" x14ac:dyDescent="0.25">
      <c r="A404" s="12" t="s">
        <v>815</v>
      </c>
      <c r="B404" s="13" t="s">
        <v>816</v>
      </c>
      <c r="C404" s="14">
        <v>44874</v>
      </c>
      <c r="D404" s="13">
        <v>2022</v>
      </c>
      <c r="E404" s="13" t="s">
        <v>3347</v>
      </c>
      <c r="F404" s="13" t="s">
        <v>25</v>
      </c>
      <c r="G404" s="15">
        <v>1299.6600000000001</v>
      </c>
      <c r="H404" s="15">
        <v>1299.6600000000001</v>
      </c>
      <c r="I404" s="13">
        <v>8</v>
      </c>
      <c r="J404" s="13">
        <v>8</v>
      </c>
      <c r="K404" s="13" t="s">
        <v>35</v>
      </c>
      <c r="L404" s="15">
        <v>162.45750000000001</v>
      </c>
      <c r="M404" s="16">
        <v>155.52000000000001</v>
      </c>
    </row>
    <row r="405" spans="1:13" s="5" customFormat="1" x14ac:dyDescent="0.25">
      <c r="A405" s="12" t="s">
        <v>817</v>
      </c>
      <c r="B405" s="13" t="s">
        <v>818</v>
      </c>
      <c r="C405" s="14">
        <v>45726</v>
      </c>
      <c r="D405" s="13">
        <v>2025</v>
      </c>
      <c r="E405" s="13" t="s">
        <v>3347</v>
      </c>
      <c r="F405" s="13" t="s">
        <v>25</v>
      </c>
      <c r="G405" s="15">
        <v>1502.76</v>
      </c>
      <c r="H405" s="15">
        <v>1502.76</v>
      </c>
      <c r="I405" s="13">
        <v>7</v>
      </c>
      <c r="J405" s="13">
        <v>7</v>
      </c>
      <c r="K405" s="13" t="s">
        <v>15</v>
      </c>
      <c r="L405" s="15">
        <v>214.68</v>
      </c>
      <c r="M405" s="16">
        <v>214.68</v>
      </c>
    </row>
    <row r="406" spans="1:13" s="5" customFormat="1" x14ac:dyDescent="0.25">
      <c r="A406" s="12" t="s">
        <v>819</v>
      </c>
      <c r="B406" s="13" t="s">
        <v>820</v>
      </c>
      <c r="C406" s="14">
        <v>45437</v>
      </c>
      <c r="D406" s="13">
        <v>2024</v>
      </c>
      <c r="E406" s="13" t="s">
        <v>10</v>
      </c>
      <c r="F406" s="13" t="s">
        <v>25</v>
      </c>
      <c r="G406" s="15">
        <v>376.03</v>
      </c>
      <c r="H406" s="15">
        <v>376.03</v>
      </c>
      <c r="I406" s="13">
        <v>10</v>
      </c>
      <c r="J406" s="13">
        <v>10</v>
      </c>
      <c r="K406" s="13" t="s">
        <v>18</v>
      </c>
      <c r="L406" s="15">
        <v>37.602999999999994</v>
      </c>
      <c r="M406" s="16">
        <v>37.602999999999994</v>
      </c>
    </row>
    <row r="407" spans="1:13" s="5" customFormat="1" x14ac:dyDescent="0.25">
      <c r="A407" s="12" t="s">
        <v>821</v>
      </c>
      <c r="B407" s="13" t="s">
        <v>822</v>
      </c>
      <c r="C407" s="14">
        <v>45806</v>
      </c>
      <c r="D407" s="13">
        <v>2025</v>
      </c>
      <c r="E407" s="13" t="s">
        <v>14</v>
      </c>
      <c r="F407" s="13" t="s">
        <v>22</v>
      </c>
      <c r="G407" s="15">
        <v>479.61</v>
      </c>
      <c r="H407" s="15">
        <v>479.61</v>
      </c>
      <c r="I407" s="13">
        <v>2</v>
      </c>
      <c r="J407" s="13">
        <v>2</v>
      </c>
      <c r="K407" s="13" t="s">
        <v>35</v>
      </c>
      <c r="L407" s="15">
        <v>239.80500000000001</v>
      </c>
      <c r="M407" s="16">
        <v>239.80500000000001</v>
      </c>
    </row>
    <row r="408" spans="1:13" s="5" customFormat="1" x14ac:dyDescent="0.25">
      <c r="A408" s="12" t="s">
        <v>823</v>
      </c>
      <c r="B408" s="13" t="s">
        <v>824</v>
      </c>
      <c r="C408" s="14">
        <v>45346</v>
      </c>
      <c r="D408" s="13">
        <v>2024</v>
      </c>
      <c r="E408" s="13" t="s">
        <v>14</v>
      </c>
      <c r="F408" s="13" t="s">
        <v>34</v>
      </c>
      <c r="G408" s="15">
        <v>435.82</v>
      </c>
      <c r="H408" s="15">
        <v>435.82</v>
      </c>
      <c r="I408" s="13">
        <v>3</v>
      </c>
      <c r="J408" s="13">
        <v>3</v>
      </c>
      <c r="K408" s="13" t="s">
        <v>15</v>
      </c>
      <c r="L408" s="15">
        <v>145.27333333333334</v>
      </c>
      <c r="M408" s="16">
        <v>145.27333333333334</v>
      </c>
    </row>
    <row r="409" spans="1:13" s="5" customFormat="1" x14ac:dyDescent="0.25">
      <c r="A409" s="12" t="s">
        <v>825</v>
      </c>
      <c r="B409" s="13" t="s">
        <v>826</v>
      </c>
      <c r="C409" s="14">
        <v>45743</v>
      </c>
      <c r="D409" s="13">
        <v>2025</v>
      </c>
      <c r="E409" s="13" t="s">
        <v>14</v>
      </c>
      <c r="F409" s="13" t="s">
        <v>34</v>
      </c>
      <c r="G409" s="15">
        <v>235.64</v>
      </c>
      <c r="H409" s="15">
        <v>235.64</v>
      </c>
      <c r="I409" s="13">
        <v>2</v>
      </c>
      <c r="J409" s="13">
        <v>2</v>
      </c>
      <c r="K409" s="13" t="s">
        <v>35</v>
      </c>
      <c r="L409" s="15">
        <v>117.82</v>
      </c>
      <c r="M409" s="16">
        <v>117.82</v>
      </c>
    </row>
    <row r="410" spans="1:13" s="5" customFormat="1" x14ac:dyDescent="0.25">
      <c r="A410" s="12" t="s">
        <v>827</v>
      </c>
      <c r="B410" s="13" t="s">
        <v>828</v>
      </c>
      <c r="C410" s="14">
        <v>45391</v>
      </c>
      <c r="D410" s="13">
        <v>2024</v>
      </c>
      <c r="E410" s="13" t="s">
        <v>3347</v>
      </c>
      <c r="F410" s="13" t="s">
        <v>22</v>
      </c>
      <c r="G410" s="15">
        <v>1218.58</v>
      </c>
      <c r="H410" s="15">
        <v>1218.58</v>
      </c>
      <c r="I410" s="13">
        <v>4</v>
      </c>
      <c r="J410" s="13">
        <v>4</v>
      </c>
      <c r="K410" s="13" t="s">
        <v>35</v>
      </c>
      <c r="L410" s="15">
        <v>304.64499999999998</v>
      </c>
      <c r="M410" s="16">
        <v>326.14244444444444</v>
      </c>
    </row>
    <row r="411" spans="1:13" s="5" customFormat="1" x14ac:dyDescent="0.25">
      <c r="A411" s="12" t="s">
        <v>829</v>
      </c>
      <c r="B411" s="13" t="s">
        <v>830</v>
      </c>
      <c r="C411" s="14">
        <v>44871</v>
      </c>
      <c r="D411" s="13">
        <v>2022</v>
      </c>
      <c r="E411" s="13" t="s">
        <v>3347</v>
      </c>
      <c r="F411" s="13" t="s">
        <v>34</v>
      </c>
      <c r="G411" s="15">
        <v>476.47877738095241</v>
      </c>
      <c r="H411" s="15">
        <v>476.47877738095241</v>
      </c>
      <c r="I411" s="13">
        <v>2</v>
      </c>
      <c r="J411" s="13">
        <v>2</v>
      </c>
      <c r="K411" s="13" t="s">
        <v>18</v>
      </c>
      <c r="L411" s="15">
        <v>238.2393886904762</v>
      </c>
      <c r="M411" s="16">
        <v>238.2393886904762</v>
      </c>
    </row>
    <row r="412" spans="1:13" s="5" customFormat="1" x14ac:dyDescent="0.25">
      <c r="A412" s="12" t="s">
        <v>831</v>
      </c>
      <c r="B412" s="13" t="s">
        <v>832</v>
      </c>
      <c r="C412" s="14">
        <v>45223</v>
      </c>
      <c r="D412" s="13">
        <v>2023</v>
      </c>
      <c r="E412" s="13" t="s">
        <v>10</v>
      </c>
      <c r="F412" s="13" t="s">
        <v>11</v>
      </c>
      <c r="G412" s="15">
        <v>1765.96</v>
      </c>
      <c r="H412" s="15">
        <v>1765.96</v>
      </c>
      <c r="I412" s="13">
        <v>4</v>
      </c>
      <c r="J412" s="13">
        <v>4</v>
      </c>
      <c r="K412" s="13" t="s">
        <v>15</v>
      </c>
      <c r="L412" s="15">
        <v>441.49</v>
      </c>
      <c r="M412" s="16">
        <v>441.49</v>
      </c>
    </row>
    <row r="413" spans="1:13" s="5" customFormat="1" x14ac:dyDescent="0.25">
      <c r="A413" s="12" t="s">
        <v>833</v>
      </c>
      <c r="B413" s="13" t="s">
        <v>834</v>
      </c>
      <c r="C413" s="14">
        <v>45548</v>
      </c>
      <c r="D413" s="13">
        <v>2024</v>
      </c>
      <c r="E413" s="13" t="s">
        <v>14</v>
      </c>
      <c r="F413" s="13" t="s">
        <v>22</v>
      </c>
      <c r="G413" s="15">
        <v>190.94744444444444</v>
      </c>
      <c r="H413" s="15">
        <v>190.94744444444444</v>
      </c>
      <c r="I413" s="13">
        <v>2</v>
      </c>
      <c r="J413" s="13">
        <v>2</v>
      </c>
      <c r="K413" s="13" t="s">
        <v>18</v>
      </c>
      <c r="L413" s="15">
        <v>95.473722222222221</v>
      </c>
      <c r="M413" s="16">
        <v>95.473722222222221</v>
      </c>
    </row>
    <row r="414" spans="1:13" s="5" customFormat="1" x14ac:dyDescent="0.25">
      <c r="A414" s="12" t="s">
        <v>835</v>
      </c>
      <c r="B414" s="13" t="s">
        <v>836</v>
      </c>
      <c r="C414" s="14">
        <v>45509</v>
      </c>
      <c r="D414" s="13">
        <v>2024</v>
      </c>
      <c r="E414" s="13" t="s">
        <v>3347</v>
      </c>
      <c r="F414" s="13" t="s">
        <v>25</v>
      </c>
      <c r="G414" s="15">
        <v>447.18</v>
      </c>
      <c r="H414" s="15">
        <v>447.18</v>
      </c>
      <c r="I414" s="13">
        <v>10</v>
      </c>
      <c r="J414" s="13">
        <v>10</v>
      </c>
      <c r="K414" s="13" t="s">
        <v>35</v>
      </c>
      <c r="L414" s="15">
        <v>44.718000000000004</v>
      </c>
      <c r="M414" s="16">
        <v>44.718000000000004</v>
      </c>
    </row>
    <row r="415" spans="1:13" s="5" customFormat="1" x14ac:dyDescent="0.25">
      <c r="A415" s="12" t="s">
        <v>837</v>
      </c>
      <c r="B415" s="13" t="s">
        <v>838</v>
      </c>
      <c r="C415" s="14">
        <v>45116</v>
      </c>
      <c r="D415" s="13">
        <v>2023</v>
      </c>
      <c r="E415" s="13" t="s">
        <v>10</v>
      </c>
      <c r="F415" s="13" t="s">
        <v>25</v>
      </c>
      <c r="G415" s="15">
        <v>3844.9873148148145</v>
      </c>
      <c r="H415" s="15">
        <v>3548.2821388888883</v>
      </c>
      <c r="I415" s="13">
        <v>10</v>
      </c>
      <c r="J415" s="13">
        <v>10</v>
      </c>
      <c r="K415" s="13" t="s">
        <v>15</v>
      </c>
      <c r="L415" s="15">
        <v>384.49873148148146</v>
      </c>
      <c r="M415" s="16">
        <v>384.49873148148146</v>
      </c>
    </row>
    <row r="416" spans="1:13" s="5" customFormat="1" x14ac:dyDescent="0.25">
      <c r="A416" s="12" t="s">
        <v>839</v>
      </c>
      <c r="B416" s="13" t="s">
        <v>840</v>
      </c>
      <c r="C416" s="14">
        <v>45547</v>
      </c>
      <c r="D416" s="13">
        <v>2024</v>
      </c>
      <c r="E416" s="13" t="s">
        <v>21</v>
      </c>
      <c r="F416" s="13" t="s">
        <v>11</v>
      </c>
      <c r="G416" s="15">
        <v>815.43</v>
      </c>
      <c r="H416" s="15">
        <v>815.43</v>
      </c>
      <c r="I416" s="13">
        <v>8</v>
      </c>
      <c r="J416" s="13">
        <v>8</v>
      </c>
      <c r="K416" s="13" t="s">
        <v>35</v>
      </c>
      <c r="L416" s="15">
        <v>101.92874999999999</v>
      </c>
      <c r="M416" s="16">
        <v>101.92874999999999</v>
      </c>
    </row>
    <row r="417" spans="1:13" s="5" customFormat="1" x14ac:dyDescent="0.25">
      <c r="A417" s="12" t="s">
        <v>841</v>
      </c>
      <c r="B417" s="13" t="s">
        <v>313</v>
      </c>
      <c r="C417" s="14">
        <v>45328</v>
      </c>
      <c r="D417" s="13">
        <v>2024</v>
      </c>
      <c r="E417" s="13" t="s">
        <v>14</v>
      </c>
      <c r="F417" s="13" t="s">
        <v>22</v>
      </c>
      <c r="G417" s="15">
        <v>1662.61</v>
      </c>
      <c r="H417" s="15">
        <v>1662.61</v>
      </c>
      <c r="I417" s="13">
        <v>4</v>
      </c>
      <c r="J417" s="13">
        <v>4</v>
      </c>
      <c r="K417" s="13" t="s">
        <v>35</v>
      </c>
      <c r="L417" s="15">
        <v>415.65249999999997</v>
      </c>
      <c r="M417" s="16">
        <v>415.65249999999997</v>
      </c>
    </row>
    <row r="418" spans="1:13" s="5" customFormat="1" x14ac:dyDescent="0.25">
      <c r="A418" s="12" t="s">
        <v>842</v>
      </c>
      <c r="B418" s="13" t="s">
        <v>843</v>
      </c>
      <c r="C418" s="14">
        <v>45095</v>
      </c>
      <c r="D418" s="13">
        <v>2023</v>
      </c>
      <c r="E418" s="13" t="s">
        <v>14</v>
      </c>
      <c r="F418" s="13" t="s">
        <v>34</v>
      </c>
      <c r="G418" s="15">
        <v>3552.0391666666669</v>
      </c>
      <c r="H418" s="15">
        <v>3548.2821388888883</v>
      </c>
      <c r="I418" s="13">
        <v>9</v>
      </c>
      <c r="J418" s="13">
        <v>9</v>
      </c>
      <c r="K418" s="13" t="s">
        <v>3346</v>
      </c>
      <c r="L418" s="15">
        <v>394.67101851851857</v>
      </c>
      <c r="M418" s="16">
        <v>394.67101851851857</v>
      </c>
    </row>
    <row r="419" spans="1:13" s="5" customFormat="1" x14ac:dyDescent="0.25">
      <c r="A419" s="12" t="s">
        <v>844</v>
      </c>
      <c r="B419" s="13" t="s">
        <v>845</v>
      </c>
      <c r="C419" s="14">
        <v>45760</v>
      </c>
      <c r="D419" s="13">
        <v>2025</v>
      </c>
      <c r="E419" s="13" t="s">
        <v>3347</v>
      </c>
      <c r="F419" s="13" t="s">
        <v>22</v>
      </c>
      <c r="G419" s="15">
        <v>1470.11</v>
      </c>
      <c r="H419" s="15">
        <v>1470.11</v>
      </c>
      <c r="I419" s="13">
        <v>1</v>
      </c>
      <c r="J419" s="13">
        <v>1</v>
      </c>
      <c r="K419" s="13" t="s">
        <v>35</v>
      </c>
      <c r="L419" s="15">
        <v>1470.11</v>
      </c>
      <c r="M419" s="16">
        <v>1470.11</v>
      </c>
    </row>
    <row r="420" spans="1:13" s="5" customFormat="1" x14ac:dyDescent="0.25">
      <c r="A420" s="12" t="s">
        <v>846</v>
      </c>
      <c r="B420" s="13" t="s">
        <v>847</v>
      </c>
      <c r="C420" s="14">
        <v>45211</v>
      </c>
      <c r="D420" s="13">
        <v>2023</v>
      </c>
      <c r="E420" s="13" t="s">
        <v>14</v>
      </c>
      <c r="F420" s="13" t="s">
        <v>22</v>
      </c>
      <c r="G420" s="15">
        <v>1035.82</v>
      </c>
      <c r="H420" s="15">
        <v>1035.82</v>
      </c>
      <c r="I420" s="13">
        <v>6</v>
      </c>
      <c r="J420" s="13">
        <v>6</v>
      </c>
      <c r="K420" s="13" t="s">
        <v>15</v>
      </c>
      <c r="L420" s="15">
        <v>172.63666666666666</v>
      </c>
      <c r="M420" s="16">
        <v>172.63666666666666</v>
      </c>
    </row>
    <row r="421" spans="1:13" s="5" customFormat="1" x14ac:dyDescent="0.25">
      <c r="A421" s="12" t="s">
        <v>848</v>
      </c>
      <c r="B421" s="13" t="s">
        <v>849</v>
      </c>
      <c r="C421" s="14">
        <v>45082</v>
      </c>
      <c r="D421" s="13">
        <v>2023</v>
      </c>
      <c r="E421" s="13" t="s">
        <v>21</v>
      </c>
      <c r="F421" s="13" t="s">
        <v>22</v>
      </c>
      <c r="G421" s="15">
        <v>1197.6600000000001</v>
      </c>
      <c r="H421" s="15">
        <v>1197.6600000000001</v>
      </c>
      <c r="I421" s="13">
        <v>8</v>
      </c>
      <c r="J421" s="13">
        <v>8</v>
      </c>
      <c r="K421" s="13" t="s">
        <v>3348</v>
      </c>
      <c r="L421" s="15">
        <v>149.70750000000001</v>
      </c>
      <c r="M421" s="16">
        <v>149.70750000000001</v>
      </c>
    </row>
    <row r="422" spans="1:13" s="5" customFormat="1" x14ac:dyDescent="0.25">
      <c r="A422" s="12" t="s">
        <v>850</v>
      </c>
      <c r="B422" s="13" t="s">
        <v>851</v>
      </c>
      <c r="C422" s="14">
        <v>45278</v>
      </c>
      <c r="D422" s="13">
        <v>2023</v>
      </c>
      <c r="E422" s="13" t="s">
        <v>10</v>
      </c>
      <c r="F422" s="13" t="s">
        <v>25</v>
      </c>
      <c r="G422" s="15">
        <v>131.3463630952381</v>
      </c>
      <c r="H422" s="15">
        <v>131.3463630952381</v>
      </c>
      <c r="I422" s="13">
        <v>1</v>
      </c>
      <c r="J422" s="13">
        <v>1</v>
      </c>
      <c r="K422" s="13" t="s">
        <v>3346</v>
      </c>
      <c r="L422" s="15">
        <v>131.3463630952381</v>
      </c>
      <c r="M422" s="16">
        <v>131.3463630952381</v>
      </c>
    </row>
    <row r="423" spans="1:13" s="5" customFormat="1" x14ac:dyDescent="0.25">
      <c r="A423" s="12" t="s">
        <v>852</v>
      </c>
      <c r="B423" s="13" t="s">
        <v>853</v>
      </c>
      <c r="C423" s="14">
        <v>45936</v>
      </c>
      <c r="D423" s="13">
        <v>2025</v>
      </c>
      <c r="E423" s="13" t="s">
        <v>21</v>
      </c>
      <c r="F423" s="13" t="s">
        <v>34</v>
      </c>
      <c r="G423" s="15">
        <v>224.75</v>
      </c>
      <c r="H423" s="15">
        <v>224.75</v>
      </c>
      <c r="I423" s="13">
        <v>4</v>
      </c>
      <c r="J423" s="13">
        <v>4</v>
      </c>
      <c r="K423" s="13" t="s">
        <v>18</v>
      </c>
      <c r="L423" s="15">
        <v>56.1875</v>
      </c>
      <c r="M423" s="16">
        <v>56.1875</v>
      </c>
    </row>
    <row r="424" spans="1:13" s="5" customFormat="1" x14ac:dyDescent="0.25">
      <c r="A424" s="12" t="s">
        <v>854</v>
      </c>
      <c r="B424" s="13" t="s">
        <v>855</v>
      </c>
      <c r="C424" s="14">
        <v>45413</v>
      </c>
      <c r="D424" s="13">
        <v>2024</v>
      </c>
      <c r="E424" s="13" t="s">
        <v>14</v>
      </c>
      <c r="F424" s="13" t="s">
        <v>22</v>
      </c>
      <c r="G424" s="15">
        <v>572.88</v>
      </c>
      <c r="H424" s="15">
        <v>572.88</v>
      </c>
      <c r="I424" s="13">
        <v>4</v>
      </c>
      <c r="J424" s="13">
        <v>4</v>
      </c>
      <c r="K424" s="13" t="s">
        <v>3346</v>
      </c>
      <c r="L424" s="15">
        <v>143.22</v>
      </c>
      <c r="M424" s="16">
        <v>143.22</v>
      </c>
    </row>
    <row r="425" spans="1:13" s="5" customFormat="1" x14ac:dyDescent="0.25">
      <c r="A425" s="12" t="s">
        <v>856</v>
      </c>
      <c r="B425" s="13" t="s">
        <v>857</v>
      </c>
      <c r="C425" s="14">
        <v>45524</v>
      </c>
      <c r="D425" s="13">
        <v>2024</v>
      </c>
      <c r="E425" s="13" t="s">
        <v>21</v>
      </c>
      <c r="F425" s="13" t="s">
        <v>25</v>
      </c>
      <c r="G425" s="15">
        <v>1281.3535714285715</v>
      </c>
      <c r="H425" s="15">
        <v>1281.3535714285715</v>
      </c>
      <c r="I425" s="13">
        <v>7</v>
      </c>
      <c r="J425" s="13">
        <v>7</v>
      </c>
      <c r="K425" s="13" t="s">
        <v>15</v>
      </c>
      <c r="L425" s="15">
        <v>183.05051020408163</v>
      </c>
      <c r="M425" s="16">
        <v>183.05051020408163</v>
      </c>
    </row>
    <row r="426" spans="1:13" s="5" customFormat="1" x14ac:dyDescent="0.25">
      <c r="A426" s="12" t="s">
        <v>858</v>
      </c>
      <c r="B426" s="13" t="s">
        <v>859</v>
      </c>
      <c r="C426" s="14">
        <v>44952</v>
      </c>
      <c r="D426" s="13">
        <v>2023</v>
      </c>
      <c r="E426" s="13" t="s">
        <v>21</v>
      </c>
      <c r="F426" s="13" t="s">
        <v>11</v>
      </c>
      <c r="G426" s="15">
        <v>146.54</v>
      </c>
      <c r="H426" s="15">
        <v>146.54</v>
      </c>
      <c r="I426" s="13">
        <v>3</v>
      </c>
      <c r="J426" s="13">
        <v>3</v>
      </c>
      <c r="K426" s="13" t="s">
        <v>3346</v>
      </c>
      <c r="L426" s="15">
        <v>48.846666666666664</v>
      </c>
      <c r="M426" s="16">
        <v>48.846666666666664</v>
      </c>
    </row>
    <row r="427" spans="1:13" s="5" customFormat="1" x14ac:dyDescent="0.25">
      <c r="A427" s="12" t="s">
        <v>860</v>
      </c>
      <c r="B427" s="13" t="s">
        <v>861</v>
      </c>
      <c r="C427" s="14">
        <v>45863</v>
      </c>
      <c r="D427" s="13">
        <v>2025</v>
      </c>
      <c r="E427" s="13" t="s">
        <v>14</v>
      </c>
      <c r="F427" s="13" t="s">
        <v>34</v>
      </c>
      <c r="G427" s="15">
        <v>1039.72</v>
      </c>
      <c r="H427" s="15">
        <v>1039.72</v>
      </c>
      <c r="I427" s="13">
        <v>10</v>
      </c>
      <c r="J427" s="13">
        <v>10</v>
      </c>
      <c r="K427" s="13" t="s">
        <v>35</v>
      </c>
      <c r="L427" s="15">
        <v>103.97200000000001</v>
      </c>
      <c r="M427" s="16">
        <v>103.97200000000001</v>
      </c>
    </row>
    <row r="428" spans="1:13" s="5" customFormat="1" x14ac:dyDescent="0.25">
      <c r="A428" s="12" t="s">
        <v>862</v>
      </c>
      <c r="B428" s="13" t="s">
        <v>863</v>
      </c>
      <c r="C428" s="14">
        <v>45125</v>
      </c>
      <c r="D428" s="13">
        <v>2023</v>
      </c>
      <c r="E428" s="13" t="s">
        <v>10</v>
      </c>
      <c r="F428" s="13" t="s">
        <v>25</v>
      </c>
      <c r="G428" s="15">
        <v>870.24</v>
      </c>
      <c r="H428" s="15">
        <v>870.24</v>
      </c>
      <c r="I428" s="13">
        <v>5</v>
      </c>
      <c r="J428" s="13">
        <v>5</v>
      </c>
      <c r="K428" s="13" t="s">
        <v>3346</v>
      </c>
      <c r="L428" s="15">
        <v>174.048</v>
      </c>
      <c r="M428" s="16">
        <v>174.048</v>
      </c>
    </row>
    <row r="429" spans="1:13" s="5" customFormat="1" x14ac:dyDescent="0.25">
      <c r="A429" s="12" t="s">
        <v>864</v>
      </c>
      <c r="B429" s="13" t="s">
        <v>865</v>
      </c>
      <c r="C429" s="14">
        <v>45344</v>
      </c>
      <c r="D429" s="13">
        <v>2024</v>
      </c>
      <c r="E429" s="13" t="s">
        <v>14</v>
      </c>
      <c r="F429" s="13" t="s">
        <v>22</v>
      </c>
      <c r="G429" s="15">
        <v>327.62</v>
      </c>
      <c r="H429" s="15">
        <v>327.62</v>
      </c>
      <c r="I429" s="13">
        <v>9</v>
      </c>
      <c r="J429" s="13">
        <v>9</v>
      </c>
      <c r="K429" s="13" t="s">
        <v>3348</v>
      </c>
      <c r="L429" s="15">
        <v>36.402222222222221</v>
      </c>
      <c r="M429" s="16">
        <v>36.402222222222221</v>
      </c>
    </row>
    <row r="430" spans="1:13" s="5" customFormat="1" x14ac:dyDescent="0.25">
      <c r="A430" s="12" t="s">
        <v>866</v>
      </c>
      <c r="B430" s="13" t="s">
        <v>867</v>
      </c>
      <c r="C430" s="14">
        <v>45182</v>
      </c>
      <c r="D430" s="13">
        <v>2023</v>
      </c>
      <c r="E430" s="13" t="s">
        <v>10</v>
      </c>
      <c r="F430" s="13" t="s">
        <v>11</v>
      </c>
      <c r="G430" s="15">
        <v>96.5</v>
      </c>
      <c r="H430" s="15">
        <v>96.5</v>
      </c>
      <c r="I430" s="13">
        <v>4</v>
      </c>
      <c r="J430" s="13">
        <v>4</v>
      </c>
      <c r="K430" s="13" t="s">
        <v>35</v>
      </c>
      <c r="L430" s="15">
        <v>24.125</v>
      </c>
      <c r="M430" s="16">
        <v>24.125</v>
      </c>
    </row>
    <row r="431" spans="1:13" s="5" customFormat="1" x14ac:dyDescent="0.25">
      <c r="A431" s="12" t="s">
        <v>868</v>
      </c>
      <c r="B431" s="13" t="s">
        <v>869</v>
      </c>
      <c r="C431" s="14">
        <v>45835</v>
      </c>
      <c r="D431" s="13">
        <v>2025</v>
      </c>
      <c r="E431" s="13" t="s">
        <v>21</v>
      </c>
      <c r="F431" s="13" t="s">
        <v>11</v>
      </c>
      <c r="G431" s="15">
        <v>2609.5897916666668</v>
      </c>
      <c r="H431" s="15">
        <v>2609.5897916666668</v>
      </c>
      <c r="I431" s="13">
        <v>7</v>
      </c>
      <c r="J431" s="13">
        <v>7</v>
      </c>
      <c r="K431" s="13" t="s">
        <v>15</v>
      </c>
      <c r="L431" s="15">
        <v>372.79854166666667</v>
      </c>
      <c r="M431" s="16">
        <v>372.79854166666667</v>
      </c>
    </row>
    <row r="432" spans="1:13" s="5" customFormat="1" x14ac:dyDescent="0.25">
      <c r="A432" s="12" t="s">
        <v>870</v>
      </c>
      <c r="B432" s="13" t="s">
        <v>871</v>
      </c>
      <c r="C432" s="14">
        <v>45034</v>
      </c>
      <c r="D432" s="13">
        <v>2023</v>
      </c>
      <c r="E432" s="13" t="s">
        <v>21</v>
      </c>
      <c r="F432" s="13" t="s">
        <v>22</v>
      </c>
      <c r="G432" s="15">
        <v>1939.14</v>
      </c>
      <c r="H432" s="15">
        <v>1939.14</v>
      </c>
      <c r="I432" s="13">
        <v>7</v>
      </c>
      <c r="J432" s="13">
        <v>7</v>
      </c>
      <c r="K432" s="13" t="s">
        <v>3348</v>
      </c>
      <c r="L432" s="15">
        <v>277.02000000000004</v>
      </c>
      <c r="M432" s="16">
        <v>277.02000000000004</v>
      </c>
    </row>
    <row r="433" spans="1:13" s="5" customFormat="1" x14ac:dyDescent="0.25">
      <c r="A433" s="12" t="s">
        <v>872</v>
      </c>
      <c r="B433" s="13" t="s">
        <v>873</v>
      </c>
      <c r="C433" s="14">
        <v>45358</v>
      </c>
      <c r="D433" s="13">
        <v>2024</v>
      </c>
      <c r="E433" s="13" t="s">
        <v>21</v>
      </c>
      <c r="F433" s="13" t="s">
        <v>22</v>
      </c>
      <c r="G433" s="15">
        <v>2144.7438690476192</v>
      </c>
      <c r="H433" s="15">
        <v>2144.7438690476192</v>
      </c>
      <c r="I433" s="13">
        <v>5</v>
      </c>
      <c r="J433" s="13">
        <v>5</v>
      </c>
      <c r="K433" s="13" t="s">
        <v>3348</v>
      </c>
      <c r="L433" s="15">
        <v>428.94877380952386</v>
      </c>
      <c r="M433" s="16">
        <v>428.9487738095238</v>
      </c>
    </row>
    <row r="434" spans="1:13" s="5" customFormat="1" x14ac:dyDescent="0.25">
      <c r="A434" s="12" t="s">
        <v>874</v>
      </c>
      <c r="B434" s="13" t="s">
        <v>875</v>
      </c>
      <c r="C434" s="14">
        <v>45333</v>
      </c>
      <c r="D434" s="13">
        <v>2024</v>
      </c>
      <c r="E434" s="13" t="s">
        <v>21</v>
      </c>
      <c r="F434" s="13" t="s">
        <v>34</v>
      </c>
      <c r="G434" s="15">
        <v>470.52</v>
      </c>
      <c r="H434" s="15">
        <v>470.52</v>
      </c>
      <c r="I434" s="13">
        <v>7</v>
      </c>
      <c r="J434" s="13">
        <v>7</v>
      </c>
      <c r="K434" s="13" t="s">
        <v>3348</v>
      </c>
      <c r="L434" s="15">
        <v>67.217142857142861</v>
      </c>
      <c r="M434" s="16">
        <v>67.217142857142861</v>
      </c>
    </row>
    <row r="435" spans="1:13" s="5" customFormat="1" x14ac:dyDescent="0.25">
      <c r="A435" s="12" t="s">
        <v>876</v>
      </c>
      <c r="B435" s="13" t="s">
        <v>877</v>
      </c>
      <c r="C435" s="14">
        <v>44951</v>
      </c>
      <c r="D435" s="13">
        <v>2023</v>
      </c>
      <c r="E435" s="13" t="s">
        <v>3347</v>
      </c>
      <c r="F435" s="13" t="s">
        <v>25</v>
      </c>
      <c r="G435" s="15">
        <v>231.71</v>
      </c>
      <c r="H435" s="15">
        <v>231.71</v>
      </c>
      <c r="I435" s="13">
        <v>1</v>
      </c>
      <c r="J435" s="13">
        <v>1</v>
      </c>
      <c r="K435" s="13" t="s">
        <v>35</v>
      </c>
      <c r="L435" s="15">
        <v>231.71</v>
      </c>
      <c r="M435" s="16">
        <v>231.71</v>
      </c>
    </row>
    <row r="436" spans="1:13" s="5" customFormat="1" x14ac:dyDescent="0.25">
      <c r="A436" s="12" t="s">
        <v>878</v>
      </c>
      <c r="B436" s="13" t="s">
        <v>879</v>
      </c>
      <c r="C436" s="14">
        <v>44951</v>
      </c>
      <c r="D436" s="13">
        <v>2023</v>
      </c>
      <c r="E436" s="13" t="s">
        <v>14</v>
      </c>
      <c r="F436" s="13" t="s">
        <v>25</v>
      </c>
      <c r="G436" s="15">
        <v>1645.74</v>
      </c>
      <c r="H436" s="15">
        <v>1645.74</v>
      </c>
      <c r="I436" s="13">
        <v>2</v>
      </c>
      <c r="J436" s="13">
        <v>2</v>
      </c>
      <c r="K436" s="13" t="s">
        <v>18</v>
      </c>
      <c r="L436" s="15">
        <v>822.87</v>
      </c>
      <c r="M436" s="16">
        <v>822.87</v>
      </c>
    </row>
    <row r="437" spans="1:13" s="5" customFormat="1" x14ac:dyDescent="0.25">
      <c r="A437" s="12" t="s">
        <v>880</v>
      </c>
      <c r="B437" s="13" t="s">
        <v>881</v>
      </c>
      <c r="C437" s="14">
        <v>45223</v>
      </c>
      <c r="D437" s="13">
        <v>2023</v>
      </c>
      <c r="E437" s="13" t="s">
        <v>21</v>
      </c>
      <c r="F437" s="13" t="s">
        <v>11</v>
      </c>
      <c r="G437" s="15">
        <v>265.95999999999998</v>
      </c>
      <c r="H437" s="15">
        <v>265.95999999999998</v>
      </c>
      <c r="I437" s="13">
        <v>10</v>
      </c>
      <c r="J437" s="13">
        <v>10</v>
      </c>
      <c r="K437" s="13" t="s">
        <v>3348</v>
      </c>
      <c r="L437" s="15">
        <v>26.595999999999997</v>
      </c>
      <c r="M437" s="16">
        <v>26.595999999999997</v>
      </c>
    </row>
    <row r="438" spans="1:13" s="5" customFormat="1" x14ac:dyDescent="0.25">
      <c r="A438" s="12" t="s">
        <v>882</v>
      </c>
      <c r="B438" s="13" t="s">
        <v>883</v>
      </c>
      <c r="C438" s="14">
        <v>45162</v>
      </c>
      <c r="D438" s="13">
        <v>2023</v>
      </c>
      <c r="E438" s="13" t="s">
        <v>3347</v>
      </c>
      <c r="F438" s="13" t="s">
        <v>22</v>
      </c>
      <c r="G438" s="15">
        <v>3151.7707499999997</v>
      </c>
      <c r="H438" s="15">
        <v>3151.7707499999997</v>
      </c>
      <c r="I438" s="13">
        <v>9</v>
      </c>
      <c r="J438" s="13">
        <v>9</v>
      </c>
      <c r="K438" s="13" t="s">
        <v>35</v>
      </c>
      <c r="L438" s="15">
        <v>350.19674999999995</v>
      </c>
      <c r="M438" s="16">
        <v>350.19674999999995</v>
      </c>
    </row>
    <row r="439" spans="1:13" s="5" customFormat="1" x14ac:dyDescent="0.25">
      <c r="A439" s="12" t="s">
        <v>884</v>
      </c>
      <c r="B439" s="13" t="s">
        <v>885</v>
      </c>
      <c r="C439" s="14">
        <v>44916</v>
      </c>
      <c r="D439" s="13">
        <v>2022</v>
      </c>
      <c r="E439" s="13" t="s">
        <v>10</v>
      </c>
      <c r="F439" s="13" t="s">
        <v>34</v>
      </c>
      <c r="G439" s="15">
        <v>1657.42</v>
      </c>
      <c r="H439" s="15">
        <v>1657.42</v>
      </c>
      <c r="I439" s="13">
        <v>1</v>
      </c>
      <c r="J439" s="13">
        <v>1</v>
      </c>
      <c r="K439" s="13" t="s">
        <v>35</v>
      </c>
      <c r="L439" s="15">
        <v>1657.42</v>
      </c>
      <c r="M439" s="16">
        <v>1657.42</v>
      </c>
    </row>
    <row r="440" spans="1:13" s="5" customFormat="1" x14ac:dyDescent="0.25">
      <c r="A440" s="12" t="s">
        <v>886</v>
      </c>
      <c r="B440" s="13" t="s">
        <v>887</v>
      </c>
      <c r="C440" s="14">
        <v>45534</v>
      </c>
      <c r="D440" s="13">
        <v>2024</v>
      </c>
      <c r="E440" s="13" t="s">
        <v>21</v>
      </c>
      <c r="F440" s="13" t="s">
        <v>34</v>
      </c>
      <c r="G440" s="15">
        <v>1783.51</v>
      </c>
      <c r="H440" s="15">
        <v>1783.51</v>
      </c>
      <c r="I440" s="13">
        <v>3</v>
      </c>
      <c r="J440" s="13">
        <v>3</v>
      </c>
      <c r="K440" s="13" t="s">
        <v>15</v>
      </c>
      <c r="L440" s="15">
        <v>594.50333333333333</v>
      </c>
      <c r="M440" s="16">
        <v>594.50333333333333</v>
      </c>
    </row>
    <row r="441" spans="1:13" s="5" customFormat="1" x14ac:dyDescent="0.25">
      <c r="A441" s="12" t="s">
        <v>888</v>
      </c>
      <c r="B441" s="13" t="s">
        <v>889</v>
      </c>
      <c r="C441" s="14">
        <v>45088</v>
      </c>
      <c r="D441" s="13">
        <v>2023</v>
      </c>
      <c r="E441" s="13" t="s">
        <v>3347</v>
      </c>
      <c r="F441" s="13" t="s">
        <v>22</v>
      </c>
      <c r="G441" s="15">
        <v>405.75</v>
      </c>
      <c r="H441" s="15">
        <v>405.75</v>
      </c>
      <c r="I441" s="13">
        <v>2</v>
      </c>
      <c r="J441" s="13">
        <v>2</v>
      </c>
      <c r="K441" s="13" t="s">
        <v>15</v>
      </c>
      <c r="L441" s="15">
        <v>202.875</v>
      </c>
      <c r="M441" s="16">
        <v>202.875</v>
      </c>
    </row>
    <row r="442" spans="1:13" s="5" customFormat="1" x14ac:dyDescent="0.25">
      <c r="A442" s="12" t="s">
        <v>890</v>
      </c>
      <c r="B442" s="13" t="s">
        <v>891</v>
      </c>
      <c r="C442" s="14">
        <v>45180</v>
      </c>
      <c r="D442" s="13">
        <v>2023</v>
      </c>
      <c r="E442" s="13" t="s">
        <v>3347</v>
      </c>
      <c r="F442" s="13" t="s">
        <v>25</v>
      </c>
      <c r="G442" s="15">
        <v>603.91999999999996</v>
      </c>
      <c r="H442" s="15">
        <v>603.91999999999996</v>
      </c>
      <c r="I442" s="13">
        <v>3</v>
      </c>
      <c r="J442" s="13">
        <v>3</v>
      </c>
      <c r="K442" s="13" t="s">
        <v>3348</v>
      </c>
      <c r="L442" s="15">
        <v>201.30666666666664</v>
      </c>
      <c r="M442" s="16">
        <v>201.30666666666664</v>
      </c>
    </row>
    <row r="443" spans="1:13" s="5" customFormat="1" x14ac:dyDescent="0.25">
      <c r="A443" s="12" t="s">
        <v>892</v>
      </c>
      <c r="B443" s="13" t="s">
        <v>893</v>
      </c>
      <c r="C443" s="14">
        <v>45787</v>
      </c>
      <c r="D443" s="13">
        <v>2025</v>
      </c>
      <c r="E443" s="13" t="s">
        <v>21</v>
      </c>
      <c r="F443" s="13" t="s">
        <v>34</v>
      </c>
      <c r="G443" s="15">
        <v>1938.75</v>
      </c>
      <c r="H443" s="15">
        <v>1938.75</v>
      </c>
      <c r="I443" s="13">
        <v>9</v>
      </c>
      <c r="J443" s="13">
        <v>9</v>
      </c>
      <c r="K443" s="13" t="s">
        <v>3348</v>
      </c>
      <c r="L443" s="15">
        <v>215.41666666666666</v>
      </c>
      <c r="M443" s="16">
        <v>215.41666666666666</v>
      </c>
    </row>
    <row r="444" spans="1:13" s="5" customFormat="1" x14ac:dyDescent="0.25">
      <c r="A444" s="12" t="s">
        <v>894</v>
      </c>
      <c r="B444" s="13" t="s">
        <v>895</v>
      </c>
      <c r="C444" s="14">
        <v>45613</v>
      </c>
      <c r="D444" s="13">
        <v>2024</v>
      </c>
      <c r="E444" s="13" t="s">
        <v>14</v>
      </c>
      <c r="F444" s="13" t="s">
        <v>22</v>
      </c>
      <c r="G444" s="15">
        <v>361.65</v>
      </c>
      <c r="H444" s="15">
        <v>361.65</v>
      </c>
      <c r="I444" s="13">
        <v>2</v>
      </c>
      <c r="J444" s="13">
        <v>2</v>
      </c>
      <c r="K444" s="13" t="s">
        <v>3348</v>
      </c>
      <c r="L444" s="15">
        <v>180.82499999999999</v>
      </c>
      <c r="M444" s="16">
        <v>189.17411111111113</v>
      </c>
    </row>
    <row r="445" spans="1:13" s="5" customFormat="1" x14ac:dyDescent="0.25">
      <c r="A445" s="12" t="s">
        <v>896</v>
      </c>
      <c r="B445" s="13" t="s">
        <v>897</v>
      </c>
      <c r="C445" s="14">
        <v>45088</v>
      </c>
      <c r="D445" s="13">
        <v>2023</v>
      </c>
      <c r="E445" s="13" t="s">
        <v>3347</v>
      </c>
      <c r="F445" s="13" t="s">
        <v>34</v>
      </c>
      <c r="G445" s="15">
        <v>217.51</v>
      </c>
      <c r="H445" s="15">
        <v>217.51</v>
      </c>
      <c r="I445" s="13">
        <v>1</v>
      </c>
      <c r="J445" s="13">
        <v>1</v>
      </c>
      <c r="K445" s="13" t="s">
        <v>3346</v>
      </c>
      <c r="L445" s="15">
        <v>217.51</v>
      </c>
      <c r="M445" s="16">
        <v>217.51</v>
      </c>
    </row>
    <row r="446" spans="1:13" s="5" customFormat="1" x14ac:dyDescent="0.25">
      <c r="A446" s="12" t="s">
        <v>898</v>
      </c>
      <c r="B446" s="13" t="s">
        <v>899</v>
      </c>
      <c r="C446" s="14">
        <v>45638</v>
      </c>
      <c r="D446" s="13">
        <v>2024</v>
      </c>
      <c r="E446" s="13" t="s">
        <v>10</v>
      </c>
      <c r="F446" s="13" t="s">
        <v>11</v>
      </c>
      <c r="G446" s="15">
        <v>308.29000000000002</v>
      </c>
      <c r="H446" s="15">
        <v>308.29000000000002</v>
      </c>
      <c r="I446" s="13">
        <v>6</v>
      </c>
      <c r="J446" s="13">
        <v>6</v>
      </c>
      <c r="K446" s="13" t="s">
        <v>18</v>
      </c>
      <c r="L446" s="15">
        <v>51.381666666666668</v>
      </c>
      <c r="M446" s="16">
        <v>51.381666666666668</v>
      </c>
    </row>
    <row r="447" spans="1:13" s="5" customFormat="1" x14ac:dyDescent="0.25">
      <c r="A447" s="12" t="s">
        <v>900</v>
      </c>
      <c r="B447" s="13" t="s">
        <v>901</v>
      </c>
      <c r="C447" s="14">
        <v>45388</v>
      </c>
      <c r="D447" s="13">
        <v>2024</v>
      </c>
      <c r="E447" s="13" t="s">
        <v>10</v>
      </c>
      <c r="F447" s="13" t="s">
        <v>34</v>
      </c>
      <c r="G447" s="15">
        <v>1903.28</v>
      </c>
      <c r="H447" s="15">
        <v>1903.28</v>
      </c>
      <c r="I447" s="13">
        <v>4</v>
      </c>
      <c r="J447" s="13">
        <v>4</v>
      </c>
      <c r="K447" s="13" t="s">
        <v>18</v>
      </c>
      <c r="L447" s="15">
        <v>475.82</v>
      </c>
      <c r="M447" s="16">
        <v>475.82</v>
      </c>
    </row>
    <row r="448" spans="1:13" s="5" customFormat="1" x14ac:dyDescent="0.25">
      <c r="A448" s="12" t="s">
        <v>902</v>
      </c>
      <c r="B448" s="13" t="s">
        <v>903</v>
      </c>
      <c r="C448" s="14">
        <v>44922</v>
      </c>
      <c r="D448" s="13">
        <v>2022</v>
      </c>
      <c r="E448" s="13" t="s">
        <v>3347</v>
      </c>
      <c r="F448" s="13" t="s">
        <v>11</v>
      </c>
      <c r="G448" s="15">
        <v>836.02</v>
      </c>
      <c r="H448" s="15">
        <v>836.02</v>
      </c>
      <c r="I448" s="13">
        <v>8</v>
      </c>
      <c r="J448" s="13">
        <v>8</v>
      </c>
      <c r="K448" s="13" t="s">
        <v>3348</v>
      </c>
      <c r="L448" s="15">
        <v>104.5025</v>
      </c>
      <c r="M448" s="16">
        <v>104.5025</v>
      </c>
    </row>
    <row r="449" spans="1:13" s="5" customFormat="1" x14ac:dyDescent="0.25">
      <c r="A449" s="12" t="s">
        <v>904</v>
      </c>
      <c r="B449" s="13" t="s">
        <v>905</v>
      </c>
      <c r="C449" s="14">
        <v>45082</v>
      </c>
      <c r="D449" s="13">
        <v>2023</v>
      </c>
      <c r="E449" s="13" t="s">
        <v>14</v>
      </c>
      <c r="F449" s="13" t="s">
        <v>34</v>
      </c>
      <c r="G449" s="15">
        <v>1283.9100000000001</v>
      </c>
      <c r="H449" s="15">
        <v>1283.9100000000001</v>
      </c>
      <c r="I449" s="13">
        <v>3</v>
      </c>
      <c r="J449" s="13">
        <v>3</v>
      </c>
      <c r="K449" s="13" t="s">
        <v>18</v>
      </c>
      <c r="L449" s="15">
        <v>427.97</v>
      </c>
      <c r="M449" s="16">
        <v>427.97</v>
      </c>
    </row>
    <row r="450" spans="1:13" s="5" customFormat="1" x14ac:dyDescent="0.25">
      <c r="A450" s="12" t="s">
        <v>906</v>
      </c>
      <c r="B450" s="13" t="s">
        <v>907</v>
      </c>
      <c r="C450" s="14">
        <v>45722</v>
      </c>
      <c r="D450" s="13">
        <v>2025</v>
      </c>
      <c r="E450" s="13" t="s">
        <v>14</v>
      </c>
      <c r="F450" s="13" t="s">
        <v>11</v>
      </c>
      <c r="G450" s="15">
        <v>983.04</v>
      </c>
      <c r="H450" s="15">
        <v>983.04</v>
      </c>
      <c r="I450" s="13">
        <v>6</v>
      </c>
      <c r="J450" s="13">
        <v>6</v>
      </c>
      <c r="K450" s="13" t="s">
        <v>35</v>
      </c>
      <c r="L450" s="15">
        <v>163.84</v>
      </c>
      <c r="M450" s="16">
        <v>163.84</v>
      </c>
    </row>
    <row r="451" spans="1:13" s="5" customFormat="1" x14ac:dyDescent="0.25">
      <c r="A451" s="12" t="s">
        <v>908</v>
      </c>
      <c r="B451" s="13" t="s">
        <v>909</v>
      </c>
      <c r="C451" s="14">
        <v>45264</v>
      </c>
      <c r="D451" s="13">
        <v>2023</v>
      </c>
      <c r="E451" s="13" t="s">
        <v>21</v>
      </c>
      <c r="F451" s="13" t="s">
        <v>22</v>
      </c>
      <c r="G451" s="15">
        <v>49.21</v>
      </c>
      <c r="H451" s="15">
        <v>49.21</v>
      </c>
      <c r="I451" s="13">
        <v>1</v>
      </c>
      <c r="J451" s="13">
        <v>1</v>
      </c>
      <c r="K451" s="13" t="s">
        <v>35</v>
      </c>
      <c r="L451" s="15">
        <v>49.21</v>
      </c>
      <c r="M451" s="16">
        <v>49.21</v>
      </c>
    </row>
    <row r="452" spans="1:13" s="5" customFormat="1" x14ac:dyDescent="0.25">
      <c r="A452" s="12" t="s">
        <v>910</v>
      </c>
      <c r="B452" s="13" t="s">
        <v>911</v>
      </c>
      <c r="C452" s="14">
        <v>45844</v>
      </c>
      <c r="D452" s="13">
        <v>2025</v>
      </c>
      <c r="E452" s="13" t="s">
        <v>21</v>
      </c>
      <c r="F452" s="13" t="s">
        <v>11</v>
      </c>
      <c r="G452" s="15">
        <v>1192.8900000000001</v>
      </c>
      <c r="H452" s="15">
        <v>1192.8900000000001</v>
      </c>
      <c r="I452" s="13">
        <v>4</v>
      </c>
      <c r="J452" s="13">
        <v>4</v>
      </c>
      <c r="K452" s="13" t="s">
        <v>15</v>
      </c>
      <c r="L452" s="15">
        <v>298.22250000000003</v>
      </c>
      <c r="M452" s="16">
        <v>298.22250000000003</v>
      </c>
    </row>
    <row r="453" spans="1:13" s="5" customFormat="1" x14ac:dyDescent="0.25">
      <c r="A453" s="12" t="s">
        <v>912</v>
      </c>
      <c r="B453" s="13" t="s">
        <v>913</v>
      </c>
      <c r="C453" s="14">
        <v>45634</v>
      </c>
      <c r="D453" s="13">
        <v>2024</v>
      </c>
      <c r="E453" s="13" t="s">
        <v>14</v>
      </c>
      <c r="F453" s="13" t="s">
        <v>11</v>
      </c>
      <c r="G453" s="15">
        <v>362.36</v>
      </c>
      <c r="H453" s="15">
        <v>362.36</v>
      </c>
      <c r="I453" s="13">
        <v>10</v>
      </c>
      <c r="J453" s="13">
        <v>10</v>
      </c>
      <c r="K453" s="13" t="s">
        <v>15</v>
      </c>
      <c r="L453" s="15">
        <v>36.236000000000004</v>
      </c>
      <c r="M453" s="16">
        <v>36.236000000000004</v>
      </c>
    </row>
    <row r="454" spans="1:13" s="5" customFormat="1" x14ac:dyDescent="0.25">
      <c r="A454" s="12" t="s">
        <v>914</v>
      </c>
      <c r="B454" s="13" t="s">
        <v>915</v>
      </c>
      <c r="C454" s="14">
        <v>44914</v>
      </c>
      <c r="D454" s="13">
        <v>2022</v>
      </c>
      <c r="E454" s="13" t="s">
        <v>3347</v>
      </c>
      <c r="F454" s="13" t="s">
        <v>22</v>
      </c>
      <c r="G454" s="15">
        <v>253.3</v>
      </c>
      <c r="H454" s="15">
        <v>253.3</v>
      </c>
      <c r="I454" s="13">
        <v>10</v>
      </c>
      <c r="J454" s="13">
        <v>10</v>
      </c>
      <c r="K454" s="13" t="s">
        <v>15</v>
      </c>
      <c r="L454" s="15">
        <v>25.330000000000002</v>
      </c>
      <c r="M454" s="16">
        <v>25.330000000000002</v>
      </c>
    </row>
    <row r="455" spans="1:13" s="5" customFormat="1" x14ac:dyDescent="0.25">
      <c r="A455" s="12" t="s">
        <v>916</v>
      </c>
      <c r="B455" s="13" t="s">
        <v>917</v>
      </c>
      <c r="C455" s="14">
        <v>45171</v>
      </c>
      <c r="D455" s="13">
        <v>2023</v>
      </c>
      <c r="E455" s="13" t="s">
        <v>10</v>
      </c>
      <c r="F455" s="13" t="s">
        <v>34</v>
      </c>
      <c r="G455" s="15">
        <v>45.94</v>
      </c>
      <c r="H455" s="15">
        <v>45.94</v>
      </c>
      <c r="I455" s="13">
        <v>1</v>
      </c>
      <c r="J455" s="13">
        <v>1</v>
      </c>
      <c r="K455" s="13" t="s">
        <v>3348</v>
      </c>
      <c r="L455" s="15">
        <v>45.94</v>
      </c>
      <c r="M455" s="16">
        <v>45.94</v>
      </c>
    </row>
    <row r="456" spans="1:13" s="5" customFormat="1" x14ac:dyDescent="0.25">
      <c r="A456" s="12" t="s">
        <v>918</v>
      </c>
      <c r="B456" s="13" t="s">
        <v>919</v>
      </c>
      <c r="C456" s="14">
        <v>44937</v>
      </c>
      <c r="D456" s="13">
        <v>2023</v>
      </c>
      <c r="E456" s="13" t="s">
        <v>3347</v>
      </c>
      <c r="F456" s="13" t="s">
        <v>22</v>
      </c>
      <c r="G456" s="15">
        <v>1362.24</v>
      </c>
      <c r="H456" s="15">
        <v>1362.24</v>
      </c>
      <c r="I456" s="13">
        <v>7</v>
      </c>
      <c r="J456" s="13">
        <v>7</v>
      </c>
      <c r="K456" s="13" t="s">
        <v>3348</v>
      </c>
      <c r="L456" s="15">
        <v>194.6057142857143</v>
      </c>
      <c r="M456" s="16">
        <v>194.6057142857143</v>
      </c>
    </row>
    <row r="457" spans="1:13" s="5" customFormat="1" x14ac:dyDescent="0.25">
      <c r="A457" s="12" t="s">
        <v>920</v>
      </c>
      <c r="B457" s="13" t="s">
        <v>921</v>
      </c>
      <c r="C457" s="14">
        <v>45578</v>
      </c>
      <c r="D457" s="13">
        <v>2024</v>
      </c>
      <c r="E457" s="13" t="s">
        <v>3347</v>
      </c>
      <c r="F457" s="13" t="s">
        <v>34</v>
      </c>
      <c r="G457" s="15">
        <v>1648.8</v>
      </c>
      <c r="H457" s="15">
        <v>1648.8</v>
      </c>
      <c r="I457" s="13">
        <v>5</v>
      </c>
      <c r="J457" s="13">
        <v>5</v>
      </c>
      <c r="K457" s="13" t="s">
        <v>15</v>
      </c>
      <c r="L457" s="15">
        <v>329.76</v>
      </c>
      <c r="M457" s="16">
        <v>329.76</v>
      </c>
    </row>
    <row r="458" spans="1:13" s="5" customFormat="1" x14ac:dyDescent="0.25">
      <c r="A458" s="12" t="s">
        <v>922</v>
      </c>
      <c r="B458" s="13" t="s">
        <v>923</v>
      </c>
      <c r="C458" s="14">
        <v>45553</v>
      </c>
      <c r="D458" s="13">
        <v>2024</v>
      </c>
      <c r="E458" s="13" t="s">
        <v>10</v>
      </c>
      <c r="F458" s="13" t="s">
        <v>34</v>
      </c>
      <c r="G458" s="15">
        <v>1361.37</v>
      </c>
      <c r="H458" s="15">
        <v>1361.37</v>
      </c>
      <c r="I458" s="13">
        <v>6</v>
      </c>
      <c r="J458" s="13">
        <v>6</v>
      </c>
      <c r="K458" s="13" t="s">
        <v>35</v>
      </c>
      <c r="L458" s="15">
        <v>226.89499999999998</v>
      </c>
      <c r="M458" s="16">
        <v>226.89499999999998</v>
      </c>
    </row>
    <row r="459" spans="1:13" s="5" customFormat="1" x14ac:dyDescent="0.25">
      <c r="A459" s="12" t="s">
        <v>924</v>
      </c>
      <c r="B459" s="13" t="s">
        <v>925</v>
      </c>
      <c r="C459" s="14">
        <v>44907</v>
      </c>
      <c r="D459" s="13">
        <v>2022</v>
      </c>
      <c r="E459" s="13" t="s">
        <v>10</v>
      </c>
      <c r="F459" s="13" t="s">
        <v>25</v>
      </c>
      <c r="G459" s="15">
        <v>662.24</v>
      </c>
      <c r="H459" s="15">
        <v>662.24</v>
      </c>
      <c r="I459" s="13">
        <v>9</v>
      </c>
      <c r="J459" s="13">
        <v>9</v>
      </c>
      <c r="K459" s="13" t="s">
        <v>3348</v>
      </c>
      <c r="L459" s="15">
        <v>73.582222222222228</v>
      </c>
      <c r="M459" s="16">
        <v>73.582222222222228</v>
      </c>
    </row>
    <row r="460" spans="1:13" s="5" customFormat="1" x14ac:dyDescent="0.25">
      <c r="A460" s="12" t="s">
        <v>926</v>
      </c>
      <c r="B460" s="13" t="s">
        <v>927</v>
      </c>
      <c r="C460" s="14">
        <v>45084</v>
      </c>
      <c r="D460" s="13">
        <v>2023</v>
      </c>
      <c r="E460" s="13" t="s">
        <v>14</v>
      </c>
      <c r="F460" s="13" t="s">
        <v>22</v>
      </c>
      <c r="G460" s="15">
        <v>924.35</v>
      </c>
      <c r="H460" s="15">
        <v>924.35</v>
      </c>
      <c r="I460" s="13">
        <v>4</v>
      </c>
      <c r="J460" s="13">
        <v>4</v>
      </c>
      <c r="K460" s="13" t="s">
        <v>18</v>
      </c>
      <c r="L460" s="15">
        <v>231.08750000000001</v>
      </c>
      <c r="M460" s="16">
        <v>230.5160595238095</v>
      </c>
    </row>
    <row r="461" spans="1:13" s="5" customFormat="1" x14ac:dyDescent="0.25">
      <c r="A461" s="12" t="s">
        <v>928</v>
      </c>
      <c r="B461" s="13" t="s">
        <v>929</v>
      </c>
      <c r="C461" s="14">
        <v>45002</v>
      </c>
      <c r="D461" s="13">
        <v>2023</v>
      </c>
      <c r="E461" s="13" t="s">
        <v>3347</v>
      </c>
      <c r="F461" s="13" t="s">
        <v>25</v>
      </c>
      <c r="G461" s="15">
        <v>665.71</v>
      </c>
      <c r="H461" s="15">
        <v>665.71</v>
      </c>
      <c r="I461" s="13">
        <v>1</v>
      </c>
      <c r="J461" s="13">
        <v>1</v>
      </c>
      <c r="K461" s="13" t="s">
        <v>15</v>
      </c>
      <c r="L461" s="15">
        <v>665.71</v>
      </c>
      <c r="M461" s="16">
        <v>665.71</v>
      </c>
    </row>
    <row r="462" spans="1:13" s="5" customFormat="1" x14ac:dyDescent="0.25">
      <c r="A462" s="12" t="s">
        <v>930</v>
      </c>
      <c r="B462" s="13" t="s">
        <v>931</v>
      </c>
      <c r="C462" s="14">
        <v>45743</v>
      </c>
      <c r="D462" s="13">
        <v>2025</v>
      </c>
      <c r="E462" s="13" t="s">
        <v>10</v>
      </c>
      <c r="F462" s="13" t="s">
        <v>34</v>
      </c>
      <c r="G462" s="15">
        <v>1480.59</v>
      </c>
      <c r="H462" s="15">
        <v>1480.59</v>
      </c>
      <c r="I462" s="13">
        <v>2</v>
      </c>
      <c r="J462" s="13">
        <v>2</v>
      </c>
      <c r="K462" s="13" t="s">
        <v>3348</v>
      </c>
      <c r="L462" s="15">
        <v>740.29499999999996</v>
      </c>
      <c r="M462" s="16">
        <v>740.29499999999996</v>
      </c>
    </row>
    <row r="463" spans="1:13" s="5" customFormat="1" x14ac:dyDescent="0.25">
      <c r="A463" s="12" t="s">
        <v>932</v>
      </c>
      <c r="B463" s="13" t="s">
        <v>933</v>
      </c>
      <c r="C463" s="14">
        <v>44875</v>
      </c>
      <c r="D463" s="13">
        <v>2022</v>
      </c>
      <c r="E463" s="13" t="s">
        <v>21</v>
      </c>
      <c r="F463" s="13" t="s">
        <v>22</v>
      </c>
      <c r="G463" s="15">
        <v>1349.24</v>
      </c>
      <c r="H463" s="15">
        <v>1349.24</v>
      </c>
      <c r="I463" s="13">
        <v>7</v>
      </c>
      <c r="J463" s="13">
        <v>7</v>
      </c>
      <c r="K463" s="13" t="s">
        <v>15</v>
      </c>
      <c r="L463" s="15">
        <v>192.74857142857144</v>
      </c>
      <c r="M463" s="16">
        <v>192.74857142857144</v>
      </c>
    </row>
    <row r="464" spans="1:13" s="5" customFormat="1" x14ac:dyDescent="0.25">
      <c r="A464" s="12" t="s">
        <v>934</v>
      </c>
      <c r="B464" s="13" t="s">
        <v>935</v>
      </c>
      <c r="C464" s="14">
        <v>45736</v>
      </c>
      <c r="D464" s="13">
        <v>2025</v>
      </c>
      <c r="E464" s="13" t="s">
        <v>21</v>
      </c>
      <c r="F464" s="13" t="s">
        <v>22</v>
      </c>
      <c r="G464" s="15">
        <v>1894.26</v>
      </c>
      <c r="H464" s="15">
        <v>1894.26</v>
      </c>
      <c r="I464" s="13">
        <v>9</v>
      </c>
      <c r="J464" s="13">
        <v>9</v>
      </c>
      <c r="K464" s="13" t="s">
        <v>18</v>
      </c>
      <c r="L464" s="15">
        <v>210.47333333333333</v>
      </c>
      <c r="M464" s="16">
        <v>210.47333333333333</v>
      </c>
    </row>
    <row r="465" spans="1:13" s="5" customFormat="1" x14ac:dyDescent="0.25">
      <c r="A465" s="12" t="s">
        <v>936</v>
      </c>
      <c r="B465" s="13" t="s">
        <v>937</v>
      </c>
      <c r="C465" s="14">
        <v>45195</v>
      </c>
      <c r="D465" s="13">
        <v>2023</v>
      </c>
      <c r="E465" s="13" t="s">
        <v>10</v>
      </c>
      <c r="F465" s="13" t="s">
        <v>25</v>
      </c>
      <c r="G465" s="15">
        <v>1006.58</v>
      </c>
      <c r="H465" s="15">
        <v>1006.58</v>
      </c>
      <c r="I465" s="13">
        <v>9</v>
      </c>
      <c r="J465" s="13">
        <v>9</v>
      </c>
      <c r="K465" s="13" t="s">
        <v>35</v>
      </c>
      <c r="L465" s="15">
        <v>111.84222222222223</v>
      </c>
      <c r="M465" s="16">
        <v>111.84222222222223</v>
      </c>
    </row>
    <row r="466" spans="1:13" s="5" customFormat="1" x14ac:dyDescent="0.25">
      <c r="A466" s="12" t="s">
        <v>938</v>
      </c>
      <c r="B466" s="13" t="s">
        <v>939</v>
      </c>
      <c r="C466" s="14">
        <v>45648</v>
      </c>
      <c r="D466" s="13">
        <v>2024</v>
      </c>
      <c r="E466" s="13" t="s">
        <v>21</v>
      </c>
      <c r="F466" s="13" t="s">
        <v>25</v>
      </c>
      <c r="G466" s="15">
        <v>994.54</v>
      </c>
      <c r="H466" s="15">
        <v>994.54</v>
      </c>
      <c r="I466" s="13">
        <v>6</v>
      </c>
      <c r="J466" s="13">
        <v>6</v>
      </c>
      <c r="K466" s="13" t="s">
        <v>3346</v>
      </c>
      <c r="L466" s="15">
        <v>165.75666666666666</v>
      </c>
      <c r="M466" s="16">
        <v>165.75666666666666</v>
      </c>
    </row>
    <row r="467" spans="1:13" s="5" customFormat="1" x14ac:dyDescent="0.25">
      <c r="A467" s="12" t="s">
        <v>940</v>
      </c>
      <c r="B467" s="13" t="s">
        <v>941</v>
      </c>
      <c r="C467" s="14">
        <v>45011</v>
      </c>
      <c r="D467" s="13">
        <v>2023</v>
      </c>
      <c r="E467" s="13" t="s">
        <v>14</v>
      </c>
      <c r="F467" s="13" t="s">
        <v>25</v>
      </c>
      <c r="G467" s="15">
        <v>1641.43</v>
      </c>
      <c r="H467" s="15">
        <v>1641.43</v>
      </c>
      <c r="I467" s="13">
        <v>5</v>
      </c>
      <c r="J467" s="13">
        <v>5</v>
      </c>
      <c r="K467" s="13" t="s">
        <v>18</v>
      </c>
      <c r="L467" s="15">
        <v>328.286</v>
      </c>
      <c r="M467" s="16">
        <v>328.286</v>
      </c>
    </row>
    <row r="468" spans="1:13" s="5" customFormat="1" x14ac:dyDescent="0.25">
      <c r="A468" s="12" t="s">
        <v>942</v>
      </c>
      <c r="B468" s="13" t="s">
        <v>943</v>
      </c>
      <c r="C468" s="14">
        <v>45946</v>
      </c>
      <c r="D468" s="13">
        <v>2025</v>
      </c>
      <c r="E468" s="13" t="s">
        <v>21</v>
      </c>
      <c r="F468" s="13" t="s">
        <v>22</v>
      </c>
      <c r="G468" s="15">
        <v>321.20999999999998</v>
      </c>
      <c r="H468" s="15">
        <v>321.20999999999998</v>
      </c>
      <c r="I468" s="13">
        <v>8</v>
      </c>
      <c r="J468" s="13">
        <v>8</v>
      </c>
      <c r="K468" s="13" t="s">
        <v>3346</v>
      </c>
      <c r="L468" s="15">
        <v>40.151249999999997</v>
      </c>
      <c r="M468" s="16">
        <v>40.151249999999997</v>
      </c>
    </row>
    <row r="469" spans="1:13" s="5" customFormat="1" x14ac:dyDescent="0.25">
      <c r="A469" s="12" t="s">
        <v>944</v>
      </c>
      <c r="B469" s="13" t="s">
        <v>724</v>
      </c>
      <c r="C469" s="14">
        <v>45760</v>
      </c>
      <c r="D469" s="13">
        <v>2025</v>
      </c>
      <c r="E469" s="13" t="s">
        <v>21</v>
      </c>
      <c r="F469" s="13" t="s">
        <v>11</v>
      </c>
      <c r="G469" s="15">
        <v>1647.65825</v>
      </c>
      <c r="H469" s="15">
        <v>1647.65825</v>
      </c>
      <c r="I469" s="13">
        <v>6</v>
      </c>
      <c r="J469" s="13">
        <v>6</v>
      </c>
      <c r="K469" s="13" t="s">
        <v>35</v>
      </c>
      <c r="L469" s="15">
        <v>274.60970833333334</v>
      </c>
      <c r="M469" s="16">
        <v>274.60970833333334</v>
      </c>
    </row>
    <row r="470" spans="1:13" s="5" customFormat="1" x14ac:dyDescent="0.25">
      <c r="A470" s="12" t="s">
        <v>945</v>
      </c>
      <c r="B470" s="13" t="s">
        <v>946</v>
      </c>
      <c r="C470" s="14">
        <v>45510</v>
      </c>
      <c r="D470" s="13">
        <v>2024</v>
      </c>
      <c r="E470" s="13" t="s">
        <v>21</v>
      </c>
      <c r="F470" s="13" t="s">
        <v>34</v>
      </c>
      <c r="G470" s="15">
        <v>439.57</v>
      </c>
      <c r="H470" s="15">
        <v>439.57</v>
      </c>
      <c r="I470" s="13">
        <v>2</v>
      </c>
      <c r="J470" s="13">
        <v>2</v>
      </c>
      <c r="K470" s="13" t="s">
        <v>3346</v>
      </c>
      <c r="L470" s="15">
        <v>219.785</v>
      </c>
      <c r="M470" s="16">
        <v>219.785</v>
      </c>
    </row>
    <row r="471" spans="1:13" s="5" customFormat="1" x14ac:dyDescent="0.25">
      <c r="A471" s="12" t="s">
        <v>947</v>
      </c>
      <c r="B471" s="13" t="s">
        <v>948</v>
      </c>
      <c r="C471" s="14">
        <v>45195</v>
      </c>
      <c r="D471" s="13">
        <v>2023</v>
      </c>
      <c r="E471" s="13" t="s">
        <v>10</v>
      </c>
      <c r="F471" s="13" t="s">
        <v>34</v>
      </c>
      <c r="G471" s="15">
        <v>1167.8800000000001</v>
      </c>
      <c r="H471" s="15">
        <v>1167.8800000000001</v>
      </c>
      <c r="I471" s="13">
        <v>1</v>
      </c>
      <c r="J471" s="13">
        <v>1</v>
      </c>
      <c r="K471" s="13" t="s">
        <v>18</v>
      </c>
      <c r="L471" s="15">
        <v>1167.8800000000001</v>
      </c>
      <c r="M471" s="16">
        <v>1167.8800000000001</v>
      </c>
    </row>
    <row r="472" spans="1:13" s="5" customFormat="1" x14ac:dyDescent="0.25">
      <c r="A472" s="12" t="s">
        <v>949</v>
      </c>
      <c r="B472" s="13" t="s">
        <v>950</v>
      </c>
      <c r="C472" s="14">
        <v>45624</v>
      </c>
      <c r="D472" s="13">
        <v>2024</v>
      </c>
      <c r="E472" s="13" t="s">
        <v>14</v>
      </c>
      <c r="F472" s="13" t="s">
        <v>11</v>
      </c>
      <c r="G472" s="15">
        <v>1569.17</v>
      </c>
      <c r="H472" s="15">
        <v>1569.17</v>
      </c>
      <c r="I472" s="13">
        <v>6</v>
      </c>
      <c r="J472" s="13">
        <v>6</v>
      </c>
      <c r="K472" s="13" t="s">
        <v>3346</v>
      </c>
      <c r="L472" s="15">
        <v>261.52833333333336</v>
      </c>
      <c r="M472" s="16">
        <v>261.52833333333336</v>
      </c>
    </row>
    <row r="473" spans="1:13" s="5" customFormat="1" x14ac:dyDescent="0.25">
      <c r="A473" s="12" t="s">
        <v>951</v>
      </c>
      <c r="B473" s="13" t="s">
        <v>952</v>
      </c>
      <c r="C473" s="14">
        <v>45946</v>
      </c>
      <c r="D473" s="13">
        <v>2025</v>
      </c>
      <c r="E473" s="13" t="s">
        <v>3347</v>
      </c>
      <c r="F473" s="13" t="s">
        <v>34</v>
      </c>
      <c r="G473" s="15">
        <v>43.33</v>
      </c>
      <c r="H473" s="15">
        <v>43.33</v>
      </c>
      <c r="I473" s="13">
        <v>2</v>
      </c>
      <c r="J473" s="13">
        <v>2</v>
      </c>
      <c r="K473" s="13" t="s">
        <v>15</v>
      </c>
      <c r="L473" s="15">
        <v>21.664999999999999</v>
      </c>
      <c r="M473" s="16">
        <v>21.664999999999999</v>
      </c>
    </row>
    <row r="474" spans="1:13" s="5" customFormat="1" x14ac:dyDescent="0.25">
      <c r="A474" s="12" t="s">
        <v>953</v>
      </c>
      <c r="B474" s="13" t="s">
        <v>954</v>
      </c>
      <c r="C474" s="14">
        <v>45386</v>
      </c>
      <c r="D474" s="13">
        <v>2024</v>
      </c>
      <c r="E474" s="13" t="s">
        <v>10</v>
      </c>
      <c r="F474" s="13" t="s">
        <v>34</v>
      </c>
      <c r="G474" s="15">
        <v>1807.32</v>
      </c>
      <c r="H474" s="15">
        <v>1807.32</v>
      </c>
      <c r="I474" s="13">
        <v>2</v>
      </c>
      <c r="J474" s="13">
        <v>2</v>
      </c>
      <c r="K474" s="13" t="s">
        <v>3348</v>
      </c>
      <c r="L474" s="15">
        <v>903.66</v>
      </c>
      <c r="M474" s="16">
        <v>903.66</v>
      </c>
    </row>
    <row r="475" spans="1:13" s="5" customFormat="1" x14ac:dyDescent="0.25">
      <c r="A475" s="12" t="s">
        <v>955</v>
      </c>
      <c r="B475" s="13" t="s">
        <v>956</v>
      </c>
      <c r="C475" s="14">
        <v>45118</v>
      </c>
      <c r="D475" s="13">
        <v>2023</v>
      </c>
      <c r="E475" s="13" t="s">
        <v>14</v>
      </c>
      <c r="F475" s="13" t="s">
        <v>22</v>
      </c>
      <c r="G475" s="15">
        <v>1973.62</v>
      </c>
      <c r="H475" s="15">
        <v>1973.62</v>
      </c>
      <c r="I475" s="13">
        <v>4</v>
      </c>
      <c r="J475" s="13">
        <v>4</v>
      </c>
      <c r="K475" s="13" t="s">
        <v>18</v>
      </c>
      <c r="L475" s="15">
        <v>493.40499999999997</v>
      </c>
      <c r="M475" s="16">
        <v>493.40499999999997</v>
      </c>
    </row>
    <row r="476" spans="1:13" s="5" customFormat="1" x14ac:dyDescent="0.25">
      <c r="A476" s="12" t="s">
        <v>957</v>
      </c>
      <c r="B476" s="13" t="s">
        <v>958</v>
      </c>
      <c r="C476" s="14">
        <v>45438</v>
      </c>
      <c r="D476" s="13">
        <v>2024</v>
      </c>
      <c r="E476" s="13" t="s">
        <v>3347</v>
      </c>
      <c r="F476" s="13" t="s">
        <v>25</v>
      </c>
      <c r="G476" s="15">
        <v>1412.02</v>
      </c>
      <c r="H476" s="15">
        <v>1412.02</v>
      </c>
      <c r="I476" s="13">
        <v>9</v>
      </c>
      <c r="J476" s="13">
        <v>9</v>
      </c>
      <c r="K476" s="13" t="s">
        <v>3348</v>
      </c>
      <c r="L476" s="15">
        <v>156.89111111111112</v>
      </c>
      <c r="M476" s="16">
        <v>156.89111111111112</v>
      </c>
    </row>
    <row r="477" spans="1:13" s="5" customFormat="1" x14ac:dyDescent="0.25">
      <c r="A477" s="12" t="s">
        <v>959</v>
      </c>
      <c r="B477" s="13" t="s">
        <v>305</v>
      </c>
      <c r="C477" s="14">
        <v>45206</v>
      </c>
      <c r="D477" s="13">
        <v>2023</v>
      </c>
      <c r="E477" s="13" t="s">
        <v>3347</v>
      </c>
      <c r="F477" s="13" t="s">
        <v>22</v>
      </c>
      <c r="G477" s="15">
        <v>755.43</v>
      </c>
      <c r="H477" s="15">
        <v>755.43</v>
      </c>
      <c r="I477" s="13">
        <v>1</v>
      </c>
      <c r="J477" s="13">
        <v>1</v>
      </c>
      <c r="K477" s="13" t="s">
        <v>15</v>
      </c>
      <c r="L477" s="15">
        <v>755.43</v>
      </c>
      <c r="M477" s="16">
        <v>755.43</v>
      </c>
    </row>
    <row r="478" spans="1:13" s="5" customFormat="1" x14ac:dyDescent="0.25">
      <c r="A478" s="12" t="s">
        <v>960</v>
      </c>
      <c r="B478" s="13" t="s">
        <v>961</v>
      </c>
      <c r="C478" s="14">
        <v>44890</v>
      </c>
      <c r="D478" s="13">
        <v>2022</v>
      </c>
      <c r="E478" s="13" t="s">
        <v>21</v>
      </c>
      <c r="F478" s="13" t="s">
        <v>11</v>
      </c>
      <c r="G478" s="15">
        <v>1433.78</v>
      </c>
      <c r="H478" s="15">
        <v>1433.78</v>
      </c>
      <c r="I478" s="13">
        <v>6</v>
      </c>
      <c r="J478" s="13">
        <v>6</v>
      </c>
      <c r="K478" s="13" t="s">
        <v>3348</v>
      </c>
      <c r="L478" s="15">
        <v>238.96333333333334</v>
      </c>
      <c r="M478" s="16">
        <v>238.96333333333334</v>
      </c>
    </row>
    <row r="479" spans="1:13" s="5" customFormat="1" x14ac:dyDescent="0.25">
      <c r="A479" s="12" t="s">
        <v>962</v>
      </c>
      <c r="B479" s="13" t="s">
        <v>506</v>
      </c>
      <c r="C479" s="14">
        <v>45949</v>
      </c>
      <c r="D479" s="13">
        <v>2025</v>
      </c>
      <c r="E479" s="13" t="s">
        <v>14</v>
      </c>
      <c r="F479" s="13" t="s">
        <v>25</v>
      </c>
      <c r="G479" s="15">
        <v>1007.5171858333338</v>
      </c>
      <c r="H479" s="15">
        <v>1007.5171858333338</v>
      </c>
      <c r="I479" s="13">
        <v>3</v>
      </c>
      <c r="J479" s="13">
        <v>3</v>
      </c>
      <c r="K479" s="13" t="s">
        <v>3346</v>
      </c>
      <c r="L479" s="15">
        <v>335.83906194444461</v>
      </c>
      <c r="M479" s="16">
        <v>335.83906194444461</v>
      </c>
    </row>
    <row r="480" spans="1:13" s="5" customFormat="1" x14ac:dyDescent="0.25">
      <c r="A480" s="12" t="s">
        <v>963</v>
      </c>
      <c r="B480" s="13" t="s">
        <v>964</v>
      </c>
      <c r="C480" s="14">
        <v>45825</v>
      </c>
      <c r="D480" s="13">
        <v>2025</v>
      </c>
      <c r="E480" s="13" t="s">
        <v>21</v>
      </c>
      <c r="F480" s="13" t="s">
        <v>34</v>
      </c>
      <c r="G480" s="15">
        <v>360.04</v>
      </c>
      <c r="H480" s="15">
        <v>360.04</v>
      </c>
      <c r="I480" s="13">
        <v>7</v>
      </c>
      <c r="J480" s="13">
        <v>7</v>
      </c>
      <c r="K480" s="13" t="s">
        <v>3348</v>
      </c>
      <c r="L480" s="15">
        <v>51.434285714285714</v>
      </c>
      <c r="M480" s="16">
        <v>51.434285714285714</v>
      </c>
    </row>
    <row r="481" spans="1:13" s="5" customFormat="1" x14ac:dyDescent="0.25">
      <c r="A481" s="12" t="s">
        <v>965</v>
      </c>
      <c r="B481" s="13" t="s">
        <v>966</v>
      </c>
      <c r="C481" s="14">
        <v>45488</v>
      </c>
      <c r="D481" s="13">
        <v>2024</v>
      </c>
      <c r="E481" s="13" t="s">
        <v>3347</v>
      </c>
      <c r="F481" s="13" t="s">
        <v>22</v>
      </c>
      <c r="G481" s="15">
        <v>652.28488888888887</v>
      </c>
      <c r="H481" s="15">
        <v>652.28488888888887</v>
      </c>
      <c r="I481" s="13">
        <v>2</v>
      </c>
      <c r="J481" s="13">
        <v>2</v>
      </c>
      <c r="K481" s="13" t="s">
        <v>35</v>
      </c>
      <c r="L481" s="15">
        <v>326.14244444444444</v>
      </c>
      <c r="M481" s="16">
        <v>326.14244444444444</v>
      </c>
    </row>
    <row r="482" spans="1:13" s="5" customFormat="1" x14ac:dyDescent="0.25">
      <c r="A482" s="12" t="s">
        <v>967</v>
      </c>
      <c r="B482" s="13" t="s">
        <v>968</v>
      </c>
      <c r="C482" s="14">
        <v>45657</v>
      </c>
      <c r="D482" s="13">
        <v>2024</v>
      </c>
      <c r="E482" s="13" t="s">
        <v>14</v>
      </c>
      <c r="F482" s="13" t="s">
        <v>25</v>
      </c>
      <c r="G482" s="15">
        <v>1151.18</v>
      </c>
      <c r="H482" s="15">
        <v>1151.18</v>
      </c>
      <c r="I482" s="13">
        <v>5</v>
      </c>
      <c r="J482" s="13">
        <v>5</v>
      </c>
      <c r="K482" s="13" t="s">
        <v>3346</v>
      </c>
      <c r="L482" s="15">
        <v>230.23600000000002</v>
      </c>
      <c r="M482" s="16">
        <v>230.23600000000002</v>
      </c>
    </row>
    <row r="483" spans="1:13" s="5" customFormat="1" x14ac:dyDescent="0.25">
      <c r="A483" s="12" t="s">
        <v>969</v>
      </c>
      <c r="B483" s="13" t="s">
        <v>970</v>
      </c>
      <c r="C483" s="14">
        <v>45720</v>
      </c>
      <c r="D483" s="13">
        <v>2025</v>
      </c>
      <c r="E483" s="13" t="s">
        <v>3347</v>
      </c>
      <c r="F483" s="13" t="s">
        <v>34</v>
      </c>
      <c r="G483" s="15">
        <v>887.76</v>
      </c>
      <c r="H483" s="15">
        <v>887.76</v>
      </c>
      <c r="I483" s="13">
        <v>2</v>
      </c>
      <c r="J483" s="13">
        <v>2</v>
      </c>
      <c r="K483" s="13" t="s">
        <v>15</v>
      </c>
      <c r="L483" s="15">
        <v>443.88</v>
      </c>
      <c r="M483" s="16">
        <v>443.88</v>
      </c>
    </row>
    <row r="484" spans="1:13" s="5" customFormat="1" x14ac:dyDescent="0.25">
      <c r="A484" s="12" t="s">
        <v>971</v>
      </c>
      <c r="B484" s="13" t="s">
        <v>972</v>
      </c>
      <c r="C484" s="14">
        <v>45561</v>
      </c>
      <c r="D484" s="13">
        <v>2024</v>
      </c>
      <c r="E484" s="13" t="s">
        <v>10</v>
      </c>
      <c r="F484" s="13" t="s">
        <v>34</v>
      </c>
      <c r="G484" s="15">
        <v>14.77</v>
      </c>
      <c r="H484" s="15">
        <v>14.77</v>
      </c>
      <c r="I484" s="13">
        <v>3</v>
      </c>
      <c r="J484" s="13">
        <v>3</v>
      </c>
      <c r="K484" s="13" t="s">
        <v>35</v>
      </c>
      <c r="L484" s="15">
        <v>4.9233333333333329</v>
      </c>
      <c r="M484" s="16">
        <v>4.9233333333333329</v>
      </c>
    </row>
    <row r="485" spans="1:13" s="5" customFormat="1" x14ac:dyDescent="0.25">
      <c r="A485" s="12" t="s">
        <v>973</v>
      </c>
      <c r="B485" s="13" t="s">
        <v>974</v>
      </c>
      <c r="C485" s="14">
        <v>45361</v>
      </c>
      <c r="D485" s="13">
        <v>2024</v>
      </c>
      <c r="E485" s="13" t="s">
        <v>21</v>
      </c>
      <c r="F485" s="13" t="s">
        <v>25</v>
      </c>
      <c r="G485" s="15">
        <v>1619.75</v>
      </c>
      <c r="H485" s="15">
        <v>1619.75</v>
      </c>
      <c r="I485" s="13">
        <v>8</v>
      </c>
      <c r="J485" s="13">
        <v>8</v>
      </c>
      <c r="K485" s="13" t="s">
        <v>3348</v>
      </c>
      <c r="L485" s="15">
        <v>202.46875</v>
      </c>
      <c r="M485" s="16">
        <v>202.46875</v>
      </c>
    </row>
    <row r="486" spans="1:13" s="5" customFormat="1" x14ac:dyDescent="0.25">
      <c r="A486" s="12" t="s">
        <v>975</v>
      </c>
      <c r="B486" s="13" t="s">
        <v>976</v>
      </c>
      <c r="C486" s="14">
        <v>45582</v>
      </c>
      <c r="D486" s="13">
        <v>2024</v>
      </c>
      <c r="E486" s="13" t="s">
        <v>14</v>
      </c>
      <c r="F486" s="13" t="s">
        <v>34</v>
      </c>
      <c r="G486" s="15">
        <v>1357.16</v>
      </c>
      <c r="H486" s="15">
        <v>1357.16</v>
      </c>
      <c r="I486" s="13">
        <v>6</v>
      </c>
      <c r="J486" s="13">
        <v>6</v>
      </c>
      <c r="K486" s="13" t="s">
        <v>18</v>
      </c>
      <c r="L486" s="15">
        <v>226.19333333333336</v>
      </c>
      <c r="M486" s="16">
        <v>226.19333333333336</v>
      </c>
    </row>
    <row r="487" spans="1:13" s="5" customFormat="1" x14ac:dyDescent="0.25">
      <c r="A487" s="12" t="s">
        <v>977</v>
      </c>
      <c r="B487" s="13" t="s">
        <v>978</v>
      </c>
      <c r="C487" s="14">
        <v>45150</v>
      </c>
      <c r="D487" s="13">
        <v>2023</v>
      </c>
      <c r="E487" s="13" t="s">
        <v>14</v>
      </c>
      <c r="F487" s="13" t="s">
        <v>34</v>
      </c>
      <c r="G487" s="15">
        <v>992.06</v>
      </c>
      <c r="H487" s="15">
        <v>992.06</v>
      </c>
      <c r="I487" s="13">
        <v>2</v>
      </c>
      <c r="J487" s="13">
        <v>2</v>
      </c>
      <c r="K487" s="13" t="s">
        <v>3346</v>
      </c>
      <c r="L487" s="15">
        <v>496.03</v>
      </c>
      <c r="M487" s="16">
        <v>496.03</v>
      </c>
    </row>
    <row r="488" spans="1:13" s="5" customFormat="1" x14ac:dyDescent="0.25">
      <c r="A488" s="12" t="s">
        <v>979</v>
      </c>
      <c r="B488" s="13" t="s">
        <v>980</v>
      </c>
      <c r="C488" s="14">
        <v>45020</v>
      </c>
      <c r="D488" s="13">
        <v>2023</v>
      </c>
      <c r="E488" s="13" t="s">
        <v>14</v>
      </c>
      <c r="F488" s="13" t="s">
        <v>25</v>
      </c>
      <c r="G488" s="15">
        <v>249.44</v>
      </c>
      <c r="H488" s="15">
        <v>249.44</v>
      </c>
      <c r="I488" s="13">
        <v>9</v>
      </c>
      <c r="J488" s="13">
        <v>9</v>
      </c>
      <c r="K488" s="13" t="s">
        <v>15</v>
      </c>
      <c r="L488" s="15">
        <v>27.715555555555554</v>
      </c>
      <c r="M488" s="16">
        <v>27.715555555555554</v>
      </c>
    </row>
    <row r="489" spans="1:13" s="5" customFormat="1" x14ac:dyDescent="0.25">
      <c r="A489" s="12" t="s">
        <v>981</v>
      </c>
      <c r="B489" s="13" t="s">
        <v>982</v>
      </c>
      <c r="C489" s="14">
        <v>45311</v>
      </c>
      <c r="D489" s="13">
        <v>2024</v>
      </c>
      <c r="E489" s="13" t="s">
        <v>14</v>
      </c>
      <c r="F489" s="13" t="s">
        <v>11</v>
      </c>
      <c r="G489" s="15">
        <v>564.28</v>
      </c>
      <c r="H489" s="15">
        <v>564.28</v>
      </c>
      <c r="I489" s="13">
        <v>3</v>
      </c>
      <c r="J489" s="13">
        <v>3</v>
      </c>
      <c r="K489" s="13" t="s">
        <v>3346</v>
      </c>
      <c r="L489" s="15">
        <v>188.09333333333333</v>
      </c>
      <c r="M489" s="16">
        <v>162.66860267857143</v>
      </c>
    </row>
    <row r="490" spans="1:13" s="5" customFormat="1" x14ac:dyDescent="0.25">
      <c r="A490" s="12" t="s">
        <v>983</v>
      </c>
      <c r="B490" s="13" t="s">
        <v>984</v>
      </c>
      <c r="C490" s="14">
        <v>44958</v>
      </c>
      <c r="D490" s="13">
        <v>2023</v>
      </c>
      <c r="E490" s="13" t="s">
        <v>10</v>
      </c>
      <c r="F490" s="13" t="s">
        <v>22</v>
      </c>
      <c r="G490" s="15">
        <v>1543.21</v>
      </c>
      <c r="H490" s="15">
        <v>1543.21</v>
      </c>
      <c r="I490" s="13">
        <v>7</v>
      </c>
      <c r="J490" s="13">
        <v>7</v>
      </c>
      <c r="K490" s="13" t="s">
        <v>18</v>
      </c>
      <c r="L490" s="15">
        <v>220.45857142857145</v>
      </c>
      <c r="M490" s="16">
        <v>220.45857142857145</v>
      </c>
    </row>
    <row r="491" spans="1:13" s="5" customFormat="1" x14ac:dyDescent="0.25">
      <c r="A491" s="12" t="s">
        <v>985</v>
      </c>
      <c r="B491" s="13" t="s">
        <v>986</v>
      </c>
      <c r="C491" s="14">
        <v>45493</v>
      </c>
      <c r="D491" s="13">
        <v>2024</v>
      </c>
      <c r="E491" s="13" t="s">
        <v>14</v>
      </c>
      <c r="F491" s="13" t="s">
        <v>34</v>
      </c>
      <c r="G491" s="15">
        <v>96.56</v>
      </c>
      <c r="H491" s="15">
        <v>96.56</v>
      </c>
      <c r="I491" s="13">
        <v>7</v>
      </c>
      <c r="J491" s="13">
        <v>7</v>
      </c>
      <c r="K491" s="13" t="s">
        <v>3348</v>
      </c>
      <c r="L491" s="15">
        <v>13.794285714285715</v>
      </c>
      <c r="M491" s="16">
        <v>13.794285714285715</v>
      </c>
    </row>
    <row r="492" spans="1:13" s="5" customFormat="1" x14ac:dyDescent="0.25">
      <c r="A492" s="12" t="s">
        <v>987</v>
      </c>
      <c r="B492" s="13" t="s">
        <v>988</v>
      </c>
      <c r="C492" s="14">
        <v>45891</v>
      </c>
      <c r="D492" s="13">
        <v>2025</v>
      </c>
      <c r="E492" s="13" t="s">
        <v>3347</v>
      </c>
      <c r="F492" s="13" t="s">
        <v>22</v>
      </c>
      <c r="G492" s="15">
        <v>1222.98</v>
      </c>
      <c r="H492" s="15">
        <v>1222.98</v>
      </c>
      <c r="I492" s="13">
        <v>10</v>
      </c>
      <c r="J492" s="13">
        <v>10</v>
      </c>
      <c r="K492" s="13" t="s">
        <v>3346</v>
      </c>
      <c r="L492" s="15">
        <v>122.298</v>
      </c>
      <c r="M492" s="16">
        <v>122.298</v>
      </c>
    </row>
    <row r="493" spans="1:13" s="5" customFormat="1" x14ac:dyDescent="0.25">
      <c r="A493" s="12" t="s">
        <v>989</v>
      </c>
      <c r="B493" s="13" t="s">
        <v>990</v>
      </c>
      <c r="C493" s="14">
        <v>45921</v>
      </c>
      <c r="D493" s="13">
        <v>2025</v>
      </c>
      <c r="E493" s="13" t="s">
        <v>3347</v>
      </c>
      <c r="F493" s="13" t="s">
        <v>25</v>
      </c>
      <c r="G493" s="15">
        <v>1821.2793750000001</v>
      </c>
      <c r="H493" s="15">
        <v>1821.2793750000001</v>
      </c>
      <c r="I493" s="13">
        <v>3</v>
      </c>
      <c r="J493" s="13">
        <v>3</v>
      </c>
      <c r="K493" s="13" t="s">
        <v>3346</v>
      </c>
      <c r="L493" s="15">
        <v>607.09312499999999</v>
      </c>
      <c r="M493" s="16">
        <v>607.09312499999999</v>
      </c>
    </row>
    <row r="494" spans="1:13" s="5" customFormat="1" x14ac:dyDescent="0.25">
      <c r="A494" s="12" t="s">
        <v>991</v>
      </c>
      <c r="B494" s="13" t="s">
        <v>992</v>
      </c>
      <c r="C494" s="14">
        <v>45443</v>
      </c>
      <c r="D494" s="13">
        <v>2024</v>
      </c>
      <c r="E494" s="13" t="s">
        <v>14</v>
      </c>
      <c r="F494" s="13" t="s">
        <v>34</v>
      </c>
      <c r="G494" s="15">
        <v>1455.73</v>
      </c>
      <c r="H494" s="15">
        <v>1455.73</v>
      </c>
      <c r="I494" s="13">
        <v>13</v>
      </c>
      <c r="J494" s="13">
        <v>10</v>
      </c>
      <c r="K494" s="13" t="s">
        <v>35</v>
      </c>
      <c r="L494" s="15">
        <v>111.97923076923077</v>
      </c>
      <c r="M494" s="16">
        <v>111.54675510204082</v>
      </c>
    </row>
    <row r="495" spans="1:13" s="5" customFormat="1" x14ac:dyDescent="0.25">
      <c r="A495" s="12" t="s">
        <v>993</v>
      </c>
      <c r="B495" s="13" t="s">
        <v>994</v>
      </c>
      <c r="C495" s="14">
        <v>45718</v>
      </c>
      <c r="D495" s="13">
        <v>2025</v>
      </c>
      <c r="E495" s="13" t="s">
        <v>14</v>
      </c>
      <c r="F495" s="13" t="s">
        <v>34</v>
      </c>
      <c r="G495" s="15">
        <v>1634.93</v>
      </c>
      <c r="H495" s="15">
        <v>1634.93</v>
      </c>
      <c r="I495" s="13">
        <v>2</v>
      </c>
      <c r="J495" s="13">
        <v>2</v>
      </c>
      <c r="K495" s="13" t="s">
        <v>35</v>
      </c>
      <c r="L495" s="15">
        <v>817.46500000000003</v>
      </c>
      <c r="M495" s="16">
        <v>817.46500000000003</v>
      </c>
    </row>
    <row r="496" spans="1:13" s="5" customFormat="1" x14ac:dyDescent="0.25">
      <c r="A496" s="12" t="s">
        <v>995</v>
      </c>
      <c r="B496" s="13" t="s">
        <v>996</v>
      </c>
      <c r="C496" s="14">
        <v>45568</v>
      </c>
      <c r="D496" s="13">
        <v>2024</v>
      </c>
      <c r="E496" s="13" t="s">
        <v>3347</v>
      </c>
      <c r="F496" s="13" t="s">
        <v>22</v>
      </c>
      <c r="G496" s="15">
        <v>1045.33</v>
      </c>
      <c r="H496" s="15">
        <v>1045.33</v>
      </c>
      <c r="I496" s="13">
        <v>9</v>
      </c>
      <c r="J496" s="13">
        <v>9</v>
      </c>
      <c r="K496" s="13" t="s">
        <v>18</v>
      </c>
      <c r="L496" s="15">
        <v>116.14777777777778</v>
      </c>
      <c r="M496" s="16">
        <v>116.14777777777778</v>
      </c>
    </row>
    <row r="497" spans="1:13" s="5" customFormat="1" x14ac:dyDescent="0.25">
      <c r="A497" s="12" t="s">
        <v>997</v>
      </c>
      <c r="B497" s="13" t="s">
        <v>103</v>
      </c>
      <c r="C497" s="14">
        <v>44913</v>
      </c>
      <c r="D497" s="13">
        <v>2022</v>
      </c>
      <c r="E497" s="13" t="s">
        <v>14</v>
      </c>
      <c r="F497" s="13" t="s">
        <v>11</v>
      </c>
      <c r="G497" s="15">
        <v>488.09</v>
      </c>
      <c r="H497" s="15">
        <v>488.09</v>
      </c>
      <c r="I497" s="13">
        <v>8</v>
      </c>
      <c r="J497" s="13">
        <v>8</v>
      </c>
      <c r="K497" s="13" t="s">
        <v>3348</v>
      </c>
      <c r="L497" s="15">
        <v>61.011249999999997</v>
      </c>
      <c r="M497" s="16">
        <v>61.011249999999997</v>
      </c>
    </row>
    <row r="498" spans="1:13" s="5" customFormat="1" x14ac:dyDescent="0.25">
      <c r="A498" s="12" t="s">
        <v>998</v>
      </c>
      <c r="B498" s="13" t="s">
        <v>999</v>
      </c>
      <c r="C498" s="14">
        <v>45080</v>
      </c>
      <c r="D498" s="13">
        <v>2023</v>
      </c>
      <c r="E498" s="13" t="s">
        <v>14</v>
      </c>
      <c r="F498" s="13" t="s">
        <v>25</v>
      </c>
      <c r="G498" s="15">
        <v>651.55999999999995</v>
      </c>
      <c r="H498" s="15">
        <v>651.55999999999995</v>
      </c>
      <c r="I498" s="13">
        <v>3</v>
      </c>
      <c r="J498" s="13">
        <v>3</v>
      </c>
      <c r="K498" s="13" t="s">
        <v>3348</v>
      </c>
      <c r="L498" s="15">
        <v>217.18666666666664</v>
      </c>
      <c r="M498" s="16">
        <v>217.18666666666664</v>
      </c>
    </row>
    <row r="499" spans="1:13" s="5" customFormat="1" x14ac:dyDescent="0.25">
      <c r="A499" s="12" t="s">
        <v>1000</v>
      </c>
      <c r="B499" s="13" t="s">
        <v>1001</v>
      </c>
      <c r="C499" s="14">
        <v>45265</v>
      </c>
      <c r="D499" s="13">
        <v>2023</v>
      </c>
      <c r="E499" s="13" t="s">
        <v>10</v>
      </c>
      <c r="F499" s="13" t="s">
        <v>34</v>
      </c>
      <c r="G499" s="15">
        <v>1490.9563915343913</v>
      </c>
      <c r="H499" s="15">
        <v>1490.9563915343913</v>
      </c>
      <c r="I499" s="13">
        <v>8</v>
      </c>
      <c r="J499" s="13">
        <v>8</v>
      </c>
      <c r="K499" s="13" t="s">
        <v>35</v>
      </c>
      <c r="L499" s="15">
        <v>186.36954894179891</v>
      </c>
      <c r="M499" s="16">
        <v>186.36954894179891</v>
      </c>
    </row>
    <row r="500" spans="1:13" s="5" customFormat="1" x14ac:dyDescent="0.25">
      <c r="A500" s="12" t="s">
        <v>1002</v>
      </c>
      <c r="B500" s="13" t="s">
        <v>1003</v>
      </c>
      <c r="C500" s="14">
        <v>45375</v>
      </c>
      <c r="D500" s="13">
        <v>2024</v>
      </c>
      <c r="E500" s="13" t="s">
        <v>10</v>
      </c>
      <c r="F500" s="13" t="s">
        <v>11</v>
      </c>
      <c r="G500" s="15">
        <v>2284.8256937830683</v>
      </c>
      <c r="H500" s="15">
        <v>2284.8256937830683</v>
      </c>
      <c r="I500" s="13">
        <v>8</v>
      </c>
      <c r="J500" s="13">
        <v>8</v>
      </c>
      <c r="K500" s="13" t="s">
        <v>3348</v>
      </c>
      <c r="L500" s="15">
        <v>285.60321172288354</v>
      </c>
      <c r="M500" s="16">
        <v>285.60321172288354</v>
      </c>
    </row>
    <row r="501" spans="1:13" s="5" customFormat="1" x14ac:dyDescent="0.25">
      <c r="A501" s="12" t="s">
        <v>1004</v>
      </c>
      <c r="B501" s="13" t="s">
        <v>1005</v>
      </c>
      <c r="C501" s="14">
        <v>45529</v>
      </c>
      <c r="D501" s="13">
        <v>2024</v>
      </c>
      <c r="E501" s="13" t="s">
        <v>14</v>
      </c>
      <c r="F501" s="13" t="s">
        <v>34</v>
      </c>
      <c r="G501" s="15">
        <v>349.79</v>
      </c>
      <c r="H501" s="15">
        <v>349.79</v>
      </c>
      <c r="I501" s="13">
        <v>1</v>
      </c>
      <c r="J501" s="13">
        <v>1</v>
      </c>
      <c r="K501" s="13" t="s">
        <v>3348</v>
      </c>
      <c r="L501" s="15">
        <v>349.79</v>
      </c>
      <c r="M501" s="16">
        <v>349.79</v>
      </c>
    </row>
    <row r="502" spans="1:13" s="5" customFormat="1" x14ac:dyDescent="0.25">
      <c r="A502" s="12" t="s">
        <v>1006</v>
      </c>
      <c r="B502" s="13" t="s">
        <v>1007</v>
      </c>
      <c r="C502" s="14">
        <v>45602</v>
      </c>
      <c r="D502" s="13">
        <v>2024</v>
      </c>
      <c r="E502" s="13" t="s">
        <v>3347</v>
      </c>
      <c r="F502" s="13" t="s">
        <v>34</v>
      </c>
      <c r="G502" s="15">
        <v>1017.42</v>
      </c>
      <c r="H502" s="15">
        <v>1017.42</v>
      </c>
      <c r="I502" s="13">
        <v>4</v>
      </c>
      <c r="J502" s="13">
        <v>4</v>
      </c>
      <c r="K502" s="13" t="s">
        <v>35</v>
      </c>
      <c r="L502" s="15">
        <v>254.35499999999999</v>
      </c>
      <c r="M502" s="16">
        <v>254.35499999999999</v>
      </c>
    </row>
    <row r="503" spans="1:13" s="5" customFormat="1" x14ac:dyDescent="0.25">
      <c r="A503" s="12" t="s">
        <v>1008</v>
      </c>
      <c r="B503" s="13" t="s">
        <v>1009</v>
      </c>
      <c r="C503" s="14">
        <v>45691</v>
      </c>
      <c r="D503" s="13">
        <v>2025</v>
      </c>
      <c r="E503" s="13" t="s">
        <v>21</v>
      </c>
      <c r="F503" s="13" t="s">
        <v>22</v>
      </c>
      <c r="G503" s="15">
        <v>801.28</v>
      </c>
      <c r="H503" s="15">
        <v>801.28</v>
      </c>
      <c r="I503" s="13">
        <v>8</v>
      </c>
      <c r="J503" s="13">
        <v>8</v>
      </c>
      <c r="K503" s="13" t="s">
        <v>3348</v>
      </c>
      <c r="L503" s="15">
        <v>100.16</v>
      </c>
      <c r="M503" s="16">
        <v>100.16</v>
      </c>
    </row>
    <row r="504" spans="1:13" s="5" customFormat="1" x14ac:dyDescent="0.25">
      <c r="A504" s="12" t="s">
        <v>1010</v>
      </c>
      <c r="B504" s="13" t="s">
        <v>1011</v>
      </c>
      <c r="C504" s="14">
        <v>45698</v>
      </c>
      <c r="D504" s="13">
        <v>2025</v>
      </c>
      <c r="E504" s="13" t="s">
        <v>3347</v>
      </c>
      <c r="F504" s="13" t="s">
        <v>22</v>
      </c>
      <c r="G504" s="15">
        <v>399.12</v>
      </c>
      <c r="H504" s="15">
        <v>399.12</v>
      </c>
      <c r="I504" s="13">
        <v>3</v>
      </c>
      <c r="J504" s="13">
        <v>3</v>
      </c>
      <c r="K504" s="13" t="s">
        <v>15</v>
      </c>
      <c r="L504" s="15">
        <v>133.04</v>
      </c>
      <c r="M504" s="16">
        <v>135.2011613756614</v>
      </c>
    </row>
    <row r="505" spans="1:13" s="5" customFormat="1" x14ac:dyDescent="0.25">
      <c r="A505" s="12" t="s">
        <v>1012</v>
      </c>
      <c r="B505" s="13" t="s">
        <v>1013</v>
      </c>
      <c r="C505" s="14">
        <v>44943</v>
      </c>
      <c r="D505" s="13">
        <v>2023</v>
      </c>
      <c r="E505" s="13" t="s">
        <v>14</v>
      </c>
      <c r="F505" s="13" t="s">
        <v>22</v>
      </c>
      <c r="G505" s="15">
        <v>175.99</v>
      </c>
      <c r="H505" s="15">
        <v>175.99</v>
      </c>
      <c r="I505" s="13">
        <v>4</v>
      </c>
      <c r="J505" s="13">
        <v>4</v>
      </c>
      <c r="K505" s="13" t="s">
        <v>18</v>
      </c>
      <c r="L505" s="15">
        <v>43.997500000000002</v>
      </c>
      <c r="M505" s="16">
        <v>43.997500000000002</v>
      </c>
    </row>
    <row r="506" spans="1:13" s="5" customFormat="1" x14ac:dyDescent="0.25">
      <c r="A506" s="12" t="s">
        <v>1014</v>
      </c>
      <c r="B506" s="13" t="s">
        <v>1015</v>
      </c>
      <c r="C506" s="14">
        <v>45527</v>
      </c>
      <c r="D506" s="13">
        <v>2024</v>
      </c>
      <c r="E506" s="13" t="s">
        <v>14</v>
      </c>
      <c r="F506" s="13" t="s">
        <v>22</v>
      </c>
      <c r="G506" s="15">
        <v>920.8</v>
      </c>
      <c r="H506" s="15">
        <v>920.8</v>
      </c>
      <c r="I506" s="13">
        <v>10</v>
      </c>
      <c r="J506" s="13">
        <v>10</v>
      </c>
      <c r="K506" s="13" t="s">
        <v>15</v>
      </c>
      <c r="L506" s="15">
        <v>92.08</v>
      </c>
      <c r="M506" s="16">
        <v>92.08</v>
      </c>
    </row>
    <row r="507" spans="1:13" s="5" customFormat="1" x14ac:dyDescent="0.25">
      <c r="A507" s="12" t="s">
        <v>1016</v>
      </c>
      <c r="B507" s="13" t="s">
        <v>1017</v>
      </c>
      <c r="C507" s="14">
        <v>44874</v>
      </c>
      <c r="D507" s="13">
        <v>2022</v>
      </c>
      <c r="E507" s="13" t="s">
        <v>21</v>
      </c>
      <c r="F507" s="13" t="s">
        <v>11</v>
      </c>
      <c r="G507" s="15">
        <v>1954.71</v>
      </c>
      <c r="H507" s="15">
        <v>1954.71</v>
      </c>
      <c r="I507" s="13">
        <v>2</v>
      </c>
      <c r="J507" s="13">
        <v>2</v>
      </c>
      <c r="K507" s="13" t="s">
        <v>35</v>
      </c>
      <c r="L507" s="15">
        <v>977.35500000000002</v>
      </c>
      <c r="M507" s="16">
        <v>977.35500000000002</v>
      </c>
    </row>
    <row r="508" spans="1:13" s="5" customFormat="1" x14ac:dyDescent="0.25">
      <c r="A508" s="12" t="s">
        <v>1018</v>
      </c>
      <c r="B508" s="13" t="s">
        <v>1019</v>
      </c>
      <c r="C508" s="14">
        <v>45907</v>
      </c>
      <c r="D508" s="13">
        <v>2025</v>
      </c>
      <c r="E508" s="13" t="s">
        <v>14</v>
      </c>
      <c r="F508" s="13" t="s">
        <v>25</v>
      </c>
      <c r="G508" s="15">
        <v>264.04000000000002</v>
      </c>
      <c r="H508" s="15">
        <v>264.04000000000002</v>
      </c>
      <c r="I508" s="13">
        <v>2</v>
      </c>
      <c r="J508" s="13">
        <v>2</v>
      </c>
      <c r="K508" s="13" t="s">
        <v>3348</v>
      </c>
      <c r="L508" s="15">
        <v>132.02000000000001</v>
      </c>
      <c r="M508" s="16">
        <v>132.02000000000001</v>
      </c>
    </row>
    <row r="509" spans="1:13" s="5" customFormat="1" x14ac:dyDescent="0.25">
      <c r="A509" s="12" t="s">
        <v>1020</v>
      </c>
      <c r="B509" s="13" t="s">
        <v>1021</v>
      </c>
      <c r="C509" s="14">
        <v>45752</v>
      </c>
      <c r="D509" s="13">
        <v>2025</v>
      </c>
      <c r="E509" s="13" t="s">
        <v>10</v>
      </c>
      <c r="F509" s="13" t="s">
        <v>11</v>
      </c>
      <c r="G509" s="15">
        <v>1776.91</v>
      </c>
      <c r="H509" s="15">
        <v>1776.91</v>
      </c>
      <c r="I509" s="13">
        <v>11</v>
      </c>
      <c r="J509" s="13">
        <v>10</v>
      </c>
      <c r="K509" s="13" t="s">
        <v>3348</v>
      </c>
      <c r="L509" s="15">
        <v>161.53727272727272</v>
      </c>
      <c r="M509" s="16">
        <v>159.98055555555553</v>
      </c>
    </row>
    <row r="510" spans="1:13" s="5" customFormat="1" x14ac:dyDescent="0.25">
      <c r="A510" s="12" t="s">
        <v>1022</v>
      </c>
      <c r="B510" s="13" t="s">
        <v>1023</v>
      </c>
      <c r="C510" s="14">
        <v>45078</v>
      </c>
      <c r="D510" s="13">
        <v>2023</v>
      </c>
      <c r="E510" s="13" t="s">
        <v>21</v>
      </c>
      <c r="F510" s="13" t="s">
        <v>34</v>
      </c>
      <c r="G510" s="15">
        <v>1439.16</v>
      </c>
      <c r="H510" s="15">
        <v>1439.16</v>
      </c>
      <c r="I510" s="13">
        <v>5</v>
      </c>
      <c r="J510" s="13">
        <v>5</v>
      </c>
      <c r="K510" s="13" t="s">
        <v>3346</v>
      </c>
      <c r="L510" s="15">
        <v>287.83199999999999</v>
      </c>
      <c r="M510" s="16">
        <v>287.83199999999999</v>
      </c>
    </row>
    <row r="511" spans="1:13" s="5" customFormat="1" x14ac:dyDescent="0.25">
      <c r="A511" s="12" t="s">
        <v>1024</v>
      </c>
      <c r="B511" s="13" t="s">
        <v>1025</v>
      </c>
      <c r="C511" s="14">
        <v>45527</v>
      </c>
      <c r="D511" s="13">
        <v>2024</v>
      </c>
      <c r="E511" s="13" t="s">
        <v>3347</v>
      </c>
      <c r="F511" s="13" t="s">
        <v>34</v>
      </c>
      <c r="G511" s="15">
        <v>1903.83</v>
      </c>
      <c r="H511" s="15">
        <v>1903.83</v>
      </c>
      <c r="I511" s="13">
        <v>3</v>
      </c>
      <c r="J511" s="13">
        <v>3</v>
      </c>
      <c r="K511" s="13" t="s">
        <v>3348</v>
      </c>
      <c r="L511" s="15">
        <v>634.61</v>
      </c>
      <c r="M511" s="16">
        <v>634.61</v>
      </c>
    </row>
    <row r="512" spans="1:13" s="5" customFormat="1" x14ac:dyDescent="0.25">
      <c r="A512" s="12" t="s">
        <v>1026</v>
      </c>
      <c r="B512" s="13" t="s">
        <v>1027</v>
      </c>
      <c r="C512" s="14">
        <v>45492</v>
      </c>
      <c r="D512" s="13">
        <v>2024</v>
      </c>
      <c r="E512" s="13" t="s">
        <v>14</v>
      </c>
      <c r="F512" s="13" t="s">
        <v>22</v>
      </c>
      <c r="G512" s="15">
        <v>1324.9</v>
      </c>
      <c r="H512" s="15">
        <v>1324.9</v>
      </c>
      <c r="I512" s="13">
        <v>5</v>
      </c>
      <c r="J512" s="13">
        <v>5</v>
      </c>
      <c r="K512" s="13" t="s">
        <v>15</v>
      </c>
      <c r="L512" s="15">
        <v>264.98</v>
      </c>
      <c r="M512" s="16">
        <v>264.98</v>
      </c>
    </row>
    <row r="513" spans="1:13" s="5" customFormat="1" x14ac:dyDescent="0.25">
      <c r="A513" s="12" t="s">
        <v>1028</v>
      </c>
      <c r="B513" s="13" t="s">
        <v>1029</v>
      </c>
      <c r="C513" s="14">
        <v>45650</v>
      </c>
      <c r="D513" s="13">
        <v>2024</v>
      </c>
      <c r="E513" s="13" t="s">
        <v>21</v>
      </c>
      <c r="F513" s="13" t="s">
        <v>22</v>
      </c>
      <c r="G513" s="15">
        <v>1502.76</v>
      </c>
      <c r="H513" s="15">
        <v>1502.76</v>
      </c>
      <c r="I513" s="13">
        <v>5</v>
      </c>
      <c r="J513" s="13">
        <v>5</v>
      </c>
      <c r="K513" s="13" t="s">
        <v>35</v>
      </c>
      <c r="L513" s="15">
        <v>300.55200000000002</v>
      </c>
      <c r="M513" s="16">
        <v>300.55200000000002</v>
      </c>
    </row>
    <row r="514" spans="1:13" s="5" customFormat="1" x14ac:dyDescent="0.25">
      <c r="A514" s="12" t="s">
        <v>1030</v>
      </c>
      <c r="B514" s="13" t="s">
        <v>1031</v>
      </c>
      <c r="C514" s="14">
        <v>45869</v>
      </c>
      <c r="D514" s="13">
        <v>2025</v>
      </c>
      <c r="E514" s="13" t="s">
        <v>21</v>
      </c>
      <c r="F514" s="13" t="s">
        <v>11</v>
      </c>
      <c r="G514" s="15">
        <v>1634.51</v>
      </c>
      <c r="H514" s="15">
        <v>1634.51</v>
      </c>
      <c r="I514" s="13">
        <v>4</v>
      </c>
      <c r="J514" s="13">
        <v>4</v>
      </c>
      <c r="K514" s="13" t="s">
        <v>3348</v>
      </c>
      <c r="L514" s="15">
        <v>408.6275</v>
      </c>
      <c r="M514" s="16">
        <v>408.6275</v>
      </c>
    </row>
    <row r="515" spans="1:13" s="5" customFormat="1" x14ac:dyDescent="0.25">
      <c r="A515" s="12" t="s">
        <v>1032</v>
      </c>
      <c r="B515" s="13" t="s">
        <v>1033</v>
      </c>
      <c r="C515" s="14">
        <v>44868</v>
      </c>
      <c r="D515" s="13">
        <v>2022</v>
      </c>
      <c r="E515" s="13" t="s">
        <v>3347</v>
      </c>
      <c r="F515" s="13" t="s">
        <v>25</v>
      </c>
      <c r="G515" s="15">
        <v>493.68</v>
      </c>
      <c r="H515" s="15">
        <v>493.68</v>
      </c>
      <c r="I515" s="13">
        <v>6</v>
      </c>
      <c r="J515" s="13">
        <v>6</v>
      </c>
      <c r="K515" s="13" t="s">
        <v>18</v>
      </c>
      <c r="L515" s="15">
        <v>82.28</v>
      </c>
      <c r="M515" s="16">
        <v>89.538749999999993</v>
      </c>
    </row>
    <row r="516" spans="1:13" s="5" customFormat="1" x14ac:dyDescent="0.25">
      <c r="A516" s="12" t="s">
        <v>1034</v>
      </c>
      <c r="B516" s="13" t="s">
        <v>1035</v>
      </c>
      <c r="C516" s="14">
        <v>45023</v>
      </c>
      <c r="D516" s="13">
        <v>2023</v>
      </c>
      <c r="E516" s="13" t="s">
        <v>10</v>
      </c>
      <c r="F516" s="13" t="s">
        <v>34</v>
      </c>
      <c r="G516" s="15">
        <v>1744.46</v>
      </c>
      <c r="H516" s="15">
        <v>1744.46</v>
      </c>
      <c r="I516" s="13">
        <v>6</v>
      </c>
      <c r="J516" s="13">
        <v>6</v>
      </c>
      <c r="K516" s="13" t="s">
        <v>18</v>
      </c>
      <c r="L516" s="15">
        <v>290.74333333333334</v>
      </c>
      <c r="M516" s="16">
        <v>290.74333333333334</v>
      </c>
    </row>
    <row r="517" spans="1:13" s="5" customFormat="1" x14ac:dyDescent="0.25">
      <c r="A517" s="12" t="s">
        <v>1036</v>
      </c>
      <c r="B517" s="13" t="s">
        <v>1037</v>
      </c>
      <c r="C517" s="14">
        <v>45810</v>
      </c>
      <c r="D517" s="13">
        <v>2025</v>
      </c>
      <c r="E517" s="13" t="s">
        <v>21</v>
      </c>
      <c r="F517" s="13" t="s">
        <v>22</v>
      </c>
      <c r="G517" s="15">
        <v>395.28</v>
      </c>
      <c r="H517" s="15">
        <v>395.28</v>
      </c>
      <c r="I517" s="13">
        <v>3</v>
      </c>
      <c r="J517" s="13">
        <v>3</v>
      </c>
      <c r="K517" s="13" t="s">
        <v>3346</v>
      </c>
      <c r="L517" s="15">
        <v>131.76</v>
      </c>
      <c r="M517" s="16">
        <v>131.76</v>
      </c>
    </row>
    <row r="518" spans="1:13" s="5" customFormat="1" x14ac:dyDescent="0.25">
      <c r="A518" s="12" t="s">
        <v>1038</v>
      </c>
      <c r="B518" s="13" t="s">
        <v>1039</v>
      </c>
      <c r="C518" s="14">
        <v>44974</v>
      </c>
      <c r="D518" s="13">
        <v>2023</v>
      </c>
      <c r="E518" s="13" t="s">
        <v>14</v>
      </c>
      <c r="F518" s="13" t="s">
        <v>34</v>
      </c>
      <c r="G518" s="15">
        <v>574.44000000000005</v>
      </c>
      <c r="H518" s="15">
        <v>574.44000000000005</v>
      </c>
      <c r="I518" s="13">
        <v>8</v>
      </c>
      <c r="J518" s="13">
        <v>8</v>
      </c>
      <c r="K518" s="13" t="s">
        <v>15</v>
      </c>
      <c r="L518" s="15">
        <v>71.805000000000007</v>
      </c>
      <c r="M518" s="16">
        <v>71.805000000000007</v>
      </c>
    </row>
    <row r="519" spans="1:13" s="5" customFormat="1" x14ac:dyDescent="0.25">
      <c r="A519" s="12" t="s">
        <v>1040</v>
      </c>
      <c r="B519" s="13" t="s">
        <v>1041</v>
      </c>
      <c r="C519" s="14">
        <v>45571</v>
      </c>
      <c r="D519" s="13">
        <v>2024</v>
      </c>
      <c r="E519" s="13" t="s">
        <v>3347</v>
      </c>
      <c r="F519" s="13" t="s">
        <v>22</v>
      </c>
      <c r="G519" s="15">
        <v>62.78</v>
      </c>
      <c r="H519" s="15">
        <v>62.78</v>
      </c>
      <c r="I519" s="13">
        <v>2</v>
      </c>
      <c r="J519" s="13">
        <v>2</v>
      </c>
      <c r="K519" s="13" t="s">
        <v>15</v>
      </c>
      <c r="L519" s="15">
        <v>31.39</v>
      </c>
      <c r="M519" s="16">
        <v>31.39</v>
      </c>
    </row>
    <row r="520" spans="1:13" s="5" customFormat="1" x14ac:dyDescent="0.25">
      <c r="A520" s="12" t="s">
        <v>1042</v>
      </c>
      <c r="B520" s="13" t="s">
        <v>1043</v>
      </c>
      <c r="C520" s="14">
        <v>45402</v>
      </c>
      <c r="D520" s="13">
        <v>2024</v>
      </c>
      <c r="E520" s="13" t="s">
        <v>10</v>
      </c>
      <c r="F520" s="13" t="s">
        <v>34</v>
      </c>
      <c r="G520" s="15">
        <v>331.76</v>
      </c>
      <c r="H520" s="15">
        <v>331.76</v>
      </c>
      <c r="I520" s="13">
        <v>2</v>
      </c>
      <c r="J520" s="13">
        <v>2</v>
      </c>
      <c r="K520" s="13" t="s">
        <v>3346</v>
      </c>
      <c r="L520" s="15">
        <v>165.88</v>
      </c>
      <c r="M520" s="16">
        <v>165.88</v>
      </c>
    </row>
    <row r="521" spans="1:13" s="5" customFormat="1" x14ac:dyDescent="0.25">
      <c r="A521" s="12" t="s">
        <v>1044</v>
      </c>
      <c r="B521" s="13" t="s">
        <v>1045</v>
      </c>
      <c r="C521" s="14">
        <v>45056</v>
      </c>
      <c r="D521" s="13">
        <v>2023</v>
      </c>
      <c r="E521" s="13" t="s">
        <v>14</v>
      </c>
      <c r="F521" s="13" t="s">
        <v>25</v>
      </c>
      <c r="G521" s="15">
        <v>1199.3599999999999</v>
      </c>
      <c r="H521" s="15">
        <v>1199.3599999999999</v>
      </c>
      <c r="I521" s="13">
        <v>3</v>
      </c>
      <c r="J521" s="13">
        <v>3</v>
      </c>
      <c r="K521" s="13" t="s">
        <v>3346</v>
      </c>
      <c r="L521" s="15">
        <v>399.78666666666663</v>
      </c>
      <c r="M521" s="16">
        <v>399.78666666666663</v>
      </c>
    </row>
    <row r="522" spans="1:13" s="5" customFormat="1" x14ac:dyDescent="0.25">
      <c r="A522" s="12" t="s">
        <v>1046</v>
      </c>
      <c r="B522" s="13" t="s">
        <v>1047</v>
      </c>
      <c r="C522" s="14">
        <v>45708</v>
      </c>
      <c r="D522" s="13">
        <v>2025</v>
      </c>
      <c r="E522" s="13" t="s">
        <v>3347</v>
      </c>
      <c r="F522" s="13" t="s">
        <v>22</v>
      </c>
      <c r="G522" s="15">
        <v>629.54</v>
      </c>
      <c r="H522" s="15">
        <v>629.54</v>
      </c>
      <c r="I522" s="13">
        <v>8</v>
      </c>
      <c r="J522" s="13">
        <v>8</v>
      </c>
      <c r="K522" s="13" t="s">
        <v>15</v>
      </c>
      <c r="L522" s="15">
        <v>78.692499999999995</v>
      </c>
      <c r="M522" s="16">
        <v>78.692499999999995</v>
      </c>
    </row>
    <row r="523" spans="1:13" s="5" customFormat="1" x14ac:dyDescent="0.25">
      <c r="A523" s="12" t="s">
        <v>1048</v>
      </c>
      <c r="B523" s="13" t="s">
        <v>1049</v>
      </c>
      <c r="C523" s="14">
        <v>45601</v>
      </c>
      <c r="D523" s="13">
        <v>2024</v>
      </c>
      <c r="E523" s="13" t="s">
        <v>21</v>
      </c>
      <c r="F523" s="13" t="s">
        <v>34</v>
      </c>
      <c r="G523" s="15">
        <v>1131.1400000000001</v>
      </c>
      <c r="H523" s="15">
        <v>1131.1400000000001</v>
      </c>
      <c r="I523" s="13">
        <v>6</v>
      </c>
      <c r="J523" s="13">
        <v>6</v>
      </c>
      <c r="K523" s="13" t="s">
        <v>18</v>
      </c>
      <c r="L523" s="15">
        <v>188.52333333333334</v>
      </c>
      <c r="M523" s="16">
        <v>188.52333333333334</v>
      </c>
    </row>
    <row r="524" spans="1:13" s="5" customFormat="1" x14ac:dyDescent="0.25">
      <c r="A524" s="12" t="s">
        <v>1050</v>
      </c>
      <c r="B524" s="13" t="s">
        <v>1051</v>
      </c>
      <c r="C524" s="14">
        <v>45543</v>
      </c>
      <c r="D524" s="13">
        <v>2024</v>
      </c>
      <c r="E524" s="13" t="s">
        <v>14</v>
      </c>
      <c r="F524" s="13" t="s">
        <v>22</v>
      </c>
      <c r="G524" s="15">
        <v>1896.62</v>
      </c>
      <c r="H524" s="15">
        <v>1896.62</v>
      </c>
      <c r="I524" s="13">
        <v>4</v>
      </c>
      <c r="J524" s="13">
        <v>4</v>
      </c>
      <c r="K524" s="13" t="s">
        <v>35</v>
      </c>
      <c r="L524" s="15">
        <v>474.15499999999997</v>
      </c>
      <c r="M524" s="16">
        <v>474.15499999999997</v>
      </c>
    </row>
    <row r="525" spans="1:13" s="5" customFormat="1" x14ac:dyDescent="0.25">
      <c r="A525" s="12" t="s">
        <v>1052</v>
      </c>
      <c r="B525" s="13" t="s">
        <v>1053</v>
      </c>
      <c r="C525" s="14">
        <v>45858</v>
      </c>
      <c r="D525" s="13">
        <v>2025</v>
      </c>
      <c r="E525" s="13" t="s">
        <v>10</v>
      </c>
      <c r="F525" s="13" t="s">
        <v>34</v>
      </c>
      <c r="G525" s="15">
        <v>672.47</v>
      </c>
      <c r="H525" s="15">
        <v>672.47</v>
      </c>
      <c r="I525" s="13">
        <v>1</v>
      </c>
      <c r="J525" s="13">
        <v>1</v>
      </c>
      <c r="K525" s="13" t="s">
        <v>3348</v>
      </c>
      <c r="L525" s="15">
        <v>672.47</v>
      </c>
      <c r="M525" s="16">
        <v>672.47</v>
      </c>
    </row>
    <row r="526" spans="1:13" s="5" customFormat="1" x14ac:dyDescent="0.25">
      <c r="A526" s="12" t="s">
        <v>1054</v>
      </c>
      <c r="B526" s="13" t="s">
        <v>1055</v>
      </c>
      <c r="C526" s="14">
        <v>45258</v>
      </c>
      <c r="D526" s="13">
        <v>2023</v>
      </c>
      <c r="E526" s="13" t="s">
        <v>21</v>
      </c>
      <c r="F526" s="13" t="s">
        <v>25</v>
      </c>
      <c r="G526" s="15">
        <v>330.47</v>
      </c>
      <c r="H526" s="15">
        <v>330.47</v>
      </c>
      <c r="I526" s="13">
        <v>2</v>
      </c>
      <c r="J526" s="13">
        <v>2</v>
      </c>
      <c r="K526" s="13" t="s">
        <v>18</v>
      </c>
      <c r="L526" s="15">
        <v>165.23500000000001</v>
      </c>
      <c r="M526" s="16">
        <v>165.23500000000001</v>
      </c>
    </row>
    <row r="527" spans="1:13" s="5" customFormat="1" x14ac:dyDescent="0.25">
      <c r="A527" s="12" t="s">
        <v>1056</v>
      </c>
      <c r="B527" s="13" t="s">
        <v>1057</v>
      </c>
      <c r="C527" s="14">
        <v>45555</v>
      </c>
      <c r="D527" s="13">
        <v>2024</v>
      </c>
      <c r="E527" s="13" t="s">
        <v>10</v>
      </c>
      <c r="F527" s="13" t="s">
        <v>34</v>
      </c>
      <c r="G527" s="15">
        <v>1724.76</v>
      </c>
      <c r="H527" s="15">
        <v>1724.76</v>
      </c>
      <c r="I527" s="13">
        <v>9</v>
      </c>
      <c r="J527" s="13">
        <v>9</v>
      </c>
      <c r="K527" s="13" t="s">
        <v>3346</v>
      </c>
      <c r="L527" s="15">
        <v>191.64</v>
      </c>
      <c r="M527" s="16">
        <v>191.64</v>
      </c>
    </row>
    <row r="528" spans="1:13" s="5" customFormat="1" x14ac:dyDescent="0.25">
      <c r="A528" s="12" t="s">
        <v>1058</v>
      </c>
      <c r="B528" s="13" t="s">
        <v>1059</v>
      </c>
      <c r="C528" s="14">
        <v>45262</v>
      </c>
      <c r="D528" s="13">
        <v>2023</v>
      </c>
      <c r="E528" s="13" t="s">
        <v>3347</v>
      </c>
      <c r="F528" s="13" t="s">
        <v>25</v>
      </c>
      <c r="G528" s="15">
        <v>1869.56</v>
      </c>
      <c r="H528" s="15">
        <v>1869.56</v>
      </c>
      <c r="I528" s="13">
        <v>5</v>
      </c>
      <c r="J528" s="13">
        <v>5</v>
      </c>
      <c r="K528" s="13" t="s">
        <v>3346</v>
      </c>
      <c r="L528" s="15">
        <v>373.91199999999998</v>
      </c>
      <c r="M528" s="16">
        <v>373.91199999999998</v>
      </c>
    </row>
    <row r="529" spans="1:13" s="5" customFormat="1" x14ac:dyDescent="0.25">
      <c r="A529" s="12" t="s">
        <v>1060</v>
      </c>
      <c r="B529" s="13" t="s">
        <v>1061</v>
      </c>
      <c r="C529" s="14">
        <v>45172</v>
      </c>
      <c r="D529" s="13">
        <v>2023</v>
      </c>
      <c r="E529" s="13" t="s">
        <v>3347</v>
      </c>
      <c r="F529" s="13" t="s">
        <v>22</v>
      </c>
      <c r="G529" s="15">
        <v>1910.65</v>
      </c>
      <c r="H529" s="15">
        <v>1910.65</v>
      </c>
      <c r="I529" s="13">
        <v>2</v>
      </c>
      <c r="J529" s="13">
        <v>2</v>
      </c>
      <c r="K529" s="13" t="s">
        <v>3346</v>
      </c>
      <c r="L529" s="15">
        <v>955.32500000000005</v>
      </c>
      <c r="M529" s="16">
        <v>955.32500000000005</v>
      </c>
    </row>
    <row r="530" spans="1:13" s="5" customFormat="1" x14ac:dyDescent="0.25">
      <c r="A530" s="12" t="s">
        <v>1062</v>
      </c>
      <c r="B530" s="13" t="s">
        <v>1063</v>
      </c>
      <c r="C530" s="14">
        <v>44951</v>
      </c>
      <c r="D530" s="13">
        <v>2023</v>
      </c>
      <c r="E530" s="13" t="s">
        <v>3347</v>
      </c>
      <c r="F530" s="13" t="s">
        <v>34</v>
      </c>
      <c r="G530" s="15">
        <v>1466.22</v>
      </c>
      <c r="H530" s="15">
        <v>1466.22</v>
      </c>
      <c r="I530" s="13">
        <v>3</v>
      </c>
      <c r="J530" s="13">
        <v>3</v>
      </c>
      <c r="K530" s="13" t="s">
        <v>3346</v>
      </c>
      <c r="L530" s="15">
        <v>488.74</v>
      </c>
      <c r="M530" s="16">
        <v>488.74</v>
      </c>
    </row>
    <row r="531" spans="1:13" s="5" customFormat="1" x14ac:dyDescent="0.25">
      <c r="A531" s="12" t="s">
        <v>1064</v>
      </c>
      <c r="B531" s="13" t="s">
        <v>1065</v>
      </c>
      <c r="C531" s="14">
        <v>45407</v>
      </c>
      <c r="D531" s="13">
        <v>2024</v>
      </c>
      <c r="E531" s="13" t="s">
        <v>21</v>
      </c>
      <c r="F531" s="13" t="s">
        <v>22</v>
      </c>
      <c r="G531" s="15">
        <v>810.97</v>
      </c>
      <c r="H531" s="15">
        <v>810.97</v>
      </c>
      <c r="I531" s="13">
        <v>1</v>
      </c>
      <c r="J531" s="13">
        <v>1</v>
      </c>
      <c r="K531" s="13" t="s">
        <v>3348</v>
      </c>
      <c r="L531" s="15">
        <v>810.97</v>
      </c>
      <c r="M531" s="16">
        <v>810.97</v>
      </c>
    </row>
    <row r="532" spans="1:13" s="5" customFormat="1" x14ac:dyDescent="0.25">
      <c r="A532" s="12" t="s">
        <v>1066</v>
      </c>
      <c r="B532" s="13" t="s">
        <v>1067</v>
      </c>
      <c r="C532" s="14">
        <v>45095</v>
      </c>
      <c r="D532" s="13">
        <v>2023</v>
      </c>
      <c r="E532" s="13" t="s">
        <v>3347</v>
      </c>
      <c r="F532" s="13" t="s">
        <v>34</v>
      </c>
      <c r="G532" s="15">
        <v>1156.4100000000001</v>
      </c>
      <c r="H532" s="15">
        <v>1156.4100000000001</v>
      </c>
      <c r="I532" s="13">
        <v>8</v>
      </c>
      <c r="J532" s="13">
        <v>8</v>
      </c>
      <c r="K532" s="13" t="s">
        <v>35</v>
      </c>
      <c r="L532" s="15">
        <v>144.55125000000001</v>
      </c>
      <c r="M532" s="16">
        <v>144.55125000000001</v>
      </c>
    </row>
    <row r="533" spans="1:13" s="5" customFormat="1" x14ac:dyDescent="0.25">
      <c r="A533" s="12" t="s">
        <v>1068</v>
      </c>
      <c r="B533" s="13" t="s">
        <v>405</v>
      </c>
      <c r="C533" s="14">
        <v>45572</v>
      </c>
      <c r="D533" s="13">
        <v>2024</v>
      </c>
      <c r="E533" s="13" t="s">
        <v>14</v>
      </c>
      <c r="F533" s="13" t="s">
        <v>25</v>
      </c>
      <c r="G533" s="15">
        <v>1702.17</v>
      </c>
      <c r="H533" s="15">
        <v>1702.17</v>
      </c>
      <c r="I533" s="13">
        <v>7</v>
      </c>
      <c r="J533" s="13">
        <v>7</v>
      </c>
      <c r="K533" s="13" t="s">
        <v>15</v>
      </c>
      <c r="L533" s="15">
        <v>243.16714285714286</v>
      </c>
      <c r="M533" s="16">
        <v>243.16714285714286</v>
      </c>
    </row>
    <row r="534" spans="1:13" s="5" customFormat="1" x14ac:dyDescent="0.25">
      <c r="A534" s="12" t="s">
        <v>1069</v>
      </c>
      <c r="B534" s="13" t="s">
        <v>1070</v>
      </c>
      <c r="C534" s="14">
        <v>44945</v>
      </c>
      <c r="D534" s="13">
        <v>2023</v>
      </c>
      <c r="E534" s="13" t="s">
        <v>21</v>
      </c>
      <c r="F534" s="13" t="s">
        <v>34</v>
      </c>
      <c r="G534" s="15">
        <v>1069.8699999999999</v>
      </c>
      <c r="H534" s="15">
        <v>1069.8699999999999</v>
      </c>
      <c r="I534" s="13">
        <v>10</v>
      </c>
      <c r="J534" s="13">
        <v>10</v>
      </c>
      <c r="K534" s="13" t="s">
        <v>35</v>
      </c>
      <c r="L534" s="15">
        <v>106.98699999999999</v>
      </c>
      <c r="M534" s="16">
        <v>106.98699999999999</v>
      </c>
    </row>
    <row r="535" spans="1:13" s="5" customFormat="1" x14ac:dyDescent="0.25">
      <c r="A535" s="12" t="s">
        <v>1071</v>
      </c>
      <c r="B535" s="13" t="s">
        <v>1072</v>
      </c>
      <c r="C535" s="14">
        <v>45865</v>
      </c>
      <c r="D535" s="13">
        <v>2025</v>
      </c>
      <c r="E535" s="13" t="s">
        <v>3347</v>
      </c>
      <c r="F535" s="13" t="s">
        <v>22</v>
      </c>
      <c r="G535" s="15">
        <v>1961.31</v>
      </c>
      <c r="H535" s="15">
        <v>1961.31</v>
      </c>
      <c r="I535" s="13">
        <v>7</v>
      </c>
      <c r="J535" s="13">
        <v>7</v>
      </c>
      <c r="K535" s="13" t="s">
        <v>3346</v>
      </c>
      <c r="L535" s="15">
        <v>280.18714285714287</v>
      </c>
      <c r="M535" s="16">
        <v>280.18714285714287</v>
      </c>
    </row>
    <row r="536" spans="1:13" s="5" customFormat="1" x14ac:dyDescent="0.25">
      <c r="A536" s="12" t="s">
        <v>1073</v>
      </c>
      <c r="B536" s="13" t="s">
        <v>1074</v>
      </c>
      <c r="C536" s="14">
        <v>45445</v>
      </c>
      <c r="D536" s="13">
        <v>2024</v>
      </c>
      <c r="E536" s="13" t="s">
        <v>14</v>
      </c>
      <c r="F536" s="13" t="s">
        <v>11</v>
      </c>
      <c r="G536" s="15">
        <v>204.24</v>
      </c>
      <c r="H536" s="15">
        <v>204.24</v>
      </c>
      <c r="I536" s="13">
        <v>7</v>
      </c>
      <c r="J536" s="13">
        <v>7</v>
      </c>
      <c r="K536" s="13" t="s">
        <v>18</v>
      </c>
      <c r="L536" s="15">
        <v>29.177142857142858</v>
      </c>
      <c r="M536" s="16">
        <v>29.177142857142858</v>
      </c>
    </row>
    <row r="537" spans="1:13" s="5" customFormat="1" x14ac:dyDescent="0.25">
      <c r="A537" s="12" t="s">
        <v>1075</v>
      </c>
      <c r="B537" s="13" t="s">
        <v>1076</v>
      </c>
      <c r="C537" s="14">
        <v>45359</v>
      </c>
      <c r="D537" s="13">
        <v>2024</v>
      </c>
      <c r="E537" s="13" t="s">
        <v>10</v>
      </c>
      <c r="F537" s="13" t="s">
        <v>25</v>
      </c>
      <c r="G537" s="15">
        <v>1749.27</v>
      </c>
      <c r="H537" s="15">
        <v>1749.27</v>
      </c>
      <c r="I537" s="13">
        <v>8</v>
      </c>
      <c r="J537" s="13">
        <v>8</v>
      </c>
      <c r="K537" s="13" t="s">
        <v>15</v>
      </c>
      <c r="L537" s="15">
        <v>218.65875</v>
      </c>
      <c r="M537" s="16">
        <v>218.65875</v>
      </c>
    </row>
    <row r="538" spans="1:13" s="5" customFormat="1" x14ac:dyDescent="0.25">
      <c r="A538" s="12" t="s">
        <v>1077</v>
      </c>
      <c r="B538" s="13" t="s">
        <v>1078</v>
      </c>
      <c r="C538" s="14">
        <v>44926</v>
      </c>
      <c r="D538" s="13">
        <v>2022</v>
      </c>
      <c r="E538" s="13" t="s">
        <v>3347</v>
      </c>
      <c r="F538" s="13" t="s">
        <v>25</v>
      </c>
      <c r="G538" s="15">
        <v>716.31</v>
      </c>
      <c r="H538" s="15">
        <v>716.31</v>
      </c>
      <c r="I538" s="13">
        <v>8</v>
      </c>
      <c r="J538" s="13">
        <v>8</v>
      </c>
      <c r="K538" s="13" t="s">
        <v>18</v>
      </c>
      <c r="L538" s="15">
        <v>89.538749999999993</v>
      </c>
      <c r="M538" s="16">
        <v>89.538749999999993</v>
      </c>
    </row>
    <row r="539" spans="1:13" s="5" customFormat="1" x14ac:dyDescent="0.25">
      <c r="A539" s="12" t="s">
        <v>1079</v>
      </c>
      <c r="B539" s="13" t="s">
        <v>1080</v>
      </c>
      <c r="C539" s="14">
        <v>45286</v>
      </c>
      <c r="D539" s="13">
        <v>2023</v>
      </c>
      <c r="E539" s="13" t="s">
        <v>10</v>
      </c>
      <c r="F539" s="13" t="s">
        <v>34</v>
      </c>
      <c r="G539" s="15">
        <v>927.83</v>
      </c>
      <c r="H539" s="15">
        <v>927.83</v>
      </c>
      <c r="I539" s="13">
        <v>4</v>
      </c>
      <c r="J539" s="13">
        <v>4</v>
      </c>
      <c r="K539" s="13" t="s">
        <v>15</v>
      </c>
      <c r="L539" s="15">
        <v>231.95750000000001</v>
      </c>
      <c r="M539" s="16">
        <v>231.95750000000001</v>
      </c>
    </row>
    <row r="540" spans="1:13" s="5" customFormat="1" x14ac:dyDescent="0.25">
      <c r="A540" s="12" t="s">
        <v>1081</v>
      </c>
      <c r="B540" s="13" t="s">
        <v>1082</v>
      </c>
      <c r="C540" s="14">
        <v>45206</v>
      </c>
      <c r="D540" s="13">
        <v>2023</v>
      </c>
      <c r="E540" s="13" t="s">
        <v>3347</v>
      </c>
      <c r="F540" s="13" t="s">
        <v>34</v>
      </c>
      <c r="G540" s="15">
        <v>1508.91</v>
      </c>
      <c r="H540" s="15">
        <v>1508.91</v>
      </c>
      <c r="I540" s="13">
        <v>10</v>
      </c>
      <c r="J540" s="13">
        <v>10</v>
      </c>
      <c r="K540" s="13" t="s">
        <v>15</v>
      </c>
      <c r="L540" s="15">
        <v>150.89100000000002</v>
      </c>
      <c r="M540" s="16">
        <v>150.89100000000002</v>
      </c>
    </row>
    <row r="541" spans="1:13" s="5" customFormat="1" x14ac:dyDescent="0.25">
      <c r="A541" s="12" t="s">
        <v>1083</v>
      </c>
      <c r="B541" s="13" t="s">
        <v>1084</v>
      </c>
      <c r="C541" s="14">
        <v>45486</v>
      </c>
      <c r="D541" s="13">
        <v>2024</v>
      </c>
      <c r="E541" s="13" t="s">
        <v>14</v>
      </c>
      <c r="F541" s="13" t="s">
        <v>11</v>
      </c>
      <c r="G541" s="15">
        <v>408.61</v>
      </c>
      <c r="H541" s="15">
        <v>408.61</v>
      </c>
      <c r="I541" s="13">
        <v>10</v>
      </c>
      <c r="J541" s="13">
        <v>10</v>
      </c>
      <c r="K541" s="13" t="s">
        <v>35</v>
      </c>
      <c r="L541" s="15">
        <v>40.861000000000004</v>
      </c>
      <c r="M541" s="16">
        <v>40.861000000000004</v>
      </c>
    </row>
    <row r="542" spans="1:13" s="5" customFormat="1" x14ac:dyDescent="0.25">
      <c r="A542" s="12" t="s">
        <v>1085</v>
      </c>
      <c r="B542" s="13" t="s">
        <v>1086</v>
      </c>
      <c r="C542" s="14">
        <v>45003</v>
      </c>
      <c r="D542" s="13">
        <v>2023</v>
      </c>
      <c r="E542" s="13" t="s">
        <v>21</v>
      </c>
      <c r="F542" s="13" t="s">
        <v>34</v>
      </c>
      <c r="G542" s="15">
        <v>1837.13</v>
      </c>
      <c r="H542" s="15">
        <v>1837.13</v>
      </c>
      <c r="I542" s="13">
        <v>1</v>
      </c>
      <c r="J542" s="13">
        <v>1</v>
      </c>
      <c r="K542" s="13" t="s">
        <v>3348</v>
      </c>
      <c r="L542" s="15">
        <v>1837.13</v>
      </c>
      <c r="M542" s="16">
        <v>1837.13</v>
      </c>
    </row>
    <row r="543" spans="1:13" s="5" customFormat="1" x14ac:dyDescent="0.25">
      <c r="A543" s="12" t="s">
        <v>1087</v>
      </c>
      <c r="B543" s="13" t="s">
        <v>1088</v>
      </c>
      <c r="C543" s="14">
        <v>45352</v>
      </c>
      <c r="D543" s="13">
        <v>2024</v>
      </c>
      <c r="E543" s="13" t="s">
        <v>21</v>
      </c>
      <c r="F543" s="13" t="s">
        <v>34</v>
      </c>
      <c r="G543" s="15">
        <v>1350.62</v>
      </c>
      <c r="H543" s="15">
        <v>1350.62</v>
      </c>
      <c r="I543" s="13">
        <v>3</v>
      </c>
      <c r="J543" s="13">
        <v>3</v>
      </c>
      <c r="K543" s="13" t="s">
        <v>15</v>
      </c>
      <c r="L543" s="15">
        <v>450.20666666666665</v>
      </c>
      <c r="M543" s="16">
        <v>450.20666666666665</v>
      </c>
    </row>
    <row r="544" spans="1:13" s="5" customFormat="1" x14ac:dyDescent="0.25">
      <c r="A544" s="12" t="s">
        <v>1089</v>
      </c>
      <c r="B544" s="13" t="s">
        <v>1090</v>
      </c>
      <c r="C544" s="14">
        <v>45229</v>
      </c>
      <c r="D544" s="13">
        <v>2023</v>
      </c>
      <c r="E544" s="13" t="s">
        <v>21</v>
      </c>
      <c r="F544" s="13" t="s">
        <v>22</v>
      </c>
      <c r="G544" s="15">
        <v>132.4784132653061</v>
      </c>
      <c r="H544" s="15">
        <v>132.4784132653061</v>
      </c>
      <c r="I544" s="13">
        <v>1</v>
      </c>
      <c r="J544" s="13">
        <v>1</v>
      </c>
      <c r="K544" s="13" t="s">
        <v>35</v>
      </c>
      <c r="L544" s="15">
        <v>132.4784132653061</v>
      </c>
      <c r="M544" s="16">
        <v>132.4784132653061</v>
      </c>
    </row>
    <row r="545" spans="1:13" s="5" customFormat="1" x14ac:dyDescent="0.25">
      <c r="A545" s="12" t="s">
        <v>1091</v>
      </c>
      <c r="B545" s="13" t="s">
        <v>1092</v>
      </c>
      <c r="C545" s="14">
        <v>45702</v>
      </c>
      <c r="D545" s="13">
        <v>2025</v>
      </c>
      <c r="E545" s="13" t="s">
        <v>10</v>
      </c>
      <c r="F545" s="13" t="s">
        <v>34</v>
      </c>
      <c r="G545" s="15">
        <v>1168.3599999999999</v>
      </c>
      <c r="H545" s="15">
        <v>1168.3599999999999</v>
      </c>
      <c r="I545" s="13">
        <v>9</v>
      </c>
      <c r="J545" s="13">
        <v>9</v>
      </c>
      <c r="K545" s="13" t="s">
        <v>35</v>
      </c>
      <c r="L545" s="15">
        <v>129.81777777777776</v>
      </c>
      <c r="M545" s="16">
        <v>129.81777777777776</v>
      </c>
    </row>
    <row r="546" spans="1:13" s="5" customFormat="1" x14ac:dyDescent="0.25">
      <c r="A546" s="12" t="s">
        <v>1093</v>
      </c>
      <c r="B546" s="13" t="s">
        <v>1094</v>
      </c>
      <c r="C546" s="14">
        <v>45813</v>
      </c>
      <c r="D546" s="13">
        <v>2025</v>
      </c>
      <c r="E546" s="13" t="s">
        <v>21</v>
      </c>
      <c r="F546" s="13" t="s">
        <v>25</v>
      </c>
      <c r="G546" s="15">
        <v>775.06</v>
      </c>
      <c r="H546" s="15">
        <v>775.06</v>
      </c>
      <c r="I546" s="13">
        <v>2</v>
      </c>
      <c r="J546" s="13">
        <v>2</v>
      </c>
      <c r="K546" s="13" t="s">
        <v>15</v>
      </c>
      <c r="L546" s="15">
        <v>387.53</v>
      </c>
      <c r="M546" s="16">
        <v>387.53</v>
      </c>
    </row>
    <row r="547" spans="1:13" s="5" customFormat="1" x14ac:dyDescent="0.25">
      <c r="A547" s="12" t="s">
        <v>1095</v>
      </c>
      <c r="B547" s="13" t="s">
        <v>1096</v>
      </c>
      <c r="C547" s="14">
        <v>45126</v>
      </c>
      <c r="D547" s="13">
        <v>2023</v>
      </c>
      <c r="E547" s="13" t="s">
        <v>21</v>
      </c>
      <c r="F547" s="13" t="s">
        <v>11</v>
      </c>
      <c r="G547" s="15">
        <v>576.52</v>
      </c>
      <c r="H547" s="15">
        <v>576.52</v>
      </c>
      <c r="I547" s="13">
        <v>6</v>
      </c>
      <c r="J547" s="13">
        <v>6</v>
      </c>
      <c r="K547" s="13" t="s">
        <v>3346</v>
      </c>
      <c r="L547" s="15">
        <v>96.086666666666659</v>
      </c>
      <c r="M547" s="16">
        <v>96.086666666666659</v>
      </c>
    </row>
    <row r="548" spans="1:13" s="5" customFormat="1" x14ac:dyDescent="0.25">
      <c r="A548" s="12" t="s">
        <v>1097</v>
      </c>
      <c r="B548" s="13" t="s">
        <v>1098</v>
      </c>
      <c r="C548" s="14">
        <v>45321</v>
      </c>
      <c r="D548" s="13">
        <v>2024</v>
      </c>
      <c r="E548" s="13" t="s">
        <v>3347</v>
      </c>
      <c r="F548" s="13" t="s">
        <v>25</v>
      </c>
      <c r="G548" s="15">
        <v>261.39</v>
      </c>
      <c r="H548" s="15">
        <v>261.39</v>
      </c>
      <c r="I548" s="13">
        <v>5</v>
      </c>
      <c r="J548" s="13">
        <v>5</v>
      </c>
      <c r="K548" s="13" t="s">
        <v>35</v>
      </c>
      <c r="L548" s="15">
        <v>52.277999999999999</v>
      </c>
      <c r="M548" s="16">
        <v>52.277999999999999</v>
      </c>
    </row>
    <row r="549" spans="1:13" s="5" customFormat="1" x14ac:dyDescent="0.25">
      <c r="A549" s="12" t="s">
        <v>1099</v>
      </c>
      <c r="B549" s="13" t="s">
        <v>1100</v>
      </c>
      <c r="C549" s="14">
        <v>45291</v>
      </c>
      <c r="D549" s="13">
        <v>2023</v>
      </c>
      <c r="E549" s="13" t="s">
        <v>21</v>
      </c>
      <c r="F549" s="13" t="s">
        <v>22</v>
      </c>
      <c r="G549" s="15">
        <v>413.15</v>
      </c>
      <c r="H549" s="15">
        <v>413.15</v>
      </c>
      <c r="I549" s="13">
        <v>2</v>
      </c>
      <c r="J549" s="13">
        <v>2</v>
      </c>
      <c r="K549" s="13" t="s">
        <v>15</v>
      </c>
      <c r="L549" s="15">
        <v>206.57499999999999</v>
      </c>
      <c r="M549" s="16">
        <v>272.82067893217896</v>
      </c>
    </row>
    <row r="550" spans="1:13" s="5" customFormat="1" x14ac:dyDescent="0.25">
      <c r="A550" s="12" t="s">
        <v>1101</v>
      </c>
      <c r="B550" s="13" t="s">
        <v>1102</v>
      </c>
      <c r="C550" s="14">
        <v>45488</v>
      </c>
      <c r="D550" s="13">
        <v>2024</v>
      </c>
      <c r="E550" s="13" t="s">
        <v>14</v>
      </c>
      <c r="F550" s="13" t="s">
        <v>11</v>
      </c>
      <c r="G550" s="15">
        <v>567.57000000000005</v>
      </c>
      <c r="H550" s="15">
        <v>567.57000000000005</v>
      </c>
      <c r="I550" s="13">
        <v>9</v>
      </c>
      <c r="J550" s="13">
        <v>9</v>
      </c>
      <c r="K550" s="13" t="s">
        <v>3346</v>
      </c>
      <c r="L550" s="15">
        <v>63.06333333333334</v>
      </c>
      <c r="M550" s="16">
        <v>63.06333333333334</v>
      </c>
    </row>
    <row r="551" spans="1:13" s="5" customFormat="1" x14ac:dyDescent="0.25">
      <c r="A551" s="12" t="s">
        <v>1103</v>
      </c>
      <c r="B551" s="13" t="s">
        <v>1104</v>
      </c>
      <c r="C551" s="14">
        <v>45879</v>
      </c>
      <c r="D551" s="13">
        <v>2025</v>
      </c>
      <c r="E551" s="13" t="s">
        <v>10</v>
      </c>
      <c r="F551" s="13" t="s">
        <v>34</v>
      </c>
      <c r="G551" s="15">
        <v>250.33</v>
      </c>
      <c r="H551" s="15">
        <v>250.33</v>
      </c>
      <c r="I551" s="13">
        <v>6</v>
      </c>
      <c r="J551" s="13">
        <v>6</v>
      </c>
      <c r="K551" s="13" t="s">
        <v>18</v>
      </c>
      <c r="L551" s="15">
        <v>41.721666666666671</v>
      </c>
      <c r="M551" s="16">
        <v>41.721666666666671</v>
      </c>
    </row>
    <row r="552" spans="1:13" s="5" customFormat="1" x14ac:dyDescent="0.25">
      <c r="A552" s="12" t="s">
        <v>1105</v>
      </c>
      <c r="B552" s="13" t="s">
        <v>1106</v>
      </c>
      <c r="C552" s="14">
        <v>45562</v>
      </c>
      <c r="D552" s="13">
        <v>2024</v>
      </c>
      <c r="E552" s="13" t="s">
        <v>14</v>
      </c>
      <c r="F552" s="13" t="s">
        <v>25</v>
      </c>
      <c r="G552" s="15">
        <v>1331.48</v>
      </c>
      <c r="H552" s="15">
        <v>1331.48</v>
      </c>
      <c r="I552" s="13">
        <v>1</v>
      </c>
      <c r="J552" s="13">
        <v>1</v>
      </c>
      <c r="K552" s="13" t="s">
        <v>35</v>
      </c>
      <c r="L552" s="15">
        <v>1331.48</v>
      </c>
      <c r="M552" s="16">
        <v>1331.48</v>
      </c>
    </row>
    <row r="553" spans="1:13" s="5" customFormat="1" x14ac:dyDescent="0.25">
      <c r="A553" s="12" t="s">
        <v>1107</v>
      </c>
      <c r="B553" s="13" t="s">
        <v>1108</v>
      </c>
      <c r="C553" s="14">
        <v>45218</v>
      </c>
      <c r="D553" s="13">
        <v>2023</v>
      </c>
      <c r="E553" s="13" t="s">
        <v>10</v>
      </c>
      <c r="F553" s="13" t="s">
        <v>22</v>
      </c>
      <c r="G553" s="15">
        <v>434.97</v>
      </c>
      <c r="H553" s="15">
        <v>434.97</v>
      </c>
      <c r="I553" s="13">
        <v>4</v>
      </c>
      <c r="J553" s="13">
        <v>4</v>
      </c>
      <c r="K553" s="13" t="s">
        <v>15</v>
      </c>
      <c r="L553" s="15">
        <v>108.74250000000001</v>
      </c>
      <c r="M553" s="16">
        <v>108.74250000000001</v>
      </c>
    </row>
    <row r="554" spans="1:13" s="5" customFormat="1" x14ac:dyDescent="0.25">
      <c r="A554" s="12" t="s">
        <v>1109</v>
      </c>
      <c r="B554" s="13" t="s">
        <v>1110</v>
      </c>
      <c r="C554" s="14">
        <v>45025</v>
      </c>
      <c r="D554" s="13">
        <v>2023</v>
      </c>
      <c r="E554" s="13" t="s">
        <v>3347</v>
      </c>
      <c r="F554" s="13" t="s">
        <v>25</v>
      </c>
      <c r="G554" s="15">
        <v>1542.94</v>
      </c>
      <c r="H554" s="15">
        <v>1542.94</v>
      </c>
      <c r="I554" s="13">
        <v>2</v>
      </c>
      <c r="J554" s="13">
        <v>2</v>
      </c>
      <c r="K554" s="13" t="s">
        <v>18</v>
      </c>
      <c r="L554" s="15">
        <v>771.47</v>
      </c>
      <c r="M554" s="16">
        <v>771.47</v>
      </c>
    </row>
    <row r="555" spans="1:13" s="5" customFormat="1" x14ac:dyDescent="0.25">
      <c r="A555" s="12" t="s">
        <v>1111</v>
      </c>
      <c r="B555" s="13" t="s">
        <v>1112</v>
      </c>
      <c r="C555" s="14">
        <v>45362</v>
      </c>
      <c r="D555" s="13">
        <v>2024</v>
      </c>
      <c r="E555" s="13" t="s">
        <v>10</v>
      </c>
      <c r="F555" s="13" t="s">
        <v>25</v>
      </c>
      <c r="G555" s="15">
        <v>446.95</v>
      </c>
      <c r="H555" s="15">
        <v>446.95</v>
      </c>
      <c r="I555" s="13">
        <v>1</v>
      </c>
      <c r="J555" s="13">
        <v>1</v>
      </c>
      <c r="K555" s="13" t="s">
        <v>3348</v>
      </c>
      <c r="L555" s="15">
        <v>446.95</v>
      </c>
      <c r="M555" s="16">
        <v>329.54250000000002</v>
      </c>
    </row>
    <row r="556" spans="1:13" s="5" customFormat="1" x14ac:dyDescent="0.25">
      <c r="A556" s="12" t="s">
        <v>1113</v>
      </c>
      <c r="B556" s="13" t="s">
        <v>1114</v>
      </c>
      <c r="C556" s="14">
        <v>45947</v>
      </c>
      <c r="D556" s="13">
        <v>2025</v>
      </c>
      <c r="E556" s="13" t="s">
        <v>3347</v>
      </c>
      <c r="F556" s="13" t="s">
        <v>22</v>
      </c>
      <c r="G556" s="15">
        <v>1774.26</v>
      </c>
      <c r="H556" s="15">
        <v>1774.26</v>
      </c>
      <c r="I556" s="13">
        <v>8</v>
      </c>
      <c r="J556" s="13">
        <v>8</v>
      </c>
      <c r="K556" s="13" t="s">
        <v>18</v>
      </c>
      <c r="L556" s="15">
        <v>221.7825</v>
      </c>
      <c r="M556" s="16">
        <v>221.7825</v>
      </c>
    </row>
    <row r="557" spans="1:13" s="5" customFormat="1" x14ac:dyDescent="0.25">
      <c r="A557" s="12" t="s">
        <v>1115</v>
      </c>
      <c r="B557" s="13" t="s">
        <v>1116</v>
      </c>
      <c r="C557" s="14">
        <v>44970</v>
      </c>
      <c r="D557" s="13">
        <v>2023</v>
      </c>
      <c r="E557" s="13" t="s">
        <v>10</v>
      </c>
      <c r="F557" s="13" t="s">
        <v>34</v>
      </c>
      <c r="G557" s="15">
        <v>1735.29</v>
      </c>
      <c r="H557" s="15">
        <v>1735.29</v>
      </c>
      <c r="I557" s="13">
        <v>9</v>
      </c>
      <c r="J557" s="13">
        <v>9</v>
      </c>
      <c r="K557" s="13" t="s">
        <v>35</v>
      </c>
      <c r="L557" s="15">
        <v>192.81</v>
      </c>
      <c r="M557" s="16">
        <v>192.81</v>
      </c>
    </row>
    <row r="558" spans="1:13" s="5" customFormat="1" x14ac:dyDescent="0.25">
      <c r="A558" s="12" t="s">
        <v>1117</v>
      </c>
      <c r="B558" s="13" t="s">
        <v>1118</v>
      </c>
      <c r="C558" s="14">
        <v>45335</v>
      </c>
      <c r="D558" s="13">
        <v>2024</v>
      </c>
      <c r="E558" s="13" t="s">
        <v>3347</v>
      </c>
      <c r="F558" s="13" t="s">
        <v>34</v>
      </c>
      <c r="G558" s="15">
        <v>1064.6500000000001</v>
      </c>
      <c r="H558" s="15">
        <v>1064.6500000000001</v>
      </c>
      <c r="I558" s="13">
        <v>4</v>
      </c>
      <c r="J558" s="13">
        <v>4</v>
      </c>
      <c r="K558" s="13" t="s">
        <v>15</v>
      </c>
      <c r="L558" s="15">
        <v>266.16250000000002</v>
      </c>
      <c r="M558" s="16">
        <v>266.16250000000002</v>
      </c>
    </row>
    <row r="559" spans="1:13" s="5" customFormat="1" x14ac:dyDescent="0.25">
      <c r="A559" s="12" t="s">
        <v>1119</v>
      </c>
      <c r="B559" s="13" t="s">
        <v>1120</v>
      </c>
      <c r="C559" s="14">
        <v>44861</v>
      </c>
      <c r="D559" s="13">
        <v>2022</v>
      </c>
      <c r="E559" s="13" t="s">
        <v>21</v>
      </c>
      <c r="F559" s="13" t="s">
        <v>22</v>
      </c>
      <c r="G559" s="15">
        <v>556.15</v>
      </c>
      <c r="H559" s="15">
        <v>556.15</v>
      </c>
      <c r="I559" s="13">
        <v>6</v>
      </c>
      <c r="J559" s="13">
        <v>6</v>
      </c>
      <c r="K559" s="13" t="s">
        <v>3348</v>
      </c>
      <c r="L559" s="15">
        <v>92.691666666666663</v>
      </c>
      <c r="M559" s="16">
        <v>92.691666666666663</v>
      </c>
    </row>
    <row r="560" spans="1:13" s="5" customFormat="1" x14ac:dyDescent="0.25">
      <c r="A560" s="12" t="s">
        <v>1121</v>
      </c>
      <c r="B560" s="13" t="s">
        <v>1122</v>
      </c>
      <c r="C560" s="14">
        <v>44878</v>
      </c>
      <c r="D560" s="13">
        <v>2022</v>
      </c>
      <c r="E560" s="13" t="s">
        <v>10</v>
      </c>
      <c r="F560" s="13" t="s">
        <v>34</v>
      </c>
      <c r="G560" s="15">
        <v>1852.85</v>
      </c>
      <c r="H560" s="15">
        <v>1852.85</v>
      </c>
      <c r="I560" s="13">
        <v>8</v>
      </c>
      <c r="J560" s="13">
        <v>8</v>
      </c>
      <c r="K560" s="13" t="s">
        <v>18</v>
      </c>
      <c r="L560" s="15">
        <v>231.60624999999999</v>
      </c>
      <c r="M560" s="16">
        <v>231.60624999999999</v>
      </c>
    </row>
    <row r="561" spans="1:13" s="5" customFormat="1" x14ac:dyDescent="0.25">
      <c r="A561" s="12" t="s">
        <v>1123</v>
      </c>
      <c r="B561" s="13" t="s">
        <v>283</v>
      </c>
      <c r="C561" s="14">
        <v>45625</v>
      </c>
      <c r="D561" s="13">
        <v>2024</v>
      </c>
      <c r="E561" s="13" t="s">
        <v>14</v>
      </c>
      <c r="F561" s="13" t="s">
        <v>25</v>
      </c>
      <c r="G561" s="15">
        <v>247.56</v>
      </c>
      <c r="H561" s="15">
        <v>247.56</v>
      </c>
      <c r="I561" s="13">
        <v>9</v>
      </c>
      <c r="J561" s="13">
        <v>9</v>
      </c>
      <c r="K561" s="13" t="s">
        <v>3348</v>
      </c>
      <c r="L561" s="15">
        <v>27.506666666666668</v>
      </c>
      <c r="M561" s="16">
        <v>27.506666666666668</v>
      </c>
    </row>
    <row r="562" spans="1:13" s="5" customFormat="1" x14ac:dyDescent="0.25">
      <c r="A562" s="12" t="s">
        <v>1124</v>
      </c>
      <c r="B562" s="13" t="s">
        <v>1125</v>
      </c>
      <c r="C562" s="14">
        <v>45116</v>
      </c>
      <c r="D562" s="13">
        <v>2023</v>
      </c>
      <c r="E562" s="13" t="s">
        <v>21</v>
      </c>
      <c r="F562" s="13" t="s">
        <v>11</v>
      </c>
      <c r="G562" s="15">
        <v>1388.66</v>
      </c>
      <c r="H562" s="15">
        <v>1388.66</v>
      </c>
      <c r="I562" s="13">
        <v>2</v>
      </c>
      <c r="J562" s="13">
        <v>2</v>
      </c>
      <c r="K562" s="13" t="s">
        <v>15</v>
      </c>
      <c r="L562" s="15">
        <v>694.33</v>
      </c>
      <c r="M562" s="16">
        <v>694.33</v>
      </c>
    </row>
    <row r="563" spans="1:13" s="5" customFormat="1" x14ac:dyDescent="0.25">
      <c r="A563" s="12" t="s">
        <v>1126</v>
      </c>
      <c r="B563" s="13" t="s">
        <v>1127</v>
      </c>
      <c r="C563" s="14">
        <v>45715</v>
      </c>
      <c r="D563" s="13">
        <v>2025</v>
      </c>
      <c r="E563" s="13" t="s">
        <v>21</v>
      </c>
      <c r="F563" s="13" t="s">
        <v>25</v>
      </c>
      <c r="G563" s="15">
        <v>435.35</v>
      </c>
      <c r="H563" s="15">
        <v>435.35</v>
      </c>
      <c r="I563" s="13">
        <v>2</v>
      </c>
      <c r="J563" s="13">
        <v>2</v>
      </c>
      <c r="K563" s="13" t="s">
        <v>18</v>
      </c>
      <c r="L563" s="15">
        <v>217.67500000000001</v>
      </c>
      <c r="M563" s="16">
        <v>217.67500000000001</v>
      </c>
    </row>
    <row r="564" spans="1:13" s="5" customFormat="1" x14ac:dyDescent="0.25">
      <c r="A564" s="12" t="s">
        <v>1128</v>
      </c>
      <c r="B564" s="13" t="s">
        <v>1129</v>
      </c>
      <c r="C564" s="14">
        <v>45182</v>
      </c>
      <c r="D564" s="13">
        <v>2023</v>
      </c>
      <c r="E564" s="13" t="s">
        <v>14</v>
      </c>
      <c r="F564" s="13" t="s">
        <v>25</v>
      </c>
      <c r="G564" s="15">
        <v>889.67</v>
      </c>
      <c r="H564" s="15">
        <v>889.67</v>
      </c>
      <c r="I564" s="13">
        <v>2</v>
      </c>
      <c r="J564" s="13">
        <v>2</v>
      </c>
      <c r="K564" s="13" t="s">
        <v>35</v>
      </c>
      <c r="L564" s="15">
        <v>444.83499999999998</v>
      </c>
      <c r="M564" s="16">
        <v>444.83499999999998</v>
      </c>
    </row>
    <row r="565" spans="1:13" s="5" customFormat="1" x14ac:dyDescent="0.25">
      <c r="A565" s="12" t="s">
        <v>1130</v>
      </c>
      <c r="B565" s="13" t="s">
        <v>1131</v>
      </c>
      <c r="C565" s="14">
        <v>45304</v>
      </c>
      <c r="D565" s="13">
        <v>2024</v>
      </c>
      <c r="E565" s="13" t="s">
        <v>3347</v>
      </c>
      <c r="F565" s="13" t="s">
        <v>22</v>
      </c>
      <c r="G565" s="15">
        <v>864.29691358024706</v>
      </c>
      <c r="H565" s="15">
        <v>864.29691358024706</v>
      </c>
      <c r="I565" s="13">
        <v>4</v>
      </c>
      <c r="J565" s="13">
        <v>4</v>
      </c>
      <c r="K565" s="13" t="s">
        <v>15</v>
      </c>
      <c r="L565" s="15">
        <v>216.07422839506177</v>
      </c>
      <c r="M565" s="16">
        <v>216.07422839506177</v>
      </c>
    </row>
    <row r="566" spans="1:13" s="5" customFormat="1" x14ac:dyDescent="0.25">
      <c r="A566" s="12" t="s">
        <v>1132</v>
      </c>
      <c r="B566" s="13" t="s">
        <v>1133</v>
      </c>
      <c r="C566" s="14">
        <v>44991</v>
      </c>
      <c r="D566" s="13">
        <v>2023</v>
      </c>
      <c r="E566" s="13" t="s">
        <v>14</v>
      </c>
      <c r="F566" s="13" t="s">
        <v>34</v>
      </c>
      <c r="G566" s="15">
        <v>264.35000000000002</v>
      </c>
      <c r="H566" s="15">
        <v>264.35000000000002</v>
      </c>
      <c r="I566" s="13">
        <v>1</v>
      </c>
      <c r="J566" s="13">
        <v>1</v>
      </c>
      <c r="K566" s="13" t="s">
        <v>18</v>
      </c>
      <c r="L566" s="15">
        <v>264.35000000000002</v>
      </c>
      <c r="M566" s="16">
        <v>264.35000000000002</v>
      </c>
    </row>
    <row r="567" spans="1:13" s="5" customFormat="1" x14ac:dyDescent="0.25">
      <c r="A567" s="12" t="s">
        <v>1134</v>
      </c>
      <c r="B567" s="13" t="s">
        <v>1135</v>
      </c>
      <c r="C567" s="14">
        <v>45335</v>
      </c>
      <c r="D567" s="13">
        <v>2024</v>
      </c>
      <c r="E567" s="13" t="s">
        <v>21</v>
      </c>
      <c r="F567" s="13" t="s">
        <v>22</v>
      </c>
      <c r="G567" s="15">
        <v>1777.15</v>
      </c>
      <c r="H567" s="15">
        <v>1777.15</v>
      </c>
      <c r="I567" s="13">
        <v>6</v>
      </c>
      <c r="J567" s="13">
        <v>6</v>
      </c>
      <c r="K567" s="13" t="s">
        <v>15</v>
      </c>
      <c r="L567" s="15">
        <v>296.19166666666666</v>
      </c>
      <c r="M567" s="16">
        <v>296.19166666666666</v>
      </c>
    </row>
    <row r="568" spans="1:13" s="5" customFormat="1" x14ac:dyDescent="0.25">
      <c r="A568" s="12" t="s">
        <v>1136</v>
      </c>
      <c r="B568" s="13" t="s">
        <v>407</v>
      </c>
      <c r="C568" s="14">
        <v>45162</v>
      </c>
      <c r="D568" s="13">
        <v>2023</v>
      </c>
      <c r="E568" s="13" t="s">
        <v>14</v>
      </c>
      <c r="F568" s="13" t="s">
        <v>34</v>
      </c>
      <c r="G568" s="15">
        <v>1854.35</v>
      </c>
      <c r="H568" s="15">
        <v>1854.35</v>
      </c>
      <c r="I568" s="13">
        <v>2</v>
      </c>
      <c r="J568" s="13">
        <v>2</v>
      </c>
      <c r="K568" s="13" t="s">
        <v>18</v>
      </c>
      <c r="L568" s="15">
        <v>927.17499999999995</v>
      </c>
      <c r="M568" s="16">
        <v>927.17499999999995</v>
      </c>
    </row>
    <row r="569" spans="1:13" s="5" customFormat="1" x14ac:dyDescent="0.25">
      <c r="A569" s="12" t="s">
        <v>1137</v>
      </c>
      <c r="B569" s="13" t="s">
        <v>451</v>
      </c>
      <c r="C569" s="14">
        <v>45497</v>
      </c>
      <c r="D569" s="13">
        <v>2024</v>
      </c>
      <c r="E569" s="13" t="s">
        <v>21</v>
      </c>
      <c r="F569" s="13" t="s">
        <v>22</v>
      </c>
      <c r="G569" s="15">
        <v>1882.97</v>
      </c>
      <c r="H569" s="15">
        <v>1882.97</v>
      </c>
      <c r="I569" s="13">
        <v>6</v>
      </c>
      <c r="J569" s="13">
        <v>6</v>
      </c>
      <c r="K569" s="13" t="s">
        <v>35</v>
      </c>
      <c r="L569" s="15">
        <v>313.82833333333332</v>
      </c>
      <c r="M569" s="16">
        <v>313.82833333333332</v>
      </c>
    </row>
    <row r="570" spans="1:13" s="5" customFormat="1" x14ac:dyDescent="0.25">
      <c r="A570" s="12" t="s">
        <v>1138</v>
      </c>
      <c r="B570" s="13" t="s">
        <v>1139</v>
      </c>
      <c r="C570" s="14">
        <v>45310</v>
      </c>
      <c r="D570" s="13">
        <v>2024</v>
      </c>
      <c r="E570" s="13" t="s">
        <v>3347</v>
      </c>
      <c r="F570" s="13" t="s">
        <v>22</v>
      </c>
      <c r="G570" s="15">
        <v>1595.4</v>
      </c>
      <c r="H570" s="15">
        <v>1595.4</v>
      </c>
      <c r="I570" s="13">
        <v>10</v>
      </c>
      <c r="J570" s="13">
        <v>10</v>
      </c>
      <c r="K570" s="13" t="s">
        <v>35</v>
      </c>
      <c r="L570" s="15">
        <v>159.54000000000002</v>
      </c>
      <c r="M570" s="16">
        <v>159.54000000000002</v>
      </c>
    </row>
    <row r="571" spans="1:13" s="5" customFormat="1" x14ac:dyDescent="0.25">
      <c r="A571" s="12" t="s">
        <v>1140</v>
      </c>
      <c r="B571" s="13" t="s">
        <v>1141</v>
      </c>
      <c r="C571" s="14">
        <v>45631</v>
      </c>
      <c r="D571" s="13">
        <v>2024</v>
      </c>
      <c r="E571" s="13" t="s">
        <v>10</v>
      </c>
      <c r="F571" s="13" t="s">
        <v>11</v>
      </c>
      <c r="G571" s="15">
        <v>1893.17</v>
      </c>
      <c r="H571" s="15">
        <v>1893.17</v>
      </c>
      <c r="I571" s="13">
        <v>7</v>
      </c>
      <c r="J571" s="13">
        <v>7</v>
      </c>
      <c r="K571" s="13" t="s">
        <v>18</v>
      </c>
      <c r="L571" s="15">
        <v>270.45285714285717</v>
      </c>
      <c r="M571" s="16">
        <v>270.45285714285717</v>
      </c>
    </row>
    <row r="572" spans="1:13" s="5" customFormat="1" x14ac:dyDescent="0.25">
      <c r="A572" s="12" t="s">
        <v>1142</v>
      </c>
      <c r="B572" s="13" t="s">
        <v>1143</v>
      </c>
      <c r="C572" s="14">
        <v>45340</v>
      </c>
      <c r="D572" s="13">
        <v>2024</v>
      </c>
      <c r="E572" s="13" t="s">
        <v>21</v>
      </c>
      <c r="F572" s="13" t="s">
        <v>11</v>
      </c>
      <c r="G572" s="15">
        <v>529.82000000000005</v>
      </c>
      <c r="H572" s="15">
        <v>529.82000000000005</v>
      </c>
      <c r="I572" s="13">
        <v>7</v>
      </c>
      <c r="J572" s="13">
        <v>7</v>
      </c>
      <c r="K572" s="13" t="s">
        <v>3346</v>
      </c>
      <c r="L572" s="15">
        <v>75.688571428571436</v>
      </c>
      <c r="M572" s="16">
        <v>75.688571428571436</v>
      </c>
    </row>
    <row r="573" spans="1:13" s="5" customFormat="1" x14ac:dyDescent="0.25">
      <c r="A573" s="12" t="s">
        <v>1144</v>
      </c>
      <c r="B573" s="13" t="s">
        <v>75</v>
      </c>
      <c r="C573" s="14">
        <v>45766</v>
      </c>
      <c r="D573" s="13">
        <v>2025</v>
      </c>
      <c r="E573" s="13" t="s">
        <v>3347</v>
      </c>
      <c r="F573" s="13" t="s">
        <v>34</v>
      </c>
      <c r="G573" s="15">
        <v>634.49</v>
      </c>
      <c r="H573" s="15">
        <v>634.49</v>
      </c>
      <c r="I573" s="13">
        <v>8</v>
      </c>
      <c r="J573" s="13">
        <v>8</v>
      </c>
      <c r="K573" s="13" t="s">
        <v>3348</v>
      </c>
      <c r="L573" s="15">
        <v>79.311250000000001</v>
      </c>
      <c r="M573" s="16">
        <v>79.311250000000001</v>
      </c>
    </row>
    <row r="574" spans="1:13" s="5" customFormat="1" x14ac:dyDescent="0.25">
      <c r="A574" s="12" t="s">
        <v>1145</v>
      </c>
      <c r="B574" s="13" t="s">
        <v>1146</v>
      </c>
      <c r="C574" s="14">
        <v>45361</v>
      </c>
      <c r="D574" s="13">
        <v>2024</v>
      </c>
      <c r="E574" s="13" t="s">
        <v>3347</v>
      </c>
      <c r="F574" s="13" t="s">
        <v>34</v>
      </c>
      <c r="G574" s="15">
        <v>1998.45</v>
      </c>
      <c r="H574" s="15">
        <v>1998.45</v>
      </c>
      <c r="I574" s="13">
        <v>6</v>
      </c>
      <c r="J574" s="13">
        <v>6</v>
      </c>
      <c r="K574" s="13" t="s">
        <v>3348</v>
      </c>
      <c r="L574" s="15">
        <v>333.07499999999999</v>
      </c>
      <c r="M574" s="16">
        <v>333.07499999999999</v>
      </c>
    </row>
    <row r="575" spans="1:13" s="5" customFormat="1" x14ac:dyDescent="0.25">
      <c r="A575" s="12" t="s">
        <v>1147</v>
      </c>
      <c r="B575" s="13" t="s">
        <v>1148</v>
      </c>
      <c r="C575" s="14">
        <v>44939</v>
      </c>
      <c r="D575" s="13">
        <v>2023</v>
      </c>
      <c r="E575" s="13" t="s">
        <v>3347</v>
      </c>
      <c r="F575" s="13" t="s">
        <v>34</v>
      </c>
      <c r="G575" s="15">
        <v>1621.7157916666667</v>
      </c>
      <c r="H575" s="15">
        <v>1621.7157916666667</v>
      </c>
      <c r="I575" s="13">
        <v>3</v>
      </c>
      <c r="J575" s="13">
        <v>3</v>
      </c>
      <c r="K575" s="13" t="s">
        <v>3348</v>
      </c>
      <c r="L575" s="15">
        <v>540.57193055555558</v>
      </c>
      <c r="M575" s="16">
        <v>540.57193055555558</v>
      </c>
    </row>
    <row r="576" spans="1:13" s="5" customFormat="1" x14ac:dyDescent="0.25">
      <c r="A576" s="12" t="s">
        <v>1149</v>
      </c>
      <c r="B576" s="13" t="s">
        <v>1150</v>
      </c>
      <c r="C576" s="14">
        <v>45145</v>
      </c>
      <c r="D576" s="13">
        <v>2023</v>
      </c>
      <c r="E576" s="13" t="s">
        <v>14</v>
      </c>
      <c r="F576" s="13" t="s">
        <v>34</v>
      </c>
      <c r="G576" s="15">
        <v>1079.8399999999999</v>
      </c>
      <c r="H576" s="15">
        <v>1079.8399999999999</v>
      </c>
      <c r="I576" s="13">
        <v>1</v>
      </c>
      <c r="J576" s="13">
        <v>1</v>
      </c>
      <c r="K576" s="13" t="s">
        <v>3348</v>
      </c>
      <c r="L576" s="15">
        <v>1079.8399999999999</v>
      </c>
      <c r="M576" s="16">
        <v>1079.8399999999999</v>
      </c>
    </row>
    <row r="577" spans="1:13" s="5" customFormat="1" x14ac:dyDescent="0.25">
      <c r="A577" s="12" t="s">
        <v>1151</v>
      </c>
      <c r="B577" s="13" t="s">
        <v>1152</v>
      </c>
      <c r="C577" s="14">
        <v>45748</v>
      </c>
      <c r="D577" s="13">
        <v>2025</v>
      </c>
      <c r="E577" s="13" t="s">
        <v>21</v>
      </c>
      <c r="F577" s="13" t="s">
        <v>22</v>
      </c>
      <c r="G577" s="15">
        <v>237.63</v>
      </c>
      <c r="H577" s="15">
        <v>237.63</v>
      </c>
      <c r="I577" s="13">
        <v>3</v>
      </c>
      <c r="J577" s="13">
        <v>3</v>
      </c>
      <c r="K577" s="13" t="s">
        <v>3346</v>
      </c>
      <c r="L577" s="15">
        <v>79.209999999999994</v>
      </c>
      <c r="M577" s="16">
        <v>79.209999999999994</v>
      </c>
    </row>
    <row r="578" spans="1:13" s="5" customFormat="1" x14ac:dyDescent="0.25">
      <c r="A578" s="12" t="s">
        <v>1153</v>
      </c>
      <c r="B578" s="13" t="s">
        <v>1154</v>
      </c>
      <c r="C578" s="14">
        <v>45943</v>
      </c>
      <c r="D578" s="13">
        <v>2025</v>
      </c>
      <c r="E578" s="13" t="s">
        <v>14</v>
      </c>
      <c r="F578" s="13" t="s">
        <v>11</v>
      </c>
      <c r="G578" s="15">
        <v>1469.82</v>
      </c>
      <c r="H578" s="15">
        <v>1469.82</v>
      </c>
      <c r="I578" s="13">
        <v>4</v>
      </c>
      <c r="J578" s="13">
        <v>4</v>
      </c>
      <c r="K578" s="13" t="s">
        <v>3348</v>
      </c>
      <c r="L578" s="15">
        <v>367.45499999999998</v>
      </c>
      <c r="M578" s="16">
        <v>367.45499999999998</v>
      </c>
    </row>
    <row r="579" spans="1:13" s="5" customFormat="1" x14ac:dyDescent="0.25">
      <c r="A579" s="12" t="s">
        <v>1155</v>
      </c>
      <c r="B579" s="13" t="s">
        <v>1156</v>
      </c>
      <c r="C579" s="14">
        <v>45103</v>
      </c>
      <c r="D579" s="13">
        <v>2023</v>
      </c>
      <c r="E579" s="13" t="s">
        <v>21</v>
      </c>
      <c r="F579" s="13" t="s">
        <v>25</v>
      </c>
      <c r="G579" s="15">
        <v>1853.66</v>
      </c>
      <c r="H579" s="15">
        <v>1853.66</v>
      </c>
      <c r="I579" s="13">
        <v>3</v>
      </c>
      <c r="J579" s="13">
        <v>3</v>
      </c>
      <c r="K579" s="13" t="s">
        <v>3348</v>
      </c>
      <c r="L579" s="15">
        <v>617.88666666666666</v>
      </c>
      <c r="M579" s="16">
        <v>617.88666666666666</v>
      </c>
    </row>
    <row r="580" spans="1:13" s="5" customFormat="1" x14ac:dyDescent="0.25">
      <c r="A580" s="12" t="s">
        <v>1157</v>
      </c>
      <c r="B580" s="13" t="s">
        <v>1158</v>
      </c>
      <c r="C580" s="14">
        <v>44996</v>
      </c>
      <c r="D580" s="13">
        <v>2023</v>
      </c>
      <c r="E580" s="13" t="s">
        <v>14</v>
      </c>
      <c r="F580" s="13" t="s">
        <v>25</v>
      </c>
      <c r="G580" s="15">
        <v>415.87</v>
      </c>
      <c r="H580" s="15">
        <v>415.87</v>
      </c>
      <c r="I580" s="13">
        <v>6</v>
      </c>
      <c r="J580" s="13">
        <v>6</v>
      </c>
      <c r="K580" s="13" t="s">
        <v>35</v>
      </c>
      <c r="L580" s="15">
        <v>69.311666666666667</v>
      </c>
      <c r="M580" s="16">
        <v>69.311666666666667</v>
      </c>
    </row>
    <row r="581" spans="1:13" s="5" customFormat="1" x14ac:dyDescent="0.25">
      <c r="A581" s="12" t="s">
        <v>1159</v>
      </c>
      <c r="B581" s="13" t="s">
        <v>1160</v>
      </c>
      <c r="C581" s="14">
        <v>45453</v>
      </c>
      <c r="D581" s="13">
        <v>2024</v>
      </c>
      <c r="E581" s="13" t="s">
        <v>3347</v>
      </c>
      <c r="F581" s="13" t="s">
        <v>22</v>
      </c>
      <c r="G581" s="15">
        <v>465.9</v>
      </c>
      <c r="H581" s="15">
        <v>465.9</v>
      </c>
      <c r="I581" s="13">
        <v>3</v>
      </c>
      <c r="J581" s="13">
        <v>3</v>
      </c>
      <c r="K581" s="13" t="s">
        <v>3348</v>
      </c>
      <c r="L581" s="15">
        <v>155.29999999999998</v>
      </c>
      <c r="M581" s="16">
        <v>155.29999999999998</v>
      </c>
    </row>
    <row r="582" spans="1:13" s="5" customFormat="1" x14ac:dyDescent="0.25">
      <c r="A582" s="12" t="s">
        <v>1161</v>
      </c>
      <c r="B582" s="13" t="s">
        <v>1162</v>
      </c>
      <c r="C582" s="14">
        <v>45821</v>
      </c>
      <c r="D582" s="13">
        <v>2025</v>
      </c>
      <c r="E582" s="13" t="s">
        <v>14</v>
      </c>
      <c r="F582" s="13" t="s">
        <v>11</v>
      </c>
      <c r="G582" s="15">
        <v>1097.92</v>
      </c>
      <c r="H582" s="15">
        <v>1097.92</v>
      </c>
      <c r="I582" s="13">
        <v>5</v>
      </c>
      <c r="J582" s="13">
        <v>5</v>
      </c>
      <c r="K582" s="13" t="s">
        <v>35</v>
      </c>
      <c r="L582" s="15">
        <v>219.584</v>
      </c>
      <c r="M582" s="16">
        <v>219.584</v>
      </c>
    </row>
    <row r="583" spans="1:13" s="5" customFormat="1" x14ac:dyDescent="0.25">
      <c r="A583" s="12" t="s">
        <v>1163</v>
      </c>
      <c r="B583" s="13" t="s">
        <v>1164</v>
      </c>
      <c r="C583" s="14">
        <v>45503</v>
      </c>
      <c r="D583" s="13">
        <v>2024</v>
      </c>
      <c r="E583" s="13" t="s">
        <v>14</v>
      </c>
      <c r="F583" s="13" t="s">
        <v>34</v>
      </c>
      <c r="G583" s="15">
        <v>2106.7183401360544</v>
      </c>
      <c r="H583" s="15">
        <v>2106.7183401360544</v>
      </c>
      <c r="I583" s="13">
        <v>6</v>
      </c>
      <c r="J583" s="13">
        <v>6</v>
      </c>
      <c r="K583" s="13" t="s">
        <v>3348</v>
      </c>
      <c r="L583" s="15">
        <v>351.11972335600905</v>
      </c>
      <c r="M583" s="16">
        <v>351.11972335600905</v>
      </c>
    </row>
    <row r="584" spans="1:13" s="5" customFormat="1" x14ac:dyDescent="0.25">
      <c r="A584" s="12" t="s">
        <v>1165</v>
      </c>
      <c r="B584" s="13" t="s">
        <v>1166</v>
      </c>
      <c r="C584" s="14">
        <v>45715</v>
      </c>
      <c r="D584" s="13">
        <v>2025</v>
      </c>
      <c r="E584" s="13" t="s">
        <v>14</v>
      </c>
      <c r="F584" s="13" t="s">
        <v>22</v>
      </c>
      <c r="G584" s="15">
        <v>372.66</v>
      </c>
      <c r="H584" s="15">
        <v>372.66</v>
      </c>
      <c r="I584" s="13">
        <v>5</v>
      </c>
      <c r="J584" s="13">
        <v>5</v>
      </c>
      <c r="K584" s="13" t="s">
        <v>18</v>
      </c>
      <c r="L584" s="15">
        <v>74.532000000000011</v>
      </c>
      <c r="M584" s="16">
        <v>74.532000000000011</v>
      </c>
    </row>
    <row r="585" spans="1:13" s="5" customFormat="1" x14ac:dyDescent="0.25">
      <c r="A585" s="12" t="s">
        <v>1167</v>
      </c>
      <c r="B585" s="13" t="s">
        <v>1168</v>
      </c>
      <c r="C585" s="14">
        <v>45242</v>
      </c>
      <c r="D585" s="13">
        <v>2023</v>
      </c>
      <c r="E585" s="13" t="s">
        <v>10</v>
      </c>
      <c r="F585" s="13" t="s">
        <v>11</v>
      </c>
      <c r="G585" s="15">
        <v>1367.49</v>
      </c>
      <c r="H585" s="15">
        <v>1367.49</v>
      </c>
      <c r="I585" s="13">
        <v>5</v>
      </c>
      <c r="J585" s="13">
        <v>5</v>
      </c>
      <c r="K585" s="13" t="s">
        <v>18</v>
      </c>
      <c r="L585" s="15">
        <v>273.49799999999999</v>
      </c>
      <c r="M585" s="16">
        <v>273.49799999999999</v>
      </c>
    </row>
    <row r="586" spans="1:13" s="5" customFormat="1" x14ac:dyDescent="0.25">
      <c r="A586" s="12" t="s">
        <v>1169</v>
      </c>
      <c r="B586" s="13" t="s">
        <v>1170</v>
      </c>
      <c r="C586" s="14">
        <v>45287</v>
      </c>
      <c r="D586" s="13">
        <v>2023</v>
      </c>
      <c r="E586" s="13" t="s">
        <v>10</v>
      </c>
      <c r="F586" s="13" t="s">
        <v>11</v>
      </c>
      <c r="G586" s="15">
        <v>718.45</v>
      </c>
      <c r="H586" s="15">
        <v>718.45</v>
      </c>
      <c r="I586" s="13">
        <v>2</v>
      </c>
      <c r="J586" s="13">
        <v>2</v>
      </c>
      <c r="K586" s="13" t="s">
        <v>3346</v>
      </c>
      <c r="L586" s="15">
        <v>359.22500000000002</v>
      </c>
      <c r="M586" s="16">
        <v>359.22500000000002</v>
      </c>
    </row>
    <row r="587" spans="1:13" s="5" customFormat="1" x14ac:dyDescent="0.25">
      <c r="A587" s="12" t="s">
        <v>1171</v>
      </c>
      <c r="B587" s="13" t="s">
        <v>1172</v>
      </c>
      <c r="C587" s="14">
        <v>45823</v>
      </c>
      <c r="D587" s="13">
        <v>2025</v>
      </c>
      <c r="E587" s="13" t="s">
        <v>3347</v>
      </c>
      <c r="F587" s="13" t="s">
        <v>11</v>
      </c>
      <c r="G587" s="15">
        <v>1166.22</v>
      </c>
      <c r="H587" s="15">
        <v>1166.22</v>
      </c>
      <c r="I587" s="13">
        <v>3</v>
      </c>
      <c r="J587" s="13">
        <v>3</v>
      </c>
      <c r="K587" s="13" t="s">
        <v>15</v>
      </c>
      <c r="L587" s="15">
        <v>388.74</v>
      </c>
      <c r="M587" s="16">
        <v>388.74</v>
      </c>
    </row>
    <row r="588" spans="1:13" s="5" customFormat="1" x14ac:dyDescent="0.25">
      <c r="A588" s="12" t="s">
        <v>1173</v>
      </c>
      <c r="B588" s="13" t="s">
        <v>1174</v>
      </c>
      <c r="C588" s="14">
        <v>45310</v>
      </c>
      <c r="D588" s="13">
        <v>2024</v>
      </c>
      <c r="E588" s="13" t="s">
        <v>21</v>
      </c>
      <c r="F588" s="13" t="s">
        <v>22</v>
      </c>
      <c r="G588" s="15">
        <v>1299.7117573696144</v>
      </c>
      <c r="H588" s="15">
        <v>1299.7117573696144</v>
      </c>
      <c r="I588" s="13">
        <v>4</v>
      </c>
      <c r="J588" s="13">
        <v>4</v>
      </c>
      <c r="K588" s="13" t="s">
        <v>15</v>
      </c>
      <c r="L588" s="15">
        <v>324.92793934240359</v>
      </c>
      <c r="M588" s="16">
        <v>324.92793934240359</v>
      </c>
    </row>
    <row r="589" spans="1:13" s="5" customFormat="1" x14ac:dyDescent="0.25">
      <c r="A589" s="12" t="s">
        <v>1175</v>
      </c>
      <c r="B589" s="13" t="s">
        <v>1176</v>
      </c>
      <c r="C589" s="14">
        <v>44925</v>
      </c>
      <c r="D589" s="13">
        <v>2022</v>
      </c>
      <c r="E589" s="13" t="s">
        <v>10</v>
      </c>
      <c r="F589" s="13" t="s">
        <v>22</v>
      </c>
      <c r="G589" s="15">
        <v>1892.6</v>
      </c>
      <c r="H589" s="15">
        <v>1892.6</v>
      </c>
      <c r="I589" s="13">
        <v>9</v>
      </c>
      <c r="J589" s="13">
        <v>9</v>
      </c>
      <c r="K589" s="13" t="s">
        <v>18</v>
      </c>
      <c r="L589" s="15">
        <v>210.28888888888889</v>
      </c>
      <c r="M589" s="16">
        <v>210.28888888888889</v>
      </c>
    </row>
    <row r="590" spans="1:13" s="5" customFormat="1" x14ac:dyDescent="0.25">
      <c r="A590" s="12" t="s">
        <v>1177</v>
      </c>
      <c r="B590" s="13" t="s">
        <v>1178</v>
      </c>
      <c r="C590" s="14">
        <v>45478</v>
      </c>
      <c r="D590" s="13">
        <v>2024</v>
      </c>
      <c r="E590" s="13" t="s">
        <v>3347</v>
      </c>
      <c r="F590" s="13" t="s">
        <v>22</v>
      </c>
      <c r="G590" s="15">
        <v>2609.1395555555555</v>
      </c>
      <c r="H590" s="15">
        <v>2609.1395555555555</v>
      </c>
      <c r="I590" s="13">
        <v>8</v>
      </c>
      <c r="J590" s="13">
        <v>8</v>
      </c>
      <c r="K590" s="13" t="s">
        <v>35</v>
      </c>
      <c r="L590" s="15">
        <v>326.14244444444444</v>
      </c>
      <c r="M590" s="16">
        <v>326.14244444444444</v>
      </c>
    </row>
    <row r="591" spans="1:13" s="5" customFormat="1" x14ac:dyDescent="0.25">
      <c r="A591" s="12" t="s">
        <v>1179</v>
      </c>
      <c r="B591" s="13" t="s">
        <v>1180</v>
      </c>
      <c r="C591" s="14">
        <v>45487</v>
      </c>
      <c r="D591" s="13">
        <v>2024</v>
      </c>
      <c r="E591" s="13" t="s">
        <v>10</v>
      </c>
      <c r="F591" s="13" t="s">
        <v>34</v>
      </c>
      <c r="G591" s="15">
        <v>1298.1400000000001</v>
      </c>
      <c r="H591" s="15">
        <v>1298.1400000000001</v>
      </c>
      <c r="I591" s="13">
        <v>1</v>
      </c>
      <c r="J591" s="13">
        <v>1</v>
      </c>
      <c r="K591" s="13" t="s">
        <v>35</v>
      </c>
      <c r="L591" s="15">
        <v>1298.1400000000001</v>
      </c>
      <c r="M591" s="16">
        <v>1298.1400000000001</v>
      </c>
    </row>
    <row r="592" spans="1:13" s="5" customFormat="1" x14ac:dyDescent="0.25">
      <c r="A592" s="12" t="s">
        <v>1181</v>
      </c>
      <c r="B592" s="13" t="s">
        <v>1182</v>
      </c>
      <c r="C592" s="14">
        <v>45482</v>
      </c>
      <c r="D592" s="13">
        <v>2024</v>
      </c>
      <c r="E592" s="13" t="s">
        <v>3347</v>
      </c>
      <c r="F592" s="13" t="s">
        <v>34</v>
      </c>
      <c r="G592" s="15">
        <v>47.93</v>
      </c>
      <c r="H592" s="15">
        <v>47.93</v>
      </c>
      <c r="I592" s="13">
        <v>3</v>
      </c>
      <c r="J592" s="13">
        <v>3</v>
      </c>
      <c r="K592" s="13" t="s">
        <v>3346</v>
      </c>
      <c r="L592" s="15">
        <v>15.976666666666667</v>
      </c>
      <c r="M592" s="16">
        <v>15.976666666666667</v>
      </c>
    </row>
    <row r="593" spans="1:13" s="5" customFormat="1" x14ac:dyDescent="0.25">
      <c r="A593" s="12" t="s">
        <v>1183</v>
      </c>
      <c r="B593" s="13" t="s">
        <v>1184</v>
      </c>
      <c r="C593" s="14">
        <v>44881</v>
      </c>
      <c r="D593" s="13">
        <v>2022</v>
      </c>
      <c r="E593" s="13" t="s">
        <v>3347</v>
      </c>
      <c r="F593" s="13" t="s">
        <v>11</v>
      </c>
      <c r="G593" s="15">
        <v>757.96</v>
      </c>
      <c r="H593" s="15">
        <v>757.96</v>
      </c>
      <c r="I593" s="13">
        <v>10</v>
      </c>
      <c r="J593" s="13">
        <v>10</v>
      </c>
      <c r="K593" s="13" t="s">
        <v>35</v>
      </c>
      <c r="L593" s="15">
        <v>75.796000000000006</v>
      </c>
      <c r="M593" s="16">
        <v>75.796000000000006</v>
      </c>
    </row>
    <row r="594" spans="1:13" s="5" customFormat="1" x14ac:dyDescent="0.25">
      <c r="A594" s="12" t="s">
        <v>1185</v>
      </c>
      <c r="B594" s="13" t="s">
        <v>1186</v>
      </c>
      <c r="C594" s="14">
        <v>45866</v>
      </c>
      <c r="D594" s="13">
        <v>2025</v>
      </c>
      <c r="E594" s="13" t="s">
        <v>14</v>
      </c>
      <c r="F594" s="13" t="s">
        <v>34</v>
      </c>
      <c r="G594" s="15">
        <v>409.59</v>
      </c>
      <c r="H594" s="15">
        <v>409.59</v>
      </c>
      <c r="I594" s="13">
        <v>6</v>
      </c>
      <c r="J594" s="13">
        <v>6</v>
      </c>
      <c r="K594" s="13" t="s">
        <v>3346</v>
      </c>
      <c r="L594" s="15">
        <v>68.265000000000001</v>
      </c>
      <c r="M594" s="16">
        <v>68.265000000000001</v>
      </c>
    </row>
    <row r="595" spans="1:13" s="5" customFormat="1" x14ac:dyDescent="0.25">
      <c r="A595" s="12" t="s">
        <v>1187</v>
      </c>
      <c r="B595" s="13" t="s">
        <v>1188</v>
      </c>
      <c r="C595" s="14">
        <v>45882</v>
      </c>
      <c r="D595" s="13">
        <v>2025</v>
      </c>
      <c r="E595" s="13" t="s">
        <v>14</v>
      </c>
      <c r="F595" s="13" t="s">
        <v>34</v>
      </c>
      <c r="G595" s="15">
        <v>939.83</v>
      </c>
      <c r="H595" s="15">
        <v>939.83</v>
      </c>
      <c r="I595" s="13">
        <v>2</v>
      </c>
      <c r="J595" s="13">
        <v>2</v>
      </c>
      <c r="K595" s="13" t="s">
        <v>3348</v>
      </c>
      <c r="L595" s="15">
        <v>469.91500000000002</v>
      </c>
      <c r="M595" s="16">
        <v>457.93064814814807</v>
      </c>
    </row>
    <row r="596" spans="1:13" s="5" customFormat="1" x14ac:dyDescent="0.25">
      <c r="A596" s="12" t="s">
        <v>1189</v>
      </c>
      <c r="B596" s="13" t="s">
        <v>1190</v>
      </c>
      <c r="C596" s="14">
        <v>45580</v>
      </c>
      <c r="D596" s="13">
        <v>2024</v>
      </c>
      <c r="E596" s="13" t="s">
        <v>14</v>
      </c>
      <c r="F596" s="13" t="s">
        <v>34</v>
      </c>
      <c r="G596" s="15">
        <v>1136.8900000000001</v>
      </c>
      <c r="H596" s="15">
        <v>1136.8900000000001</v>
      </c>
      <c r="I596" s="13">
        <v>3</v>
      </c>
      <c r="J596" s="13">
        <v>3</v>
      </c>
      <c r="K596" s="13" t="s">
        <v>15</v>
      </c>
      <c r="L596" s="15">
        <v>378.96333333333337</v>
      </c>
      <c r="M596" s="16">
        <v>378.96333333333337</v>
      </c>
    </row>
    <row r="597" spans="1:13" s="5" customFormat="1" x14ac:dyDescent="0.25">
      <c r="A597" s="12" t="s">
        <v>1191</v>
      </c>
      <c r="B597" s="13" t="s">
        <v>1192</v>
      </c>
      <c r="C597" s="14">
        <v>45084</v>
      </c>
      <c r="D597" s="13">
        <v>2023</v>
      </c>
      <c r="E597" s="13" t="s">
        <v>14</v>
      </c>
      <c r="F597" s="13" t="s">
        <v>11</v>
      </c>
      <c r="G597" s="15">
        <v>462.9</v>
      </c>
      <c r="H597" s="15">
        <v>462.9</v>
      </c>
      <c r="I597" s="13">
        <v>9</v>
      </c>
      <c r="J597" s="13">
        <v>9</v>
      </c>
      <c r="K597" s="13" t="s">
        <v>3348</v>
      </c>
      <c r="L597" s="15">
        <v>51.43333333333333</v>
      </c>
      <c r="M597" s="16">
        <v>51.43333333333333</v>
      </c>
    </row>
    <row r="598" spans="1:13" s="5" customFormat="1" x14ac:dyDescent="0.25">
      <c r="A598" s="12" t="s">
        <v>1193</v>
      </c>
      <c r="B598" s="13" t="s">
        <v>1194</v>
      </c>
      <c r="C598" s="14">
        <v>45676</v>
      </c>
      <c r="D598" s="13">
        <v>2025</v>
      </c>
      <c r="E598" s="13" t="s">
        <v>14</v>
      </c>
      <c r="F598" s="13" t="s">
        <v>11</v>
      </c>
      <c r="G598" s="15">
        <v>1169.77</v>
      </c>
      <c r="H598" s="15">
        <v>1169.77</v>
      </c>
      <c r="I598" s="13">
        <v>2</v>
      </c>
      <c r="J598" s="13">
        <v>2</v>
      </c>
      <c r="K598" s="13" t="s">
        <v>3348</v>
      </c>
      <c r="L598" s="15">
        <v>584.88499999999999</v>
      </c>
      <c r="M598" s="16">
        <v>584.88499999999999</v>
      </c>
    </row>
    <row r="599" spans="1:13" s="5" customFormat="1" x14ac:dyDescent="0.25">
      <c r="A599" s="12" t="s">
        <v>1195</v>
      </c>
      <c r="B599" s="13" t="s">
        <v>1196</v>
      </c>
      <c r="C599" s="14">
        <v>45823</v>
      </c>
      <c r="D599" s="13">
        <v>2025</v>
      </c>
      <c r="E599" s="13" t="s">
        <v>3347</v>
      </c>
      <c r="F599" s="13" t="s">
        <v>22</v>
      </c>
      <c r="G599" s="15">
        <v>633.51</v>
      </c>
      <c r="H599" s="15">
        <v>633.51</v>
      </c>
      <c r="I599" s="13">
        <v>3</v>
      </c>
      <c r="J599" s="13">
        <v>3</v>
      </c>
      <c r="K599" s="13" t="s">
        <v>18</v>
      </c>
      <c r="L599" s="15">
        <v>211.17</v>
      </c>
      <c r="M599" s="16">
        <v>211.17</v>
      </c>
    </row>
    <row r="600" spans="1:13" s="5" customFormat="1" x14ac:dyDescent="0.25">
      <c r="A600" s="12" t="s">
        <v>1197</v>
      </c>
      <c r="B600" s="13" t="s">
        <v>1198</v>
      </c>
      <c r="C600" s="14">
        <v>45532</v>
      </c>
      <c r="D600" s="13">
        <v>2024</v>
      </c>
      <c r="E600" s="13" t="s">
        <v>21</v>
      </c>
      <c r="F600" s="13" t="s">
        <v>22</v>
      </c>
      <c r="G600" s="15">
        <v>1405.92</v>
      </c>
      <c r="H600" s="15">
        <v>1405.92</v>
      </c>
      <c r="I600" s="13">
        <v>3</v>
      </c>
      <c r="J600" s="13">
        <v>3</v>
      </c>
      <c r="K600" s="13" t="s">
        <v>35</v>
      </c>
      <c r="L600" s="15">
        <v>468.64000000000004</v>
      </c>
      <c r="M600" s="16">
        <v>468.64000000000004</v>
      </c>
    </row>
    <row r="601" spans="1:13" s="5" customFormat="1" x14ac:dyDescent="0.25">
      <c r="A601" s="12" t="s">
        <v>1199</v>
      </c>
      <c r="B601" s="13" t="s">
        <v>1200</v>
      </c>
      <c r="C601" s="14">
        <v>45286</v>
      </c>
      <c r="D601" s="13">
        <v>2023</v>
      </c>
      <c r="E601" s="13" t="s">
        <v>10</v>
      </c>
      <c r="F601" s="13" t="s">
        <v>22</v>
      </c>
      <c r="G601" s="15">
        <v>1863.46</v>
      </c>
      <c r="H601" s="15">
        <v>1863.46</v>
      </c>
      <c r="I601" s="13">
        <v>6</v>
      </c>
      <c r="J601" s="13">
        <v>6</v>
      </c>
      <c r="K601" s="13" t="s">
        <v>3346</v>
      </c>
      <c r="L601" s="15">
        <v>310.57666666666665</v>
      </c>
      <c r="M601" s="16">
        <v>310.57666666666665</v>
      </c>
    </row>
    <row r="602" spans="1:13" s="5" customFormat="1" x14ac:dyDescent="0.25">
      <c r="A602" s="12" t="s">
        <v>1201</v>
      </c>
      <c r="B602" s="13" t="s">
        <v>1202</v>
      </c>
      <c r="C602" s="14">
        <v>45141</v>
      </c>
      <c r="D602" s="13">
        <v>2023</v>
      </c>
      <c r="E602" s="13" t="s">
        <v>21</v>
      </c>
      <c r="F602" s="13" t="s">
        <v>34</v>
      </c>
      <c r="G602" s="15">
        <v>1170.6199999999999</v>
      </c>
      <c r="H602" s="15">
        <v>1170.6199999999999</v>
      </c>
      <c r="I602" s="13">
        <v>3</v>
      </c>
      <c r="J602" s="13">
        <v>3</v>
      </c>
      <c r="K602" s="13" t="s">
        <v>35</v>
      </c>
      <c r="L602" s="15">
        <v>390.20666666666665</v>
      </c>
      <c r="M602" s="16">
        <v>390.20666666666665</v>
      </c>
    </row>
    <row r="603" spans="1:13" s="5" customFormat="1" x14ac:dyDescent="0.25">
      <c r="A603" s="12" t="s">
        <v>1203</v>
      </c>
      <c r="B603" s="13" t="s">
        <v>1204</v>
      </c>
      <c r="C603" s="14">
        <v>44867</v>
      </c>
      <c r="D603" s="13">
        <v>2022</v>
      </c>
      <c r="E603" s="13" t="s">
        <v>21</v>
      </c>
      <c r="F603" s="13" t="s">
        <v>34</v>
      </c>
      <c r="G603" s="15">
        <v>1561.27</v>
      </c>
      <c r="H603" s="15">
        <v>1561.27</v>
      </c>
      <c r="I603" s="13">
        <v>1</v>
      </c>
      <c r="J603" s="13">
        <v>1</v>
      </c>
      <c r="K603" s="13" t="s">
        <v>15</v>
      </c>
      <c r="L603" s="15">
        <v>1561.27</v>
      </c>
      <c r="M603" s="16">
        <v>1896.8</v>
      </c>
    </row>
    <row r="604" spans="1:13" s="5" customFormat="1" x14ac:dyDescent="0.25">
      <c r="A604" s="12" t="s">
        <v>1205</v>
      </c>
      <c r="B604" s="13" t="s">
        <v>1206</v>
      </c>
      <c r="C604" s="14">
        <v>45629</v>
      </c>
      <c r="D604" s="13">
        <v>2024</v>
      </c>
      <c r="E604" s="13" t="s">
        <v>14</v>
      </c>
      <c r="F604" s="13" t="s">
        <v>34</v>
      </c>
      <c r="G604" s="15">
        <v>614.41999999999996</v>
      </c>
      <c r="H604" s="15">
        <v>614.41999999999996</v>
      </c>
      <c r="I604" s="13">
        <v>7</v>
      </c>
      <c r="J604" s="13">
        <v>7</v>
      </c>
      <c r="K604" s="13" t="s">
        <v>3348</v>
      </c>
      <c r="L604" s="15">
        <v>87.77428571428571</v>
      </c>
      <c r="M604" s="16">
        <v>87.77428571428571</v>
      </c>
    </row>
    <row r="605" spans="1:13" s="5" customFormat="1" x14ac:dyDescent="0.25">
      <c r="A605" s="12" t="s">
        <v>1207</v>
      </c>
      <c r="B605" s="13" t="s">
        <v>698</v>
      </c>
      <c r="C605" s="14">
        <v>45667</v>
      </c>
      <c r="D605" s="13">
        <v>2025</v>
      </c>
      <c r="E605" s="13" t="s">
        <v>10</v>
      </c>
      <c r="F605" s="13" t="s">
        <v>22</v>
      </c>
      <c r="G605" s="15">
        <v>1855.91</v>
      </c>
      <c r="H605" s="15">
        <v>1855.91</v>
      </c>
      <c r="I605" s="13">
        <v>4</v>
      </c>
      <c r="J605" s="13">
        <v>4</v>
      </c>
      <c r="K605" s="13" t="s">
        <v>18</v>
      </c>
      <c r="L605" s="15">
        <v>463.97750000000002</v>
      </c>
      <c r="M605" s="16">
        <v>463.97750000000002</v>
      </c>
    </row>
    <row r="606" spans="1:13" s="5" customFormat="1" x14ac:dyDescent="0.25">
      <c r="A606" s="12" t="s">
        <v>1208</v>
      </c>
      <c r="B606" s="13" t="s">
        <v>1209</v>
      </c>
      <c r="C606" s="14">
        <v>45764</v>
      </c>
      <c r="D606" s="13">
        <v>2025</v>
      </c>
      <c r="E606" s="13" t="s">
        <v>3347</v>
      </c>
      <c r="F606" s="13" t="s">
        <v>34</v>
      </c>
      <c r="G606" s="15">
        <v>1370.63</v>
      </c>
      <c r="H606" s="15">
        <v>1370.63</v>
      </c>
      <c r="I606" s="13">
        <v>10</v>
      </c>
      <c r="J606" s="13">
        <v>10</v>
      </c>
      <c r="K606" s="13" t="s">
        <v>3346</v>
      </c>
      <c r="L606" s="15">
        <v>137.06300000000002</v>
      </c>
      <c r="M606" s="16">
        <v>137.06300000000002</v>
      </c>
    </row>
    <row r="607" spans="1:13" s="5" customFormat="1" x14ac:dyDescent="0.25">
      <c r="A607" s="12" t="s">
        <v>1210</v>
      </c>
      <c r="B607" s="13" t="s">
        <v>1211</v>
      </c>
      <c r="C607" s="14">
        <v>45304</v>
      </c>
      <c r="D607" s="13">
        <v>2024</v>
      </c>
      <c r="E607" s="13" t="s">
        <v>10</v>
      </c>
      <c r="F607" s="13" t="s">
        <v>25</v>
      </c>
      <c r="G607" s="15">
        <v>1913.29</v>
      </c>
      <c r="H607" s="15">
        <v>1913.29</v>
      </c>
      <c r="I607" s="13">
        <v>4</v>
      </c>
      <c r="J607" s="13">
        <v>4</v>
      </c>
      <c r="K607" s="13" t="s">
        <v>18</v>
      </c>
      <c r="L607" s="15">
        <v>478.32249999999999</v>
      </c>
      <c r="M607" s="16">
        <v>478.32249999999999</v>
      </c>
    </row>
    <row r="608" spans="1:13" s="5" customFormat="1" x14ac:dyDescent="0.25">
      <c r="A608" s="12" t="s">
        <v>1212</v>
      </c>
      <c r="B608" s="13" t="s">
        <v>1213</v>
      </c>
      <c r="C608" s="14">
        <v>45443</v>
      </c>
      <c r="D608" s="13">
        <v>2024</v>
      </c>
      <c r="E608" s="13" t="s">
        <v>10</v>
      </c>
      <c r="F608" s="13" t="s">
        <v>22</v>
      </c>
      <c r="G608" s="15">
        <v>65.69</v>
      </c>
      <c r="H608" s="15">
        <v>65.69</v>
      </c>
      <c r="I608" s="13">
        <v>7</v>
      </c>
      <c r="J608" s="13">
        <v>7</v>
      </c>
      <c r="K608" s="13" t="s">
        <v>35</v>
      </c>
      <c r="L608" s="15">
        <v>9.3842857142857135</v>
      </c>
      <c r="M608" s="16">
        <v>9.3842857142857135</v>
      </c>
    </row>
    <row r="609" spans="1:13" s="5" customFormat="1" x14ac:dyDescent="0.25">
      <c r="A609" s="12" t="s">
        <v>1214</v>
      </c>
      <c r="B609" s="13" t="s">
        <v>1215</v>
      </c>
      <c r="C609" s="14">
        <v>45171</v>
      </c>
      <c r="D609" s="13">
        <v>2023</v>
      </c>
      <c r="E609" s="13" t="s">
        <v>21</v>
      </c>
      <c r="F609" s="13" t="s">
        <v>11</v>
      </c>
      <c r="G609" s="15">
        <v>425.01</v>
      </c>
      <c r="H609" s="15">
        <v>425.01</v>
      </c>
      <c r="I609" s="13">
        <v>9</v>
      </c>
      <c r="J609" s="13">
        <v>9</v>
      </c>
      <c r="K609" s="13" t="s">
        <v>3348</v>
      </c>
      <c r="L609" s="15">
        <v>47.223333333333329</v>
      </c>
      <c r="M609" s="16">
        <v>47.223333333333329</v>
      </c>
    </row>
    <row r="610" spans="1:13" s="5" customFormat="1" x14ac:dyDescent="0.25">
      <c r="A610" s="12" t="s">
        <v>1216</v>
      </c>
      <c r="B610" s="13" t="s">
        <v>1217</v>
      </c>
      <c r="C610" s="14">
        <v>45031</v>
      </c>
      <c r="D610" s="13">
        <v>2023</v>
      </c>
      <c r="E610" s="13" t="s">
        <v>3347</v>
      </c>
      <c r="F610" s="13" t="s">
        <v>34</v>
      </c>
      <c r="G610" s="15">
        <v>267.89999999999998</v>
      </c>
      <c r="H610" s="15">
        <v>267.89999999999998</v>
      </c>
      <c r="I610" s="13">
        <v>9</v>
      </c>
      <c r="J610" s="13">
        <v>9</v>
      </c>
      <c r="K610" s="13" t="s">
        <v>35</v>
      </c>
      <c r="L610" s="15">
        <v>29.766666666666666</v>
      </c>
      <c r="M610" s="16">
        <v>29.766666666666666</v>
      </c>
    </row>
    <row r="611" spans="1:13" s="5" customFormat="1" x14ac:dyDescent="0.25">
      <c r="A611" s="12" t="s">
        <v>1218</v>
      </c>
      <c r="B611" s="13" t="s">
        <v>1219</v>
      </c>
      <c r="C611" s="14">
        <v>45239</v>
      </c>
      <c r="D611" s="13">
        <v>2023</v>
      </c>
      <c r="E611" s="13" t="s">
        <v>21</v>
      </c>
      <c r="F611" s="13" t="s">
        <v>34</v>
      </c>
      <c r="G611" s="15">
        <v>1368.14</v>
      </c>
      <c r="H611" s="15">
        <v>1368.14</v>
      </c>
      <c r="I611" s="13">
        <v>9</v>
      </c>
      <c r="J611" s="13">
        <v>9</v>
      </c>
      <c r="K611" s="13" t="s">
        <v>18</v>
      </c>
      <c r="L611" s="15">
        <v>152.01555555555558</v>
      </c>
      <c r="M611" s="16">
        <v>151.93</v>
      </c>
    </row>
    <row r="612" spans="1:13" s="5" customFormat="1" x14ac:dyDescent="0.25">
      <c r="A612" s="12" t="s">
        <v>1220</v>
      </c>
      <c r="B612" s="13" t="s">
        <v>1221</v>
      </c>
      <c r="C612" s="14">
        <v>45941</v>
      </c>
      <c r="D612" s="13">
        <v>2025</v>
      </c>
      <c r="E612" s="13" t="s">
        <v>3347</v>
      </c>
      <c r="F612" s="13" t="s">
        <v>34</v>
      </c>
      <c r="G612" s="15">
        <v>1316.57</v>
      </c>
      <c r="H612" s="15">
        <v>1316.57</v>
      </c>
      <c r="I612" s="13">
        <v>2</v>
      </c>
      <c r="J612" s="13">
        <v>2</v>
      </c>
      <c r="K612" s="13" t="s">
        <v>18</v>
      </c>
      <c r="L612" s="15">
        <v>658.28499999999997</v>
      </c>
      <c r="M612" s="16">
        <v>658.28499999999997</v>
      </c>
    </row>
    <row r="613" spans="1:13" s="5" customFormat="1" x14ac:dyDescent="0.25">
      <c r="A613" s="12" t="s">
        <v>1222</v>
      </c>
      <c r="B613" s="13" t="s">
        <v>1223</v>
      </c>
      <c r="C613" s="14">
        <v>45461</v>
      </c>
      <c r="D613" s="13">
        <v>2024</v>
      </c>
      <c r="E613" s="13" t="s">
        <v>14</v>
      </c>
      <c r="F613" s="13" t="s">
        <v>34</v>
      </c>
      <c r="G613" s="15">
        <v>1044.3599999999999</v>
      </c>
      <c r="H613" s="15">
        <v>1044.3599999999999</v>
      </c>
      <c r="I613" s="13">
        <v>9</v>
      </c>
      <c r="J613" s="13">
        <v>9</v>
      </c>
      <c r="K613" s="13" t="s">
        <v>15</v>
      </c>
      <c r="L613" s="15">
        <v>116.03999999999999</v>
      </c>
      <c r="M613" s="16">
        <v>116.03999999999999</v>
      </c>
    </row>
    <row r="614" spans="1:13" s="5" customFormat="1" x14ac:dyDescent="0.25">
      <c r="A614" s="12" t="s">
        <v>1224</v>
      </c>
      <c r="B614" s="13" t="s">
        <v>1225</v>
      </c>
      <c r="C614" s="14">
        <v>45039</v>
      </c>
      <c r="D614" s="13">
        <v>2023</v>
      </c>
      <c r="E614" s="13" t="s">
        <v>10</v>
      </c>
      <c r="F614" s="13" t="s">
        <v>34</v>
      </c>
      <c r="G614" s="15">
        <v>574.02</v>
      </c>
      <c r="H614" s="15">
        <v>574.02</v>
      </c>
      <c r="I614" s="13">
        <v>5</v>
      </c>
      <c r="J614" s="13">
        <v>5</v>
      </c>
      <c r="K614" s="13" t="s">
        <v>3348</v>
      </c>
      <c r="L614" s="15">
        <v>114.804</v>
      </c>
      <c r="M614" s="16">
        <v>114.804</v>
      </c>
    </row>
    <row r="615" spans="1:13" s="5" customFormat="1" x14ac:dyDescent="0.25">
      <c r="A615" s="12" t="s">
        <v>1226</v>
      </c>
      <c r="B615" s="13" t="s">
        <v>1227</v>
      </c>
      <c r="C615" s="14">
        <v>45418</v>
      </c>
      <c r="D615" s="13">
        <v>2024</v>
      </c>
      <c r="E615" s="13" t="s">
        <v>3347</v>
      </c>
      <c r="F615" s="13" t="s">
        <v>25</v>
      </c>
      <c r="G615" s="15">
        <v>57.13</v>
      </c>
      <c r="H615" s="15">
        <v>57.13</v>
      </c>
      <c r="I615" s="13">
        <v>9</v>
      </c>
      <c r="J615" s="13">
        <v>9</v>
      </c>
      <c r="K615" s="13" t="s">
        <v>15</v>
      </c>
      <c r="L615" s="15">
        <v>6.347777777777778</v>
      </c>
      <c r="M615" s="16">
        <v>6.347777777777778</v>
      </c>
    </row>
    <row r="616" spans="1:13" s="5" customFormat="1" x14ac:dyDescent="0.25">
      <c r="A616" s="12" t="s">
        <v>1228</v>
      </c>
      <c r="B616" s="13" t="s">
        <v>1229</v>
      </c>
      <c r="C616" s="14">
        <v>45302</v>
      </c>
      <c r="D616" s="13">
        <v>2024</v>
      </c>
      <c r="E616" s="13" t="s">
        <v>3347</v>
      </c>
      <c r="F616" s="13" t="s">
        <v>22</v>
      </c>
      <c r="G616" s="15">
        <v>1853.99</v>
      </c>
      <c r="H616" s="15">
        <v>1853.99</v>
      </c>
      <c r="I616" s="13">
        <v>5</v>
      </c>
      <c r="J616" s="13">
        <v>5</v>
      </c>
      <c r="K616" s="13" t="s">
        <v>3346</v>
      </c>
      <c r="L616" s="15">
        <v>370.798</v>
      </c>
      <c r="M616" s="16">
        <v>340.9203843537415</v>
      </c>
    </row>
    <row r="617" spans="1:13" s="5" customFormat="1" x14ac:dyDescent="0.25">
      <c r="A617" s="12" t="s">
        <v>1230</v>
      </c>
      <c r="B617" s="13" t="s">
        <v>1231</v>
      </c>
      <c r="C617" s="14">
        <v>44962</v>
      </c>
      <c r="D617" s="13">
        <v>2023</v>
      </c>
      <c r="E617" s="13" t="s">
        <v>14</v>
      </c>
      <c r="F617" s="13" t="s">
        <v>34</v>
      </c>
      <c r="G617" s="15">
        <v>356.03</v>
      </c>
      <c r="H617" s="15">
        <v>356.03</v>
      </c>
      <c r="I617" s="13">
        <v>1</v>
      </c>
      <c r="J617" s="13">
        <v>1</v>
      </c>
      <c r="K617" s="13" t="s">
        <v>3348</v>
      </c>
      <c r="L617" s="15">
        <v>356.03</v>
      </c>
      <c r="M617" s="16">
        <v>390.75545833333331</v>
      </c>
    </row>
    <row r="618" spans="1:13" s="5" customFormat="1" x14ac:dyDescent="0.25">
      <c r="A618" s="12" t="s">
        <v>1232</v>
      </c>
      <c r="B618" s="13" t="s">
        <v>1233</v>
      </c>
      <c r="C618" s="14">
        <v>45643</v>
      </c>
      <c r="D618" s="13">
        <v>2024</v>
      </c>
      <c r="E618" s="13" t="s">
        <v>3347</v>
      </c>
      <c r="F618" s="13" t="s">
        <v>22</v>
      </c>
      <c r="G618" s="15">
        <v>340.9203843537415</v>
      </c>
      <c r="H618" s="15">
        <v>340.9203843537415</v>
      </c>
      <c r="I618" s="13">
        <v>1</v>
      </c>
      <c r="J618" s="13">
        <v>1</v>
      </c>
      <c r="K618" s="13" t="s">
        <v>3346</v>
      </c>
      <c r="L618" s="15">
        <v>340.9203843537415</v>
      </c>
      <c r="M618" s="16">
        <v>340.9203843537415</v>
      </c>
    </row>
    <row r="619" spans="1:13" s="5" customFormat="1" x14ac:dyDescent="0.25">
      <c r="A619" s="12" t="s">
        <v>1234</v>
      </c>
      <c r="B619" s="13" t="s">
        <v>1037</v>
      </c>
      <c r="C619" s="14">
        <v>45600</v>
      </c>
      <c r="D619" s="13">
        <v>2024</v>
      </c>
      <c r="E619" s="13" t="s">
        <v>14</v>
      </c>
      <c r="F619" s="13" t="s">
        <v>11</v>
      </c>
      <c r="G619" s="15">
        <v>1315.24</v>
      </c>
      <c r="H619" s="15">
        <v>1315.24</v>
      </c>
      <c r="I619" s="13">
        <v>4</v>
      </c>
      <c r="J619" s="13">
        <v>4</v>
      </c>
      <c r="K619" s="13" t="s">
        <v>3346</v>
      </c>
      <c r="L619" s="15">
        <v>328.81</v>
      </c>
      <c r="M619" s="16">
        <v>328.81</v>
      </c>
    </row>
    <row r="620" spans="1:13" s="5" customFormat="1" x14ac:dyDescent="0.25">
      <c r="A620" s="12" t="s">
        <v>1235</v>
      </c>
      <c r="B620" s="13" t="s">
        <v>1236</v>
      </c>
      <c r="C620" s="14">
        <v>44939</v>
      </c>
      <c r="D620" s="13">
        <v>2023</v>
      </c>
      <c r="E620" s="13" t="s">
        <v>14</v>
      </c>
      <c r="F620" s="13" t="s">
        <v>34</v>
      </c>
      <c r="G620" s="15">
        <v>1048.72</v>
      </c>
      <c r="H620" s="15">
        <v>1048.72</v>
      </c>
      <c r="I620" s="13">
        <v>5</v>
      </c>
      <c r="J620" s="13">
        <v>5</v>
      </c>
      <c r="K620" s="13" t="s">
        <v>3346</v>
      </c>
      <c r="L620" s="15">
        <v>209.744</v>
      </c>
      <c r="M620" s="16">
        <v>209.744</v>
      </c>
    </row>
    <row r="621" spans="1:13" s="5" customFormat="1" x14ac:dyDescent="0.25">
      <c r="A621" s="12" t="s">
        <v>1237</v>
      </c>
      <c r="B621" s="13" t="s">
        <v>1238</v>
      </c>
      <c r="C621" s="14">
        <v>45289</v>
      </c>
      <c r="D621" s="13">
        <v>2023</v>
      </c>
      <c r="E621" s="13" t="s">
        <v>14</v>
      </c>
      <c r="F621" s="13" t="s">
        <v>22</v>
      </c>
      <c r="G621" s="15">
        <v>1224.19</v>
      </c>
      <c r="H621" s="15">
        <v>1224.19</v>
      </c>
      <c r="I621" s="13">
        <v>7</v>
      </c>
      <c r="J621" s="13">
        <v>7</v>
      </c>
      <c r="K621" s="13" t="s">
        <v>15</v>
      </c>
      <c r="L621" s="15">
        <v>174.88428571428571</v>
      </c>
      <c r="M621" s="16">
        <v>174.88428571428571</v>
      </c>
    </row>
    <row r="622" spans="1:13" s="5" customFormat="1" x14ac:dyDescent="0.25">
      <c r="A622" s="12" t="s">
        <v>1239</v>
      </c>
      <c r="B622" s="13" t="s">
        <v>1240</v>
      </c>
      <c r="C622" s="14">
        <v>45358</v>
      </c>
      <c r="D622" s="13">
        <v>2024</v>
      </c>
      <c r="E622" s="13" t="s">
        <v>14</v>
      </c>
      <c r="F622" s="13" t="s">
        <v>34</v>
      </c>
      <c r="G622" s="15">
        <v>408.87</v>
      </c>
      <c r="H622" s="15">
        <v>408.87</v>
      </c>
      <c r="I622" s="13">
        <v>4</v>
      </c>
      <c r="J622" s="13">
        <v>4</v>
      </c>
      <c r="K622" s="13" t="s">
        <v>35</v>
      </c>
      <c r="L622" s="15">
        <v>102.2175</v>
      </c>
      <c r="M622" s="16">
        <v>102.2175</v>
      </c>
    </row>
    <row r="623" spans="1:13" s="5" customFormat="1" x14ac:dyDescent="0.25">
      <c r="A623" s="12" t="s">
        <v>1241</v>
      </c>
      <c r="B623" s="13" t="s">
        <v>1242</v>
      </c>
      <c r="C623" s="14">
        <v>44898</v>
      </c>
      <c r="D623" s="13">
        <v>2022</v>
      </c>
      <c r="E623" s="13" t="s">
        <v>14</v>
      </c>
      <c r="F623" s="13" t="s">
        <v>34</v>
      </c>
      <c r="G623" s="15">
        <v>500.28</v>
      </c>
      <c r="H623" s="15">
        <v>500.28</v>
      </c>
      <c r="I623" s="13">
        <v>4</v>
      </c>
      <c r="J623" s="13">
        <v>4</v>
      </c>
      <c r="K623" s="13" t="s">
        <v>3348</v>
      </c>
      <c r="L623" s="15">
        <v>125.07</v>
      </c>
      <c r="M623" s="16">
        <v>125.07</v>
      </c>
    </row>
    <row r="624" spans="1:13" s="5" customFormat="1" x14ac:dyDescent="0.25">
      <c r="A624" s="12" t="s">
        <v>1243</v>
      </c>
      <c r="B624" s="13" t="s">
        <v>1244</v>
      </c>
      <c r="C624" s="14">
        <v>45376</v>
      </c>
      <c r="D624" s="13">
        <v>2024</v>
      </c>
      <c r="E624" s="13" t="s">
        <v>14</v>
      </c>
      <c r="F624" s="13" t="s">
        <v>25</v>
      </c>
      <c r="G624" s="15">
        <v>646.66000000000008</v>
      </c>
      <c r="H624" s="15">
        <v>646.66000000000008</v>
      </c>
      <c r="I624" s="13">
        <v>4</v>
      </c>
      <c r="J624" s="13">
        <v>4</v>
      </c>
      <c r="K624" s="13" t="s">
        <v>3346</v>
      </c>
      <c r="L624" s="15">
        <v>161.66500000000002</v>
      </c>
      <c r="M624" s="16">
        <v>161.66500000000002</v>
      </c>
    </row>
    <row r="625" spans="1:13" s="5" customFormat="1" x14ac:dyDescent="0.25">
      <c r="A625" s="12" t="s">
        <v>1245</v>
      </c>
      <c r="B625" s="13" t="s">
        <v>1246</v>
      </c>
      <c r="C625" s="14">
        <v>45501</v>
      </c>
      <c r="D625" s="13">
        <v>2024</v>
      </c>
      <c r="E625" s="13" t="s">
        <v>14</v>
      </c>
      <c r="F625" s="13" t="s">
        <v>22</v>
      </c>
      <c r="G625" s="15">
        <v>1324.2187777777779</v>
      </c>
      <c r="H625" s="15">
        <v>1324.2187777777779</v>
      </c>
      <c r="I625" s="13">
        <v>7</v>
      </c>
      <c r="J625" s="13">
        <v>7</v>
      </c>
      <c r="K625" s="13" t="s">
        <v>3348</v>
      </c>
      <c r="L625" s="15">
        <v>189.17411111111113</v>
      </c>
      <c r="M625" s="16">
        <v>189.17411111111113</v>
      </c>
    </row>
    <row r="626" spans="1:13" s="5" customFormat="1" x14ac:dyDescent="0.25">
      <c r="A626" s="12" t="s">
        <v>1247</v>
      </c>
      <c r="B626" s="13" t="s">
        <v>1084</v>
      </c>
      <c r="C626" s="14">
        <v>45399</v>
      </c>
      <c r="D626" s="13">
        <v>2024</v>
      </c>
      <c r="E626" s="13" t="s">
        <v>14</v>
      </c>
      <c r="F626" s="13" t="s">
        <v>22</v>
      </c>
      <c r="G626" s="15">
        <v>441.75</v>
      </c>
      <c r="H626" s="15">
        <v>441.75</v>
      </c>
      <c r="I626" s="13">
        <v>3</v>
      </c>
      <c r="J626" s="13">
        <v>3</v>
      </c>
      <c r="K626" s="13" t="s">
        <v>3346</v>
      </c>
      <c r="L626" s="15">
        <v>147.25</v>
      </c>
      <c r="M626" s="16">
        <v>138.48499553571429</v>
      </c>
    </row>
    <row r="627" spans="1:13" s="5" customFormat="1" x14ac:dyDescent="0.25">
      <c r="A627" s="12" t="s">
        <v>1248</v>
      </c>
      <c r="B627" s="13" t="s">
        <v>1249</v>
      </c>
      <c r="C627" s="14">
        <v>45127</v>
      </c>
      <c r="D627" s="13">
        <v>2023</v>
      </c>
      <c r="E627" s="13" t="s">
        <v>3347</v>
      </c>
      <c r="F627" s="13" t="s">
        <v>25</v>
      </c>
      <c r="G627" s="15">
        <v>1794.84</v>
      </c>
      <c r="H627" s="15">
        <v>1794.84</v>
      </c>
      <c r="I627" s="13">
        <v>5</v>
      </c>
      <c r="J627" s="13">
        <v>5</v>
      </c>
      <c r="K627" s="13" t="s">
        <v>3346</v>
      </c>
      <c r="L627" s="15">
        <v>358.96799999999996</v>
      </c>
      <c r="M627" s="16">
        <v>358.96799999999996</v>
      </c>
    </row>
    <row r="628" spans="1:13" s="5" customFormat="1" x14ac:dyDescent="0.25">
      <c r="A628" s="12" t="s">
        <v>1250</v>
      </c>
      <c r="B628" s="13" t="s">
        <v>1251</v>
      </c>
      <c r="C628" s="14">
        <v>45854</v>
      </c>
      <c r="D628" s="13">
        <v>2025</v>
      </c>
      <c r="E628" s="13" t="s">
        <v>21</v>
      </c>
      <c r="F628" s="13" t="s">
        <v>25</v>
      </c>
      <c r="G628" s="15">
        <v>4816.38</v>
      </c>
      <c r="H628" s="15">
        <v>3548.2821388888883</v>
      </c>
      <c r="I628" s="13">
        <v>8</v>
      </c>
      <c r="J628" s="13">
        <v>8</v>
      </c>
      <c r="K628" s="13" t="s">
        <v>18</v>
      </c>
      <c r="L628" s="15">
        <v>602.04750000000001</v>
      </c>
      <c r="M628" s="16">
        <v>602.04750000000001</v>
      </c>
    </row>
    <row r="629" spans="1:13" s="5" customFormat="1" x14ac:dyDescent="0.25">
      <c r="A629" s="12" t="s">
        <v>1252</v>
      </c>
      <c r="B629" s="13" t="s">
        <v>241</v>
      </c>
      <c r="C629" s="14">
        <v>45678</v>
      </c>
      <c r="D629" s="13">
        <v>2025</v>
      </c>
      <c r="E629" s="13" t="s">
        <v>10</v>
      </c>
      <c r="F629" s="13" t="s">
        <v>22</v>
      </c>
      <c r="G629" s="15">
        <v>740.95</v>
      </c>
      <c r="H629" s="15">
        <v>740.95</v>
      </c>
      <c r="I629" s="13">
        <v>1</v>
      </c>
      <c r="J629" s="13">
        <v>1</v>
      </c>
      <c r="K629" s="13" t="s">
        <v>18</v>
      </c>
      <c r="L629" s="15">
        <v>740.95</v>
      </c>
      <c r="M629" s="16">
        <v>740.95</v>
      </c>
    </row>
    <row r="630" spans="1:13" s="5" customFormat="1" x14ac:dyDescent="0.25">
      <c r="A630" s="12" t="s">
        <v>1253</v>
      </c>
      <c r="B630" s="13" t="s">
        <v>1254</v>
      </c>
      <c r="C630" s="14">
        <v>45908</v>
      </c>
      <c r="D630" s="13">
        <v>2025</v>
      </c>
      <c r="E630" s="13" t="s">
        <v>21</v>
      </c>
      <c r="F630" s="13" t="s">
        <v>22</v>
      </c>
      <c r="G630" s="15">
        <v>153.41</v>
      </c>
      <c r="H630" s="15">
        <v>153.41</v>
      </c>
      <c r="I630" s="13">
        <v>7</v>
      </c>
      <c r="J630" s="13">
        <v>7</v>
      </c>
      <c r="K630" s="13" t="s">
        <v>3346</v>
      </c>
      <c r="L630" s="15">
        <v>21.915714285714284</v>
      </c>
      <c r="M630" s="16">
        <v>21.915714285714284</v>
      </c>
    </row>
    <row r="631" spans="1:13" s="5" customFormat="1" x14ac:dyDescent="0.25">
      <c r="A631" s="12" t="s">
        <v>1255</v>
      </c>
      <c r="B631" s="13" t="s">
        <v>1256</v>
      </c>
      <c r="C631" s="14">
        <v>45305</v>
      </c>
      <c r="D631" s="13">
        <v>2024</v>
      </c>
      <c r="E631" s="13" t="s">
        <v>10</v>
      </c>
      <c r="F631" s="13" t="s">
        <v>34</v>
      </c>
      <c r="G631" s="15">
        <v>325.37</v>
      </c>
      <c r="H631" s="15">
        <v>325.37</v>
      </c>
      <c r="I631" s="13">
        <v>3</v>
      </c>
      <c r="J631" s="13">
        <v>3</v>
      </c>
      <c r="K631" s="13" t="s">
        <v>15</v>
      </c>
      <c r="L631" s="15">
        <v>108.45666666666666</v>
      </c>
      <c r="M631" s="16">
        <v>108.45666666666666</v>
      </c>
    </row>
    <row r="632" spans="1:13" s="5" customFormat="1" x14ac:dyDescent="0.25">
      <c r="A632" s="12" t="s">
        <v>1257</v>
      </c>
      <c r="B632" s="13" t="s">
        <v>223</v>
      </c>
      <c r="C632" s="14">
        <v>45211</v>
      </c>
      <c r="D632" s="13">
        <v>2023</v>
      </c>
      <c r="E632" s="13" t="s">
        <v>3347</v>
      </c>
      <c r="F632" s="13" t="s">
        <v>22</v>
      </c>
      <c r="G632" s="15">
        <v>849.49</v>
      </c>
      <c r="H632" s="15">
        <v>849.49</v>
      </c>
      <c r="I632" s="13">
        <v>7</v>
      </c>
      <c r="J632" s="13">
        <v>7</v>
      </c>
      <c r="K632" s="13" t="s">
        <v>18</v>
      </c>
      <c r="L632" s="15">
        <v>121.35571428571428</v>
      </c>
      <c r="M632" s="16">
        <v>121.35571428571428</v>
      </c>
    </row>
    <row r="633" spans="1:13" s="5" customFormat="1" x14ac:dyDescent="0.25">
      <c r="A633" s="12" t="s">
        <v>1258</v>
      </c>
      <c r="B633" s="13" t="s">
        <v>1259</v>
      </c>
      <c r="C633" s="14">
        <v>45364</v>
      </c>
      <c r="D633" s="13">
        <v>2024</v>
      </c>
      <c r="E633" s="13" t="s">
        <v>3347</v>
      </c>
      <c r="F633" s="13" t="s">
        <v>25</v>
      </c>
      <c r="G633" s="15">
        <v>66.02</v>
      </c>
      <c r="H633" s="15">
        <v>66.02</v>
      </c>
      <c r="I633" s="13">
        <v>6</v>
      </c>
      <c r="J633" s="13">
        <v>6</v>
      </c>
      <c r="K633" s="13" t="s">
        <v>18</v>
      </c>
      <c r="L633" s="15">
        <v>11.003333333333332</v>
      </c>
      <c r="M633" s="16">
        <v>11.003333333333332</v>
      </c>
    </row>
    <row r="634" spans="1:13" s="5" customFormat="1" x14ac:dyDescent="0.25">
      <c r="A634" s="12" t="s">
        <v>1260</v>
      </c>
      <c r="B634" s="13" t="s">
        <v>1261</v>
      </c>
      <c r="C634" s="14">
        <v>44972</v>
      </c>
      <c r="D634" s="13">
        <v>2023</v>
      </c>
      <c r="E634" s="13" t="s">
        <v>14</v>
      </c>
      <c r="F634" s="13" t="s">
        <v>11</v>
      </c>
      <c r="G634" s="15">
        <v>25.85</v>
      </c>
      <c r="H634" s="15">
        <v>25.85</v>
      </c>
      <c r="I634" s="13">
        <v>1</v>
      </c>
      <c r="J634" s="13">
        <v>1</v>
      </c>
      <c r="K634" s="13" t="s">
        <v>3348</v>
      </c>
      <c r="L634" s="15">
        <v>25.85</v>
      </c>
      <c r="M634" s="16">
        <v>25.85</v>
      </c>
    </row>
    <row r="635" spans="1:13" s="5" customFormat="1" x14ac:dyDescent="0.25">
      <c r="A635" s="12" t="s">
        <v>1262</v>
      </c>
      <c r="B635" s="13" t="s">
        <v>1263</v>
      </c>
      <c r="C635" s="14">
        <v>45314</v>
      </c>
      <c r="D635" s="13">
        <v>2024</v>
      </c>
      <c r="E635" s="13" t="s">
        <v>3347</v>
      </c>
      <c r="F635" s="13" t="s">
        <v>11</v>
      </c>
      <c r="G635" s="15">
        <v>1218.8</v>
      </c>
      <c r="H635" s="15">
        <v>1218.8</v>
      </c>
      <c r="I635" s="13">
        <v>6</v>
      </c>
      <c r="J635" s="13">
        <v>6</v>
      </c>
      <c r="K635" s="13" t="s">
        <v>35</v>
      </c>
      <c r="L635" s="15">
        <v>203.13333333333333</v>
      </c>
      <c r="M635" s="16">
        <v>203.13333333333333</v>
      </c>
    </row>
    <row r="636" spans="1:13" s="5" customFormat="1" x14ac:dyDescent="0.25">
      <c r="A636" s="12" t="s">
        <v>1264</v>
      </c>
      <c r="B636" s="13" t="s">
        <v>1265</v>
      </c>
      <c r="C636" s="14">
        <v>45143</v>
      </c>
      <c r="D636" s="13">
        <v>2023</v>
      </c>
      <c r="E636" s="13" t="s">
        <v>10</v>
      </c>
      <c r="F636" s="13" t="s">
        <v>11</v>
      </c>
      <c r="G636" s="15">
        <v>294.57</v>
      </c>
      <c r="H636" s="15">
        <v>294.57</v>
      </c>
      <c r="I636" s="13">
        <v>4</v>
      </c>
      <c r="J636" s="13">
        <v>4</v>
      </c>
      <c r="K636" s="13" t="s">
        <v>3348</v>
      </c>
      <c r="L636" s="15">
        <v>73.642499999999998</v>
      </c>
      <c r="M636" s="16">
        <v>73.642499999999998</v>
      </c>
    </row>
    <row r="637" spans="1:13" s="5" customFormat="1" x14ac:dyDescent="0.25">
      <c r="A637" s="12" t="s">
        <v>1266</v>
      </c>
      <c r="B637" s="13" t="s">
        <v>1267</v>
      </c>
      <c r="C637" s="14">
        <v>45934</v>
      </c>
      <c r="D637" s="13">
        <v>2025</v>
      </c>
      <c r="E637" s="13" t="s">
        <v>14</v>
      </c>
      <c r="F637" s="13" t="s">
        <v>22</v>
      </c>
      <c r="G637" s="15">
        <v>719.66</v>
      </c>
      <c r="H637" s="15">
        <v>719.66</v>
      </c>
      <c r="I637" s="13">
        <v>4</v>
      </c>
      <c r="J637" s="13">
        <v>4</v>
      </c>
      <c r="K637" s="13" t="s">
        <v>3346</v>
      </c>
      <c r="L637" s="15">
        <v>179.91499999999999</v>
      </c>
      <c r="M637" s="16">
        <v>179.91499999999999</v>
      </c>
    </row>
    <row r="638" spans="1:13" s="5" customFormat="1" x14ac:dyDescent="0.25">
      <c r="A638" s="12" t="s">
        <v>1268</v>
      </c>
      <c r="B638" s="13" t="s">
        <v>1269</v>
      </c>
      <c r="C638" s="14">
        <v>45456</v>
      </c>
      <c r="D638" s="13">
        <v>2024</v>
      </c>
      <c r="E638" s="13" t="s">
        <v>3347</v>
      </c>
      <c r="F638" s="13" t="s">
        <v>22</v>
      </c>
      <c r="G638" s="15">
        <v>1541.64</v>
      </c>
      <c r="H638" s="15">
        <v>1541.64</v>
      </c>
      <c r="I638" s="13">
        <v>3</v>
      </c>
      <c r="J638" s="13">
        <v>3</v>
      </c>
      <c r="K638" s="13" t="s">
        <v>3346</v>
      </c>
      <c r="L638" s="15">
        <v>513.88</v>
      </c>
      <c r="M638" s="16">
        <v>513.88</v>
      </c>
    </row>
    <row r="639" spans="1:13" s="5" customFormat="1" x14ac:dyDescent="0.25">
      <c r="A639" s="12" t="s">
        <v>1270</v>
      </c>
      <c r="B639" s="13" t="s">
        <v>1271</v>
      </c>
      <c r="C639" s="14">
        <v>45227</v>
      </c>
      <c r="D639" s="13">
        <v>2023</v>
      </c>
      <c r="E639" s="13" t="s">
        <v>21</v>
      </c>
      <c r="F639" s="13" t="s">
        <v>34</v>
      </c>
      <c r="G639" s="15">
        <v>1799.03</v>
      </c>
      <c r="H639" s="15">
        <v>1799.03</v>
      </c>
      <c r="I639" s="13">
        <v>5</v>
      </c>
      <c r="J639" s="13">
        <v>5</v>
      </c>
      <c r="K639" s="13" t="s">
        <v>15</v>
      </c>
      <c r="L639" s="15">
        <v>359.80599999999998</v>
      </c>
      <c r="M639" s="16">
        <v>359.80599999999998</v>
      </c>
    </row>
    <row r="640" spans="1:13" s="5" customFormat="1" x14ac:dyDescent="0.25">
      <c r="A640" s="12" t="s">
        <v>1272</v>
      </c>
      <c r="B640" s="13" t="s">
        <v>1273</v>
      </c>
      <c r="C640" s="14">
        <v>45100</v>
      </c>
      <c r="D640" s="13">
        <v>2023</v>
      </c>
      <c r="E640" s="13" t="s">
        <v>14</v>
      </c>
      <c r="F640" s="13" t="s">
        <v>34</v>
      </c>
      <c r="G640" s="15">
        <v>806.24</v>
      </c>
      <c r="H640" s="15">
        <v>806.24</v>
      </c>
      <c r="I640" s="13">
        <v>4</v>
      </c>
      <c r="J640" s="13">
        <v>4</v>
      </c>
      <c r="K640" s="13" t="s">
        <v>3346</v>
      </c>
      <c r="L640" s="15">
        <v>201.56</v>
      </c>
      <c r="M640" s="16">
        <v>201.56</v>
      </c>
    </row>
    <row r="641" spans="1:13" s="5" customFormat="1" x14ac:dyDescent="0.25">
      <c r="A641" s="12" t="s">
        <v>1274</v>
      </c>
      <c r="B641" s="13" t="s">
        <v>133</v>
      </c>
      <c r="C641" s="14">
        <v>45260</v>
      </c>
      <c r="D641" s="13">
        <v>2023</v>
      </c>
      <c r="E641" s="13" t="s">
        <v>21</v>
      </c>
      <c r="F641" s="13" t="s">
        <v>22</v>
      </c>
      <c r="G641" s="15">
        <v>308.39999999999998</v>
      </c>
      <c r="H641" s="15">
        <v>308.39999999999998</v>
      </c>
      <c r="I641" s="13">
        <v>7</v>
      </c>
      <c r="J641" s="13">
        <v>7</v>
      </c>
      <c r="K641" s="13" t="s">
        <v>15</v>
      </c>
      <c r="L641" s="15">
        <v>44.057142857142857</v>
      </c>
      <c r="M641" s="16">
        <v>44.057142857142857</v>
      </c>
    </row>
    <row r="642" spans="1:13" s="5" customFormat="1" x14ac:dyDescent="0.25">
      <c r="A642" s="12" t="s">
        <v>1275</v>
      </c>
      <c r="B642" s="13" t="s">
        <v>1276</v>
      </c>
      <c r="C642" s="14">
        <v>45671</v>
      </c>
      <c r="D642" s="13">
        <v>2025</v>
      </c>
      <c r="E642" s="13" t="s">
        <v>3347</v>
      </c>
      <c r="F642" s="13" t="s">
        <v>22</v>
      </c>
      <c r="G642" s="15">
        <v>344.94</v>
      </c>
      <c r="H642" s="15">
        <v>344.94</v>
      </c>
      <c r="I642" s="13">
        <v>1</v>
      </c>
      <c r="J642" s="13">
        <v>1</v>
      </c>
      <c r="K642" s="13" t="s">
        <v>18</v>
      </c>
      <c r="L642" s="15">
        <v>344.94</v>
      </c>
      <c r="M642" s="16">
        <v>386.83979166666671</v>
      </c>
    </row>
    <row r="643" spans="1:13" s="5" customFormat="1" x14ac:dyDescent="0.25">
      <c r="A643" s="12" t="s">
        <v>1277</v>
      </c>
      <c r="B643" s="13" t="s">
        <v>1278</v>
      </c>
      <c r="C643" s="14">
        <v>45052</v>
      </c>
      <c r="D643" s="13">
        <v>2023</v>
      </c>
      <c r="E643" s="13" t="s">
        <v>14</v>
      </c>
      <c r="F643" s="13" t="s">
        <v>11</v>
      </c>
      <c r="G643" s="15">
        <v>1750.18</v>
      </c>
      <c r="H643" s="15">
        <v>1750.18</v>
      </c>
      <c r="I643" s="13">
        <v>9</v>
      </c>
      <c r="J643" s="13">
        <v>9</v>
      </c>
      <c r="K643" s="13" t="s">
        <v>35</v>
      </c>
      <c r="L643" s="15">
        <v>194.46444444444444</v>
      </c>
      <c r="M643" s="16">
        <v>194.46444444444444</v>
      </c>
    </row>
    <row r="644" spans="1:13" s="5" customFormat="1" x14ac:dyDescent="0.25">
      <c r="A644" s="12" t="s">
        <v>1279</v>
      </c>
      <c r="B644" s="13" t="s">
        <v>1280</v>
      </c>
      <c r="C644" s="14">
        <v>45330</v>
      </c>
      <c r="D644" s="13">
        <v>2024</v>
      </c>
      <c r="E644" s="13" t="s">
        <v>3347</v>
      </c>
      <c r="F644" s="13" t="s">
        <v>22</v>
      </c>
      <c r="G644" s="15">
        <v>1242.44</v>
      </c>
      <c r="H644" s="15">
        <v>1242.44</v>
      </c>
      <c r="I644" s="13">
        <v>9</v>
      </c>
      <c r="J644" s="13">
        <v>9</v>
      </c>
      <c r="K644" s="13" t="s">
        <v>15</v>
      </c>
      <c r="L644" s="15">
        <v>138.04888888888888</v>
      </c>
      <c r="M644" s="16">
        <v>138.04888888888888</v>
      </c>
    </row>
    <row r="645" spans="1:13" s="5" customFormat="1" x14ac:dyDescent="0.25">
      <c r="A645" s="12" t="s">
        <v>1281</v>
      </c>
      <c r="B645" s="13" t="s">
        <v>1282</v>
      </c>
      <c r="C645" s="14">
        <v>45900</v>
      </c>
      <c r="D645" s="13">
        <v>2025</v>
      </c>
      <c r="E645" s="13" t="s">
        <v>3347</v>
      </c>
      <c r="F645" s="13" t="s">
        <v>34</v>
      </c>
      <c r="G645" s="15">
        <v>1575.82</v>
      </c>
      <c r="H645" s="15">
        <v>1575.82</v>
      </c>
      <c r="I645" s="13">
        <v>7</v>
      </c>
      <c r="J645" s="13">
        <v>7</v>
      </c>
      <c r="K645" s="13" t="s">
        <v>35</v>
      </c>
      <c r="L645" s="15">
        <v>225.11714285714285</v>
      </c>
      <c r="M645" s="16">
        <v>225.11714285714285</v>
      </c>
    </row>
    <row r="646" spans="1:13" s="5" customFormat="1" x14ac:dyDescent="0.25">
      <c r="A646" s="12" t="s">
        <v>1283</v>
      </c>
      <c r="B646" s="13" t="s">
        <v>1284</v>
      </c>
      <c r="C646" s="14">
        <v>45466</v>
      </c>
      <c r="D646" s="13">
        <v>2024</v>
      </c>
      <c r="E646" s="13" t="s">
        <v>3347</v>
      </c>
      <c r="F646" s="13" t="s">
        <v>34</v>
      </c>
      <c r="G646" s="15">
        <v>1532.48</v>
      </c>
      <c r="H646" s="15">
        <v>1532.48</v>
      </c>
      <c r="I646" s="13">
        <v>4</v>
      </c>
      <c r="J646" s="13">
        <v>4</v>
      </c>
      <c r="K646" s="13" t="s">
        <v>3348</v>
      </c>
      <c r="L646" s="15">
        <v>383.12</v>
      </c>
      <c r="M646" s="16">
        <v>383.12</v>
      </c>
    </row>
    <row r="647" spans="1:13" s="5" customFormat="1" x14ac:dyDescent="0.25">
      <c r="A647" s="12" t="s">
        <v>1285</v>
      </c>
      <c r="B647" s="13" t="s">
        <v>1286</v>
      </c>
      <c r="C647" s="14">
        <v>45784</v>
      </c>
      <c r="D647" s="13">
        <v>2025</v>
      </c>
      <c r="E647" s="13" t="s">
        <v>21</v>
      </c>
      <c r="F647" s="13" t="s">
        <v>22</v>
      </c>
      <c r="G647" s="15">
        <v>539.91888095238107</v>
      </c>
      <c r="H647" s="15">
        <v>539.91888095238107</v>
      </c>
      <c r="I647" s="13">
        <v>2</v>
      </c>
      <c r="J647" s="13">
        <v>2</v>
      </c>
      <c r="K647" s="13" t="s">
        <v>3346</v>
      </c>
      <c r="L647" s="15">
        <v>269.95944047619054</v>
      </c>
      <c r="M647" s="16">
        <v>269.95944047619054</v>
      </c>
    </row>
    <row r="648" spans="1:13" s="5" customFormat="1" x14ac:dyDescent="0.25">
      <c r="A648" s="12" t="s">
        <v>1287</v>
      </c>
      <c r="B648" s="13" t="s">
        <v>1288</v>
      </c>
      <c r="C648" s="14">
        <v>45552</v>
      </c>
      <c r="D648" s="13">
        <v>2024</v>
      </c>
      <c r="E648" s="13" t="s">
        <v>21</v>
      </c>
      <c r="F648" s="13" t="s">
        <v>22</v>
      </c>
      <c r="G648" s="15">
        <v>1940.24</v>
      </c>
      <c r="H648" s="15">
        <v>1940.24</v>
      </c>
      <c r="I648" s="13">
        <v>2</v>
      </c>
      <c r="J648" s="13">
        <v>2</v>
      </c>
      <c r="K648" s="13" t="s">
        <v>18</v>
      </c>
      <c r="L648" s="15">
        <v>970.12</v>
      </c>
      <c r="M648" s="16">
        <v>970.12</v>
      </c>
    </row>
    <row r="649" spans="1:13" s="5" customFormat="1" x14ac:dyDescent="0.25">
      <c r="A649" s="12" t="s">
        <v>1289</v>
      </c>
      <c r="B649" s="13" t="s">
        <v>1290</v>
      </c>
      <c r="C649" s="14">
        <v>45479</v>
      </c>
      <c r="D649" s="13">
        <v>2024</v>
      </c>
      <c r="E649" s="13" t="s">
        <v>10</v>
      </c>
      <c r="F649" s="13" t="s">
        <v>34</v>
      </c>
      <c r="G649" s="15">
        <v>763.93</v>
      </c>
      <c r="H649" s="15">
        <v>763.93</v>
      </c>
      <c r="I649" s="13">
        <v>8</v>
      </c>
      <c r="J649" s="13">
        <v>8</v>
      </c>
      <c r="K649" s="13" t="s">
        <v>18</v>
      </c>
      <c r="L649" s="15">
        <v>95.491249999999994</v>
      </c>
      <c r="M649" s="16">
        <v>95.491249999999994</v>
      </c>
    </row>
    <row r="650" spans="1:13" s="5" customFormat="1" x14ac:dyDescent="0.25">
      <c r="A650" s="12" t="s">
        <v>1291</v>
      </c>
      <c r="B650" s="13" t="s">
        <v>1292</v>
      </c>
      <c r="C650" s="14">
        <v>45013</v>
      </c>
      <c r="D650" s="13">
        <v>2023</v>
      </c>
      <c r="E650" s="13" t="s">
        <v>21</v>
      </c>
      <c r="F650" s="13" t="s">
        <v>11</v>
      </c>
      <c r="G650" s="15">
        <v>909.04</v>
      </c>
      <c r="H650" s="15">
        <v>909.04</v>
      </c>
      <c r="I650" s="13">
        <v>1</v>
      </c>
      <c r="J650" s="13">
        <v>1</v>
      </c>
      <c r="K650" s="13" t="s">
        <v>15</v>
      </c>
      <c r="L650" s="15">
        <v>909.04</v>
      </c>
      <c r="M650" s="16">
        <v>694.33</v>
      </c>
    </row>
    <row r="651" spans="1:13" s="5" customFormat="1" x14ac:dyDescent="0.25">
      <c r="A651" s="12" t="s">
        <v>1293</v>
      </c>
      <c r="B651" s="13" t="s">
        <v>1294</v>
      </c>
      <c r="C651" s="14">
        <v>45267</v>
      </c>
      <c r="D651" s="13">
        <v>2023</v>
      </c>
      <c r="E651" s="13" t="s">
        <v>10</v>
      </c>
      <c r="F651" s="13" t="s">
        <v>25</v>
      </c>
      <c r="G651" s="15">
        <v>75.23</v>
      </c>
      <c r="H651" s="15">
        <v>75.23</v>
      </c>
      <c r="I651" s="13">
        <v>8</v>
      </c>
      <c r="J651" s="13">
        <v>8</v>
      </c>
      <c r="K651" s="13" t="s">
        <v>3346</v>
      </c>
      <c r="L651" s="15">
        <v>9.4037500000000005</v>
      </c>
      <c r="M651" s="16">
        <v>9.4037500000000005</v>
      </c>
    </row>
    <row r="652" spans="1:13" s="5" customFormat="1" x14ac:dyDescent="0.25">
      <c r="A652" s="12" t="s">
        <v>1295</v>
      </c>
      <c r="B652" s="13" t="s">
        <v>1296</v>
      </c>
      <c r="C652" s="14">
        <v>45866</v>
      </c>
      <c r="D652" s="13">
        <v>2025</v>
      </c>
      <c r="E652" s="13" t="s">
        <v>21</v>
      </c>
      <c r="F652" s="13" t="s">
        <v>22</v>
      </c>
      <c r="G652" s="15">
        <v>1811.6</v>
      </c>
      <c r="H652" s="15">
        <v>1811.6</v>
      </c>
      <c r="I652" s="13">
        <v>3</v>
      </c>
      <c r="J652" s="13">
        <v>3</v>
      </c>
      <c r="K652" s="13" t="s">
        <v>3346</v>
      </c>
      <c r="L652" s="15">
        <v>603.86666666666667</v>
      </c>
      <c r="M652" s="16">
        <v>603.86666666666667</v>
      </c>
    </row>
    <row r="653" spans="1:13" s="5" customFormat="1" x14ac:dyDescent="0.25">
      <c r="A653" s="12" t="s">
        <v>1297</v>
      </c>
      <c r="B653" s="13" t="s">
        <v>1298</v>
      </c>
      <c r="C653" s="14">
        <v>45517</v>
      </c>
      <c r="D653" s="13">
        <v>2024</v>
      </c>
      <c r="E653" s="13" t="s">
        <v>10</v>
      </c>
      <c r="F653" s="13" t="s">
        <v>34</v>
      </c>
      <c r="G653" s="15">
        <v>49.21</v>
      </c>
      <c r="H653" s="15">
        <v>49.21</v>
      </c>
      <c r="I653" s="13">
        <v>2</v>
      </c>
      <c r="J653" s="13">
        <v>2</v>
      </c>
      <c r="K653" s="13" t="s">
        <v>3346</v>
      </c>
      <c r="L653" s="15">
        <v>24.605</v>
      </c>
      <c r="M653" s="16">
        <v>24.605</v>
      </c>
    </row>
    <row r="654" spans="1:13" s="5" customFormat="1" x14ac:dyDescent="0.25">
      <c r="A654" s="12" t="s">
        <v>1299</v>
      </c>
      <c r="B654" s="13" t="s">
        <v>1300</v>
      </c>
      <c r="C654" s="14">
        <v>45788</v>
      </c>
      <c r="D654" s="13">
        <v>2025</v>
      </c>
      <c r="E654" s="13" t="s">
        <v>14</v>
      </c>
      <c r="F654" s="13" t="s">
        <v>22</v>
      </c>
      <c r="G654" s="15">
        <v>1104.3900000000001</v>
      </c>
      <c r="H654" s="15">
        <v>1104.3900000000001</v>
      </c>
      <c r="I654" s="13">
        <v>7</v>
      </c>
      <c r="J654" s="13">
        <v>7</v>
      </c>
      <c r="K654" s="13" t="s">
        <v>18</v>
      </c>
      <c r="L654" s="15">
        <v>157.77000000000001</v>
      </c>
      <c r="M654" s="16">
        <v>157.77000000000001</v>
      </c>
    </row>
    <row r="655" spans="1:13" s="5" customFormat="1" x14ac:dyDescent="0.25">
      <c r="A655" s="12" t="s">
        <v>1301</v>
      </c>
      <c r="B655" s="13" t="s">
        <v>1302</v>
      </c>
      <c r="C655" s="14">
        <v>45588</v>
      </c>
      <c r="D655" s="13">
        <v>2024</v>
      </c>
      <c r="E655" s="13" t="s">
        <v>10</v>
      </c>
      <c r="F655" s="13" t="s">
        <v>34</v>
      </c>
      <c r="G655" s="15">
        <v>873.49</v>
      </c>
      <c r="H655" s="15">
        <v>873.49</v>
      </c>
      <c r="I655" s="13">
        <v>5</v>
      </c>
      <c r="J655" s="13">
        <v>5</v>
      </c>
      <c r="K655" s="13" t="s">
        <v>15</v>
      </c>
      <c r="L655" s="15">
        <v>174.69800000000001</v>
      </c>
      <c r="M655" s="16">
        <v>174.69800000000001</v>
      </c>
    </row>
    <row r="656" spans="1:13" s="5" customFormat="1" x14ac:dyDescent="0.25">
      <c r="A656" s="12" t="s">
        <v>1303</v>
      </c>
      <c r="B656" s="13" t="s">
        <v>1304</v>
      </c>
      <c r="C656" s="14">
        <v>44951</v>
      </c>
      <c r="D656" s="13">
        <v>2023</v>
      </c>
      <c r="E656" s="13" t="s">
        <v>10</v>
      </c>
      <c r="F656" s="13" t="s">
        <v>34</v>
      </c>
      <c r="G656" s="15">
        <v>563.48</v>
      </c>
      <c r="H656" s="15">
        <v>563.48</v>
      </c>
      <c r="I656" s="13">
        <v>10</v>
      </c>
      <c r="J656" s="13">
        <v>10</v>
      </c>
      <c r="K656" s="13" t="s">
        <v>15</v>
      </c>
      <c r="L656" s="15">
        <v>56.347999999999999</v>
      </c>
      <c r="M656" s="16">
        <v>56.347999999999999</v>
      </c>
    </row>
    <row r="657" spans="1:13" s="5" customFormat="1" x14ac:dyDescent="0.25">
      <c r="A657" s="12" t="s">
        <v>1305</v>
      </c>
      <c r="B657" s="13" t="s">
        <v>1306</v>
      </c>
      <c r="C657" s="14">
        <v>45503</v>
      </c>
      <c r="D657" s="13">
        <v>2024</v>
      </c>
      <c r="E657" s="13" t="s">
        <v>21</v>
      </c>
      <c r="F657" s="13" t="s">
        <v>34</v>
      </c>
      <c r="G657" s="15">
        <v>330.8</v>
      </c>
      <c r="H657" s="15">
        <v>330.8</v>
      </c>
      <c r="I657" s="13">
        <v>7</v>
      </c>
      <c r="J657" s="13">
        <v>7</v>
      </c>
      <c r="K657" s="13" t="s">
        <v>3346</v>
      </c>
      <c r="L657" s="15">
        <v>47.25714285714286</v>
      </c>
      <c r="M657" s="16">
        <v>47.25714285714286</v>
      </c>
    </row>
    <row r="658" spans="1:13" s="5" customFormat="1" x14ac:dyDescent="0.25">
      <c r="A658" s="12" t="s">
        <v>1307</v>
      </c>
      <c r="B658" s="13" t="s">
        <v>1308</v>
      </c>
      <c r="C658" s="14">
        <v>45731</v>
      </c>
      <c r="D658" s="13">
        <v>2025</v>
      </c>
      <c r="E658" s="13" t="s">
        <v>14</v>
      </c>
      <c r="F658" s="13" t="s">
        <v>34</v>
      </c>
      <c r="G658" s="15">
        <v>517.36</v>
      </c>
      <c r="H658" s="15">
        <v>517.36</v>
      </c>
      <c r="I658" s="13">
        <v>1</v>
      </c>
      <c r="J658" s="13">
        <v>1</v>
      </c>
      <c r="K658" s="13" t="s">
        <v>35</v>
      </c>
      <c r="L658" s="15">
        <v>517.36</v>
      </c>
      <c r="M658" s="16">
        <v>517.36</v>
      </c>
    </row>
    <row r="659" spans="1:13" s="5" customFormat="1" x14ac:dyDescent="0.25">
      <c r="A659" s="12" t="s">
        <v>1309</v>
      </c>
      <c r="B659" s="13" t="s">
        <v>1310</v>
      </c>
      <c r="C659" s="14">
        <v>45527</v>
      </c>
      <c r="D659" s="13">
        <v>2024</v>
      </c>
      <c r="E659" s="13" t="s">
        <v>3347</v>
      </c>
      <c r="F659" s="13" t="s">
        <v>34</v>
      </c>
      <c r="G659" s="15">
        <v>700.13</v>
      </c>
      <c r="H659" s="15">
        <v>700.13</v>
      </c>
      <c r="I659" s="13">
        <v>5</v>
      </c>
      <c r="J659" s="13">
        <v>5</v>
      </c>
      <c r="K659" s="13" t="s">
        <v>3348</v>
      </c>
      <c r="L659" s="15">
        <v>140.02600000000001</v>
      </c>
      <c r="M659" s="16">
        <v>140.02600000000001</v>
      </c>
    </row>
    <row r="660" spans="1:13" s="5" customFormat="1" x14ac:dyDescent="0.25">
      <c r="A660" s="12" t="s">
        <v>1311</v>
      </c>
      <c r="B660" s="13" t="s">
        <v>1312</v>
      </c>
      <c r="C660" s="14">
        <v>45409</v>
      </c>
      <c r="D660" s="13">
        <v>2024</v>
      </c>
      <c r="E660" s="13" t="s">
        <v>21</v>
      </c>
      <c r="F660" s="13" t="s">
        <v>34</v>
      </c>
      <c r="G660" s="15">
        <v>1923.43</v>
      </c>
      <c r="H660" s="15">
        <v>1923.43</v>
      </c>
      <c r="I660" s="13">
        <v>5</v>
      </c>
      <c r="J660" s="13">
        <v>5</v>
      </c>
      <c r="K660" s="13" t="s">
        <v>15</v>
      </c>
      <c r="L660" s="15">
        <v>384.68600000000004</v>
      </c>
      <c r="M660" s="16">
        <v>384.68600000000004</v>
      </c>
    </row>
    <row r="661" spans="1:13" s="5" customFormat="1" x14ac:dyDescent="0.25">
      <c r="A661" s="12" t="s">
        <v>1313</v>
      </c>
      <c r="B661" s="13" t="s">
        <v>1314</v>
      </c>
      <c r="C661" s="14">
        <v>45140</v>
      </c>
      <c r="D661" s="13">
        <v>2023</v>
      </c>
      <c r="E661" s="13" t="s">
        <v>10</v>
      </c>
      <c r="F661" s="13" t="s">
        <v>11</v>
      </c>
      <c r="G661" s="15">
        <v>1787.71</v>
      </c>
      <c r="H661" s="15">
        <v>1787.71</v>
      </c>
      <c r="I661" s="13">
        <v>4</v>
      </c>
      <c r="J661" s="13">
        <v>4</v>
      </c>
      <c r="K661" s="13" t="s">
        <v>3348</v>
      </c>
      <c r="L661" s="15">
        <v>446.92750000000001</v>
      </c>
      <c r="M661" s="16">
        <v>446.92750000000001</v>
      </c>
    </row>
    <row r="662" spans="1:13" s="5" customFormat="1" x14ac:dyDescent="0.25">
      <c r="A662" s="12" t="s">
        <v>1315</v>
      </c>
      <c r="B662" s="13" t="s">
        <v>461</v>
      </c>
      <c r="C662" s="14">
        <v>45121</v>
      </c>
      <c r="D662" s="13">
        <v>2023</v>
      </c>
      <c r="E662" s="13" t="s">
        <v>14</v>
      </c>
      <c r="F662" s="13" t="s">
        <v>11</v>
      </c>
      <c r="G662" s="15">
        <v>1809.88</v>
      </c>
      <c r="H662" s="15">
        <v>1809.88</v>
      </c>
      <c r="I662" s="13">
        <v>9</v>
      </c>
      <c r="J662" s="13">
        <v>9</v>
      </c>
      <c r="K662" s="13" t="s">
        <v>35</v>
      </c>
      <c r="L662" s="15">
        <v>201.09777777777779</v>
      </c>
      <c r="M662" s="16">
        <v>201.09777777777779</v>
      </c>
    </row>
    <row r="663" spans="1:13" s="5" customFormat="1" x14ac:dyDescent="0.25">
      <c r="A663" s="12" t="s">
        <v>1316</v>
      </c>
      <c r="B663" s="13" t="s">
        <v>1317</v>
      </c>
      <c r="C663" s="14">
        <v>45457</v>
      </c>
      <c r="D663" s="13">
        <v>2024</v>
      </c>
      <c r="E663" s="13" t="s">
        <v>3347</v>
      </c>
      <c r="F663" s="13" t="s">
        <v>25</v>
      </c>
      <c r="G663" s="15">
        <v>675.99</v>
      </c>
      <c r="H663" s="15">
        <v>675.99</v>
      </c>
      <c r="I663" s="13">
        <v>8</v>
      </c>
      <c r="J663" s="13">
        <v>8</v>
      </c>
      <c r="K663" s="13" t="s">
        <v>3346</v>
      </c>
      <c r="L663" s="15">
        <v>84.498750000000001</v>
      </c>
      <c r="M663" s="16">
        <v>84.498750000000001</v>
      </c>
    </row>
    <row r="664" spans="1:13" s="5" customFormat="1" x14ac:dyDescent="0.25">
      <c r="A664" s="12" t="s">
        <v>1318</v>
      </c>
      <c r="B664" s="13" t="s">
        <v>1319</v>
      </c>
      <c r="C664" s="14">
        <v>45669</v>
      </c>
      <c r="D664" s="13">
        <v>2025</v>
      </c>
      <c r="E664" s="13" t="s">
        <v>10</v>
      </c>
      <c r="F664" s="13" t="s">
        <v>34</v>
      </c>
      <c r="G664" s="15">
        <v>1211.46</v>
      </c>
      <c r="H664" s="15">
        <v>1211.46</v>
      </c>
      <c r="I664" s="13">
        <v>8</v>
      </c>
      <c r="J664" s="13">
        <v>8</v>
      </c>
      <c r="K664" s="13" t="s">
        <v>18</v>
      </c>
      <c r="L664" s="15">
        <v>151.4325</v>
      </c>
      <c r="M664" s="16">
        <v>151.4325</v>
      </c>
    </row>
    <row r="665" spans="1:13" s="5" customFormat="1" x14ac:dyDescent="0.25">
      <c r="A665" s="12" t="s">
        <v>1320</v>
      </c>
      <c r="B665" s="13" t="s">
        <v>61</v>
      </c>
      <c r="C665" s="14">
        <v>45615</v>
      </c>
      <c r="D665" s="13">
        <v>2024</v>
      </c>
      <c r="E665" s="13" t="s">
        <v>21</v>
      </c>
      <c r="F665" s="13" t="s">
        <v>22</v>
      </c>
      <c r="G665" s="15">
        <v>1651.39</v>
      </c>
      <c r="H665" s="15">
        <v>1651.39</v>
      </c>
      <c r="I665" s="13">
        <v>10</v>
      </c>
      <c r="J665" s="13">
        <v>10</v>
      </c>
      <c r="K665" s="13" t="s">
        <v>3348</v>
      </c>
      <c r="L665" s="15">
        <v>165.13900000000001</v>
      </c>
      <c r="M665" s="16">
        <v>165.13900000000001</v>
      </c>
    </row>
    <row r="666" spans="1:13" s="5" customFormat="1" x14ac:dyDescent="0.25">
      <c r="A666" s="12" t="s">
        <v>1321</v>
      </c>
      <c r="B666" s="13" t="s">
        <v>1322</v>
      </c>
      <c r="C666" s="14">
        <v>45403</v>
      </c>
      <c r="D666" s="13">
        <v>2024</v>
      </c>
      <c r="E666" s="13" t="s">
        <v>10</v>
      </c>
      <c r="F666" s="13" t="s">
        <v>25</v>
      </c>
      <c r="G666" s="15">
        <v>2063.7019999999998</v>
      </c>
      <c r="H666" s="15">
        <v>2063.7019999999998</v>
      </c>
      <c r="I666" s="13">
        <v>8</v>
      </c>
      <c r="J666" s="13">
        <v>8</v>
      </c>
      <c r="K666" s="13" t="s">
        <v>18</v>
      </c>
      <c r="L666" s="15">
        <v>257.96274999999997</v>
      </c>
      <c r="M666" s="16">
        <v>257.96274999999997</v>
      </c>
    </row>
    <row r="667" spans="1:13" s="5" customFormat="1" x14ac:dyDescent="0.25">
      <c r="A667" s="12" t="s">
        <v>1323</v>
      </c>
      <c r="B667" s="13" t="s">
        <v>1324</v>
      </c>
      <c r="C667" s="14">
        <v>45022</v>
      </c>
      <c r="D667" s="13">
        <v>2023</v>
      </c>
      <c r="E667" s="13" t="s">
        <v>21</v>
      </c>
      <c r="F667" s="13" t="s">
        <v>22</v>
      </c>
      <c r="G667" s="15">
        <v>1086.82</v>
      </c>
      <c r="H667" s="15">
        <v>1086.82</v>
      </c>
      <c r="I667" s="13">
        <v>8</v>
      </c>
      <c r="J667" s="13">
        <v>8</v>
      </c>
      <c r="K667" s="13" t="s">
        <v>18</v>
      </c>
      <c r="L667" s="15">
        <v>135.85249999999999</v>
      </c>
      <c r="M667" s="16">
        <v>135.85249999999999</v>
      </c>
    </row>
    <row r="668" spans="1:13" s="5" customFormat="1" x14ac:dyDescent="0.25">
      <c r="A668" s="12" t="s">
        <v>1325</v>
      </c>
      <c r="B668" s="13" t="s">
        <v>1326</v>
      </c>
      <c r="C668" s="14">
        <v>45322</v>
      </c>
      <c r="D668" s="13">
        <v>2024</v>
      </c>
      <c r="E668" s="13" t="s">
        <v>14</v>
      </c>
      <c r="F668" s="13" t="s">
        <v>34</v>
      </c>
      <c r="G668" s="15">
        <v>160.51</v>
      </c>
      <c r="H668" s="15">
        <v>160.51</v>
      </c>
      <c r="I668" s="13">
        <v>1</v>
      </c>
      <c r="J668" s="13">
        <v>1</v>
      </c>
      <c r="K668" s="13" t="s">
        <v>15</v>
      </c>
      <c r="L668" s="15">
        <v>160.51</v>
      </c>
      <c r="M668" s="16">
        <v>252.27955555555556</v>
      </c>
    </row>
    <row r="669" spans="1:13" s="5" customFormat="1" x14ac:dyDescent="0.25">
      <c r="A669" s="12" t="s">
        <v>1327</v>
      </c>
      <c r="B669" s="13" t="s">
        <v>1328</v>
      </c>
      <c r="C669" s="14">
        <v>45310</v>
      </c>
      <c r="D669" s="13">
        <v>2024</v>
      </c>
      <c r="E669" s="13" t="s">
        <v>14</v>
      </c>
      <c r="F669" s="13" t="s">
        <v>25</v>
      </c>
      <c r="G669" s="15">
        <v>1937.6</v>
      </c>
      <c r="H669" s="15">
        <v>1937.6</v>
      </c>
      <c r="I669" s="13">
        <v>7</v>
      </c>
      <c r="J669" s="13">
        <v>7</v>
      </c>
      <c r="K669" s="13" t="s">
        <v>15</v>
      </c>
      <c r="L669" s="15">
        <v>276.8</v>
      </c>
      <c r="M669" s="16">
        <v>290.32208571428572</v>
      </c>
    </row>
    <row r="670" spans="1:13" s="5" customFormat="1" x14ac:dyDescent="0.25">
      <c r="A670" s="12" t="s">
        <v>1329</v>
      </c>
      <c r="B670" s="13" t="s">
        <v>1330</v>
      </c>
      <c r="C670" s="14">
        <v>45136</v>
      </c>
      <c r="D670" s="13">
        <v>2023</v>
      </c>
      <c r="E670" s="13" t="s">
        <v>3347</v>
      </c>
      <c r="F670" s="13" t="s">
        <v>34</v>
      </c>
      <c r="G670" s="15">
        <v>488.87</v>
      </c>
      <c r="H670" s="15">
        <v>488.87</v>
      </c>
      <c r="I670" s="13">
        <v>3</v>
      </c>
      <c r="J670" s="13">
        <v>3</v>
      </c>
      <c r="K670" s="13" t="s">
        <v>3348</v>
      </c>
      <c r="L670" s="15">
        <v>162.95666666666668</v>
      </c>
      <c r="M670" s="16">
        <v>162.95666666666668</v>
      </c>
    </row>
    <row r="671" spans="1:13" s="5" customFormat="1" x14ac:dyDescent="0.25">
      <c r="A671" s="12" t="s">
        <v>1331</v>
      </c>
      <c r="B671" s="13" t="s">
        <v>1332</v>
      </c>
      <c r="C671" s="14">
        <v>45702</v>
      </c>
      <c r="D671" s="13">
        <v>2025</v>
      </c>
      <c r="E671" s="13" t="s">
        <v>10</v>
      </c>
      <c r="F671" s="13" t="s">
        <v>22</v>
      </c>
      <c r="G671" s="15">
        <v>6531.8386666666675</v>
      </c>
      <c r="H671" s="15">
        <v>3548.2821388888883</v>
      </c>
      <c r="I671" s="13">
        <v>9</v>
      </c>
      <c r="J671" s="13">
        <v>9</v>
      </c>
      <c r="K671" s="13" t="s">
        <v>3348</v>
      </c>
      <c r="L671" s="15">
        <v>725.75985185185198</v>
      </c>
      <c r="M671" s="16">
        <v>725.75985185185198</v>
      </c>
    </row>
    <row r="672" spans="1:13" s="5" customFormat="1" x14ac:dyDescent="0.25">
      <c r="A672" s="12" t="s">
        <v>1333</v>
      </c>
      <c r="B672" s="13" t="s">
        <v>1334</v>
      </c>
      <c r="C672" s="14">
        <v>45261</v>
      </c>
      <c r="D672" s="13">
        <v>2023</v>
      </c>
      <c r="E672" s="13" t="s">
        <v>10</v>
      </c>
      <c r="F672" s="13" t="s">
        <v>22</v>
      </c>
      <c r="G672" s="15">
        <v>881.91</v>
      </c>
      <c r="H672" s="15">
        <v>881.91</v>
      </c>
      <c r="I672" s="13">
        <v>1</v>
      </c>
      <c r="J672" s="13">
        <v>1</v>
      </c>
      <c r="K672" s="13" t="s">
        <v>3348</v>
      </c>
      <c r="L672" s="15">
        <v>881.91</v>
      </c>
      <c r="M672" s="16">
        <v>881.91</v>
      </c>
    </row>
    <row r="673" spans="1:13" s="5" customFormat="1" x14ac:dyDescent="0.25">
      <c r="A673" s="12" t="s">
        <v>1335</v>
      </c>
      <c r="B673" s="13" t="s">
        <v>1336</v>
      </c>
      <c r="C673" s="14">
        <v>44939</v>
      </c>
      <c r="D673" s="13">
        <v>2023</v>
      </c>
      <c r="E673" s="13" t="s">
        <v>14</v>
      </c>
      <c r="F673" s="13" t="s">
        <v>22</v>
      </c>
      <c r="G673" s="15">
        <v>579.5</v>
      </c>
      <c r="H673" s="15">
        <v>579.5</v>
      </c>
      <c r="I673" s="13">
        <v>3</v>
      </c>
      <c r="J673" s="13">
        <v>3</v>
      </c>
      <c r="K673" s="13" t="s">
        <v>3348</v>
      </c>
      <c r="L673" s="15">
        <v>193.16666666666666</v>
      </c>
      <c r="M673" s="16">
        <v>193.16666666666666</v>
      </c>
    </row>
    <row r="674" spans="1:13" s="5" customFormat="1" x14ac:dyDescent="0.25">
      <c r="A674" s="12" t="s">
        <v>1337</v>
      </c>
      <c r="B674" s="13" t="s">
        <v>1338</v>
      </c>
      <c r="C674" s="14">
        <v>45611</v>
      </c>
      <c r="D674" s="13">
        <v>2024</v>
      </c>
      <c r="E674" s="13" t="s">
        <v>21</v>
      </c>
      <c r="F674" s="13" t="s">
        <v>11</v>
      </c>
      <c r="G674" s="15">
        <v>1136.3800000000001</v>
      </c>
      <c r="H674" s="15">
        <v>1136.3800000000001</v>
      </c>
      <c r="I674" s="13">
        <v>4</v>
      </c>
      <c r="J674" s="13">
        <v>4</v>
      </c>
      <c r="K674" s="13" t="s">
        <v>18</v>
      </c>
      <c r="L674" s="15">
        <v>284.09500000000003</v>
      </c>
      <c r="M674" s="16">
        <v>284.09500000000003</v>
      </c>
    </row>
    <row r="675" spans="1:13" s="5" customFormat="1" x14ac:dyDescent="0.25">
      <c r="A675" s="12" t="s">
        <v>1339</v>
      </c>
      <c r="B675" s="13" t="s">
        <v>1340</v>
      </c>
      <c r="C675" s="14">
        <v>45313</v>
      </c>
      <c r="D675" s="13">
        <v>2024</v>
      </c>
      <c r="E675" s="13" t="s">
        <v>3347</v>
      </c>
      <c r="F675" s="13" t="s">
        <v>22</v>
      </c>
      <c r="G675" s="15">
        <v>1080.3711419753088</v>
      </c>
      <c r="H675" s="15">
        <v>1080.3711419753088</v>
      </c>
      <c r="I675" s="13">
        <v>5</v>
      </c>
      <c r="J675" s="13">
        <v>5</v>
      </c>
      <c r="K675" s="13" t="s">
        <v>15</v>
      </c>
      <c r="L675" s="15">
        <v>216.07422839506177</v>
      </c>
      <c r="M675" s="16">
        <v>216.07422839506177</v>
      </c>
    </row>
    <row r="676" spans="1:13" s="5" customFormat="1" x14ac:dyDescent="0.25">
      <c r="A676" s="12" t="s">
        <v>1341</v>
      </c>
      <c r="B676" s="13" t="s">
        <v>1342</v>
      </c>
      <c r="C676" s="14">
        <v>45151</v>
      </c>
      <c r="D676" s="13">
        <v>2023</v>
      </c>
      <c r="E676" s="13" t="s">
        <v>10</v>
      </c>
      <c r="F676" s="13" t="s">
        <v>11</v>
      </c>
      <c r="G676" s="15">
        <v>805.24</v>
      </c>
      <c r="H676" s="15">
        <v>805.24</v>
      </c>
      <c r="I676" s="13">
        <v>1</v>
      </c>
      <c r="J676" s="13">
        <v>1</v>
      </c>
      <c r="K676" s="13" t="s">
        <v>35</v>
      </c>
      <c r="L676" s="15">
        <v>805.24</v>
      </c>
      <c r="M676" s="16">
        <v>805.24</v>
      </c>
    </row>
    <row r="677" spans="1:13" s="5" customFormat="1" x14ac:dyDescent="0.25">
      <c r="A677" s="12" t="s">
        <v>1343</v>
      </c>
      <c r="B677" s="13" t="s">
        <v>1344</v>
      </c>
      <c r="C677" s="14">
        <v>45921</v>
      </c>
      <c r="D677" s="13">
        <v>2025</v>
      </c>
      <c r="E677" s="13" t="s">
        <v>14</v>
      </c>
      <c r="F677" s="13" t="s">
        <v>25</v>
      </c>
      <c r="G677" s="15">
        <v>600.17999999999995</v>
      </c>
      <c r="H677" s="15">
        <v>600.17999999999995</v>
      </c>
      <c r="I677" s="13">
        <v>7</v>
      </c>
      <c r="J677" s="13">
        <v>7</v>
      </c>
      <c r="K677" s="13" t="s">
        <v>35</v>
      </c>
      <c r="L677" s="15">
        <v>85.74</v>
      </c>
      <c r="M677" s="16">
        <v>85.74</v>
      </c>
    </row>
    <row r="678" spans="1:13" s="5" customFormat="1" x14ac:dyDescent="0.25">
      <c r="A678" s="12" t="s">
        <v>1345</v>
      </c>
      <c r="B678" s="13" t="s">
        <v>1346</v>
      </c>
      <c r="C678" s="14">
        <v>44948</v>
      </c>
      <c r="D678" s="13">
        <v>2023</v>
      </c>
      <c r="E678" s="13" t="s">
        <v>3347</v>
      </c>
      <c r="F678" s="13" t="s">
        <v>22</v>
      </c>
      <c r="G678" s="15">
        <v>371.28</v>
      </c>
      <c r="H678" s="15">
        <v>371.28</v>
      </c>
      <c r="I678" s="13">
        <v>7</v>
      </c>
      <c r="J678" s="13">
        <v>7</v>
      </c>
      <c r="K678" s="13" t="s">
        <v>35</v>
      </c>
      <c r="L678" s="15">
        <v>53.04</v>
      </c>
      <c r="M678" s="16">
        <v>53.04</v>
      </c>
    </row>
    <row r="679" spans="1:13" s="5" customFormat="1" x14ac:dyDescent="0.25">
      <c r="A679" s="12" t="s">
        <v>1347</v>
      </c>
      <c r="B679" s="13" t="s">
        <v>1348</v>
      </c>
      <c r="C679" s="14">
        <v>45381</v>
      </c>
      <c r="D679" s="13">
        <v>2024</v>
      </c>
      <c r="E679" s="13" t="s">
        <v>21</v>
      </c>
      <c r="F679" s="13" t="s">
        <v>22</v>
      </c>
      <c r="G679" s="15">
        <v>96.45</v>
      </c>
      <c r="H679" s="15">
        <v>96.45</v>
      </c>
      <c r="I679" s="13">
        <v>3</v>
      </c>
      <c r="J679" s="13">
        <v>3</v>
      </c>
      <c r="K679" s="13" t="s">
        <v>3348</v>
      </c>
      <c r="L679" s="15">
        <v>32.15</v>
      </c>
      <c r="M679" s="16">
        <v>32.15</v>
      </c>
    </row>
    <row r="680" spans="1:13" s="5" customFormat="1" x14ac:dyDescent="0.25">
      <c r="A680" s="12" t="s">
        <v>1349</v>
      </c>
      <c r="B680" s="13" t="s">
        <v>1350</v>
      </c>
      <c r="C680" s="14">
        <v>45922</v>
      </c>
      <c r="D680" s="13">
        <v>2025</v>
      </c>
      <c r="E680" s="13" t="s">
        <v>21</v>
      </c>
      <c r="F680" s="13" t="s">
        <v>25</v>
      </c>
      <c r="G680" s="15">
        <v>658.97</v>
      </c>
      <c r="H680" s="15">
        <v>658.97</v>
      </c>
      <c r="I680" s="13">
        <v>4</v>
      </c>
      <c r="J680" s="13">
        <v>4</v>
      </c>
      <c r="K680" s="13" t="s">
        <v>3348</v>
      </c>
      <c r="L680" s="15">
        <v>164.74250000000001</v>
      </c>
      <c r="M680" s="16">
        <v>164.74250000000001</v>
      </c>
    </row>
    <row r="681" spans="1:13" s="5" customFormat="1" x14ac:dyDescent="0.25">
      <c r="A681" s="12" t="s">
        <v>1351</v>
      </c>
      <c r="B681" s="13" t="s">
        <v>1352</v>
      </c>
      <c r="C681" s="14">
        <v>45413</v>
      </c>
      <c r="D681" s="13">
        <v>2024</v>
      </c>
      <c r="E681" s="13" t="s">
        <v>3347</v>
      </c>
      <c r="F681" s="13" t="s">
        <v>25</v>
      </c>
      <c r="G681" s="15">
        <v>1415.67</v>
      </c>
      <c r="H681" s="15">
        <v>1415.67</v>
      </c>
      <c r="I681" s="13">
        <v>4</v>
      </c>
      <c r="J681" s="13">
        <v>4</v>
      </c>
      <c r="K681" s="13" t="s">
        <v>3346</v>
      </c>
      <c r="L681" s="15">
        <v>353.91750000000002</v>
      </c>
      <c r="M681" s="16">
        <v>353.91750000000002</v>
      </c>
    </row>
    <row r="682" spans="1:13" s="5" customFormat="1" x14ac:dyDescent="0.25">
      <c r="A682" s="12" t="s">
        <v>1353</v>
      </c>
      <c r="B682" s="13" t="s">
        <v>1354</v>
      </c>
      <c r="C682" s="14">
        <v>45414</v>
      </c>
      <c r="D682" s="13">
        <v>2024</v>
      </c>
      <c r="E682" s="13" t="s">
        <v>21</v>
      </c>
      <c r="F682" s="13" t="s">
        <v>11</v>
      </c>
      <c r="G682" s="15">
        <v>393.3775</v>
      </c>
      <c r="H682" s="15">
        <v>393.3775</v>
      </c>
      <c r="I682" s="13">
        <v>7</v>
      </c>
      <c r="J682" s="13">
        <v>7</v>
      </c>
      <c r="K682" s="13" t="s">
        <v>3346</v>
      </c>
      <c r="L682" s="15">
        <v>56.196785714285717</v>
      </c>
      <c r="M682" s="16">
        <v>56.196785714285717</v>
      </c>
    </row>
    <row r="683" spans="1:13" s="5" customFormat="1" x14ac:dyDescent="0.25">
      <c r="A683" s="12" t="s">
        <v>1355</v>
      </c>
      <c r="B683" s="13" t="s">
        <v>1356</v>
      </c>
      <c r="C683" s="14">
        <v>45327</v>
      </c>
      <c r="D683" s="13">
        <v>2024</v>
      </c>
      <c r="E683" s="13" t="s">
        <v>3347</v>
      </c>
      <c r="F683" s="13" t="s">
        <v>22</v>
      </c>
      <c r="G683" s="15">
        <v>14.81</v>
      </c>
      <c r="H683" s="15">
        <v>14.81</v>
      </c>
      <c r="I683" s="13">
        <v>3</v>
      </c>
      <c r="J683" s="13">
        <v>3</v>
      </c>
      <c r="K683" s="13" t="s">
        <v>3346</v>
      </c>
      <c r="L683" s="15">
        <v>4.9366666666666665</v>
      </c>
      <c r="M683" s="16">
        <v>4.9366666666666665</v>
      </c>
    </row>
    <row r="684" spans="1:13" s="5" customFormat="1" x14ac:dyDescent="0.25">
      <c r="A684" s="12" t="s">
        <v>1357</v>
      </c>
      <c r="B684" s="13" t="s">
        <v>1358</v>
      </c>
      <c r="C684" s="14">
        <v>45342</v>
      </c>
      <c r="D684" s="13">
        <v>2024</v>
      </c>
      <c r="E684" s="13" t="s">
        <v>21</v>
      </c>
      <c r="F684" s="13" t="s">
        <v>34</v>
      </c>
      <c r="G684" s="15">
        <v>552.04999999999995</v>
      </c>
      <c r="H684" s="15">
        <v>552.04999999999995</v>
      </c>
      <c r="I684" s="13">
        <v>4</v>
      </c>
      <c r="J684" s="13">
        <v>4</v>
      </c>
      <c r="K684" s="13" t="s">
        <v>18</v>
      </c>
      <c r="L684" s="15">
        <v>138.01249999999999</v>
      </c>
      <c r="M684" s="16">
        <v>138.01249999999999</v>
      </c>
    </row>
    <row r="685" spans="1:13" s="5" customFormat="1" x14ac:dyDescent="0.25">
      <c r="A685" s="12" t="s">
        <v>1359</v>
      </c>
      <c r="B685" s="13" t="s">
        <v>1360</v>
      </c>
      <c r="C685" s="14">
        <v>45294</v>
      </c>
      <c r="D685" s="13">
        <v>2024</v>
      </c>
      <c r="E685" s="13" t="s">
        <v>3347</v>
      </c>
      <c r="F685" s="13" t="s">
        <v>34</v>
      </c>
      <c r="G685" s="15">
        <v>1336.18</v>
      </c>
      <c r="H685" s="15">
        <v>1336.18</v>
      </c>
      <c r="I685" s="13">
        <v>7</v>
      </c>
      <c r="J685" s="13">
        <v>7</v>
      </c>
      <c r="K685" s="13" t="s">
        <v>3348</v>
      </c>
      <c r="L685" s="15">
        <v>190.88285714285715</v>
      </c>
      <c r="M685" s="16">
        <v>190.88285714285715</v>
      </c>
    </row>
    <row r="686" spans="1:13" s="5" customFormat="1" x14ac:dyDescent="0.25">
      <c r="A686" s="12" t="s">
        <v>1361</v>
      </c>
      <c r="B686" s="13" t="s">
        <v>1362</v>
      </c>
      <c r="C686" s="14">
        <v>45049</v>
      </c>
      <c r="D686" s="13">
        <v>2023</v>
      </c>
      <c r="E686" s="13" t="s">
        <v>14</v>
      </c>
      <c r="F686" s="13" t="s">
        <v>34</v>
      </c>
      <c r="G686" s="15">
        <v>1437.72</v>
      </c>
      <c r="H686" s="15">
        <v>1437.72</v>
      </c>
      <c r="I686" s="13">
        <v>3</v>
      </c>
      <c r="J686" s="13">
        <v>3</v>
      </c>
      <c r="K686" s="13" t="s">
        <v>15</v>
      </c>
      <c r="L686" s="15">
        <v>479.24</v>
      </c>
      <c r="M686" s="16">
        <v>479.24</v>
      </c>
    </row>
    <row r="687" spans="1:13" s="5" customFormat="1" x14ac:dyDescent="0.25">
      <c r="A687" s="12" t="s">
        <v>1363</v>
      </c>
      <c r="B687" s="13" t="s">
        <v>1364</v>
      </c>
      <c r="C687" s="14">
        <v>45316</v>
      </c>
      <c r="D687" s="13">
        <v>2024</v>
      </c>
      <c r="E687" s="13" t="s">
        <v>3347</v>
      </c>
      <c r="F687" s="13" t="s">
        <v>34</v>
      </c>
      <c r="G687" s="15">
        <v>1800.88</v>
      </c>
      <c r="H687" s="15">
        <v>1800.88</v>
      </c>
      <c r="I687" s="13">
        <v>5</v>
      </c>
      <c r="J687" s="13">
        <v>5</v>
      </c>
      <c r="K687" s="13" t="s">
        <v>35</v>
      </c>
      <c r="L687" s="15">
        <v>360.17600000000004</v>
      </c>
      <c r="M687" s="16">
        <v>360.17600000000004</v>
      </c>
    </row>
    <row r="688" spans="1:13" s="5" customFormat="1" x14ac:dyDescent="0.25">
      <c r="A688" s="12" t="s">
        <v>1365</v>
      </c>
      <c r="B688" s="13" t="s">
        <v>1366</v>
      </c>
      <c r="C688" s="14">
        <v>44950</v>
      </c>
      <c r="D688" s="13">
        <v>2023</v>
      </c>
      <c r="E688" s="13" t="s">
        <v>14</v>
      </c>
      <c r="F688" s="13" t="s">
        <v>11</v>
      </c>
      <c r="G688" s="15">
        <v>720.78</v>
      </c>
      <c r="H688" s="15">
        <v>720.78</v>
      </c>
      <c r="I688" s="13">
        <v>6</v>
      </c>
      <c r="J688" s="13">
        <v>6</v>
      </c>
      <c r="K688" s="13" t="s">
        <v>3346</v>
      </c>
      <c r="L688" s="15">
        <v>120.13</v>
      </c>
      <c r="M688" s="16">
        <v>120.13</v>
      </c>
    </row>
    <row r="689" spans="1:13" s="5" customFormat="1" x14ac:dyDescent="0.25">
      <c r="A689" s="12" t="s">
        <v>1367</v>
      </c>
      <c r="B689" s="13" t="s">
        <v>1368</v>
      </c>
      <c r="C689" s="14">
        <v>45252</v>
      </c>
      <c r="D689" s="13">
        <v>2023</v>
      </c>
      <c r="E689" s="13" t="s">
        <v>10</v>
      </c>
      <c r="F689" s="13" t="s">
        <v>11</v>
      </c>
      <c r="G689" s="15">
        <v>1418.42</v>
      </c>
      <c r="H689" s="15">
        <v>1418.42</v>
      </c>
      <c r="I689" s="13">
        <v>5</v>
      </c>
      <c r="J689" s="13">
        <v>5</v>
      </c>
      <c r="K689" s="13" t="s">
        <v>3346</v>
      </c>
      <c r="L689" s="15">
        <v>283.68400000000003</v>
      </c>
      <c r="M689" s="16">
        <v>283.68400000000003</v>
      </c>
    </row>
    <row r="690" spans="1:13" s="5" customFormat="1" x14ac:dyDescent="0.25">
      <c r="A690" s="12" t="s">
        <v>1369</v>
      </c>
      <c r="B690" s="13" t="s">
        <v>1370</v>
      </c>
      <c r="C690" s="14">
        <v>45903</v>
      </c>
      <c r="D690" s="13">
        <v>2025</v>
      </c>
      <c r="E690" s="13" t="s">
        <v>21</v>
      </c>
      <c r="F690" s="13" t="s">
        <v>34</v>
      </c>
      <c r="G690" s="15">
        <v>1372.69</v>
      </c>
      <c r="H690" s="15">
        <v>1372.69</v>
      </c>
      <c r="I690" s="13">
        <v>10</v>
      </c>
      <c r="J690" s="13">
        <v>10</v>
      </c>
      <c r="K690" s="13" t="s">
        <v>15</v>
      </c>
      <c r="L690" s="15">
        <v>137.26900000000001</v>
      </c>
      <c r="M690" s="16">
        <v>137.26900000000001</v>
      </c>
    </row>
    <row r="691" spans="1:13" s="5" customFormat="1" x14ac:dyDescent="0.25">
      <c r="A691" s="12" t="s">
        <v>1371</v>
      </c>
      <c r="B691" s="13" t="s">
        <v>1372</v>
      </c>
      <c r="C691" s="14">
        <v>45019</v>
      </c>
      <c r="D691" s="13">
        <v>2023</v>
      </c>
      <c r="E691" s="13" t="s">
        <v>10</v>
      </c>
      <c r="F691" s="13" t="s">
        <v>25</v>
      </c>
      <c r="G691" s="15">
        <v>1547.52</v>
      </c>
      <c r="H691" s="15">
        <v>1547.52</v>
      </c>
      <c r="I691" s="13">
        <v>10</v>
      </c>
      <c r="J691" s="13">
        <v>10</v>
      </c>
      <c r="K691" s="13" t="s">
        <v>3348</v>
      </c>
      <c r="L691" s="15">
        <v>154.75200000000001</v>
      </c>
      <c r="M691" s="16">
        <v>154.75200000000001</v>
      </c>
    </row>
    <row r="692" spans="1:13" s="5" customFormat="1" x14ac:dyDescent="0.25">
      <c r="A692" s="12" t="s">
        <v>1373</v>
      </c>
      <c r="B692" s="13" t="s">
        <v>1374</v>
      </c>
      <c r="C692" s="14">
        <v>45562</v>
      </c>
      <c r="D692" s="13">
        <v>2024</v>
      </c>
      <c r="E692" s="13" t="s">
        <v>3347</v>
      </c>
      <c r="F692" s="13" t="s">
        <v>34</v>
      </c>
      <c r="G692" s="15">
        <v>410.13</v>
      </c>
      <c r="H692" s="15">
        <v>410.13</v>
      </c>
      <c r="I692" s="13">
        <v>10</v>
      </c>
      <c r="J692" s="13">
        <v>10</v>
      </c>
      <c r="K692" s="13" t="s">
        <v>15</v>
      </c>
      <c r="L692" s="15">
        <v>41.012999999999998</v>
      </c>
      <c r="M692" s="16">
        <v>41.012999999999998</v>
      </c>
    </row>
    <row r="693" spans="1:13" s="5" customFormat="1" x14ac:dyDescent="0.25">
      <c r="A693" s="12" t="s">
        <v>1375</v>
      </c>
      <c r="B693" s="13" t="s">
        <v>1376</v>
      </c>
      <c r="C693" s="14">
        <v>45751</v>
      </c>
      <c r="D693" s="13">
        <v>2025</v>
      </c>
      <c r="E693" s="13" t="s">
        <v>3347</v>
      </c>
      <c r="F693" s="13" t="s">
        <v>11</v>
      </c>
      <c r="G693" s="15">
        <v>283.05458333333331</v>
      </c>
      <c r="H693" s="15">
        <v>283.05458333333331</v>
      </c>
      <c r="I693" s="13">
        <v>2</v>
      </c>
      <c r="J693" s="13">
        <v>2</v>
      </c>
      <c r="K693" s="13" t="s">
        <v>35</v>
      </c>
      <c r="L693" s="15">
        <v>141.52729166666666</v>
      </c>
      <c r="M693" s="16">
        <v>141.52729166666666</v>
      </c>
    </row>
    <row r="694" spans="1:13" s="5" customFormat="1" x14ac:dyDescent="0.25">
      <c r="A694" s="12" t="s">
        <v>1377</v>
      </c>
      <c r="B694" s="13" t="s">
        <v>1378</v>
      </c>
      <c r="C694" s="14">
        <v>45010</v>
      </c>
      <c r="D694" s="13">
        <v>2023</v>
      </c>
      <c r="E694" s="13" t="s">
        <v>3347</v>
      </c>
      <c r="F694" s="13" t="s">
        <v>11</v>
      </c>
      <c r="G694" s="15">
        <v>105.04</v>
      </c>
      <c r="H694" s="15">
        <v>105.04</v>
      </c>
      <c r="I694" s="13">
        <v>7</v>
      </c>
      <c r="J694" s="13">
        <v>7</v>
      </c>
      <c r="K694" s="13" t="s">
        <v>35</v>
      </c>
      <c r="L694" s="15">
        <v>15.005714285714287</v>
      </c>
      <c r="M694" s="16">
        <v>15.005714285714287</v>
      </c>
    </row>
    <row r="695" spans="1:13" s="5" customFormat="1" x14ac:dyDescent="0.25">
      <c r="A695" s="12" t="s">
        <v>1379</v>
      </c>
      <c r="B695" s="13" t="s">
        <v>1380</v>
      </c>
      <c r="C695" s="14">
        <v>45134</v>
      </c>
      <c r="D695" s="13">
        <v>2023</v>
      </c>
      <c r="E695" s="13" t="s">
        <v>10</v>
      </c>
      <c r="F695" s="13" t="s">
        <v>34</v>
      </c>
      <c r="G695" s="15">
        <v>797.03</v>
      </c>
      <c r="H695" s="15">
        <v>797.03</v>
      </c>
      <c r="I695" s="13">
        <v>3</v>
      </c>
      <c r="J695" s="13">
        <v>3</v>
      </c>
      <c r="K695" s="13" t="s">
        <v>35</v>
      </c>
      <c r="L695" s="15">
        <v>265.67666666666668</v>
      </c>
      <c r="M695" s="16">
        <v>265.67666666666668</v>
      </c>
    </row>
    <row r="696" spans="1:13" s="5" customFormat="1" x14ac:dyDescent="0.25">
      <c r="A696" s="12" t="s">
        <v>1381</v>
      </c>
      <c r="B696" s="13" t="s">
        <v>1382</v>
      </c>
      <c r="C696" s="14">
        <v>44860</v>
      </c>
      <c r="D696" s="13">
        <v>2022</v>
      </c>
      <c r="E696" s="13" t="s">
        <v>14</v>
      </c>
      <c r="F696" s="13" t="s">
        <v>11</v>
      </c>
      <c r="G696" s="15">
        <v>298.33</v>
      </c>
      <c r="H696" s="15">
        <v>298.33</v>
      </c>
      <c r="I696" s="13">
        <v>7</v>
      </c>
      <c r="J696" s="13">
        <v>7</v>
      </c>
      <c r="K696" s="13" t="s">
        <v>35</v>
      </c>
      <c r="L696" s="15">
        <v>42.618571428571428</v>
      </c>
      <c r="M696" s="16">
        <v>42.618571428571428</v>
      </c>
    </row>
    <row r="697" spans="1:13" s="5" customFormat="1" x14ac:dyDescent="0.25">
      <c r="A697" s="12" t="s">
        <v>1383</v>
      </c>
      <c r="B697" s="13" t="s">
        <v>1384</v>
      </c>
      <c r="C697" s="14">
        <v>45101</v>
      </c>
      <c r="D697" s="13">
        <v>2023</v>
      </c>
      <c r="E697" s="13" t="s">
        <v>3347</v>
      </c>
      <c r="F697" s="13" t="s">
        <v>22</v>
      </c>
      <c r="G697" s="15">
        <v>422.65</v>
      </c>
      <c r="H697" s="15">
        <v>422.65</v>
      </c>
      <c r="I697" s="13">
        <v>8</v>
      </c>
      <c r="J697" s="13">
        <v>8</v>
      </c>
      <c r="K697" s="13" t="s">
        <v>18</v>
      </c>
      <c r="L697" s="15">
        <v>52.831249999999997</v>
      </c>
      <c r="M697" s="16">
        <v>52.831249999999997</v>
      </c>
    </row>
    <row r="698" spans="1:13" s="5" customFormat="1" x14ac:dyDescent="0.25">
      <c r="A698" s="12" t="s">
        <v>1385</v>
      </c>
      <c r="B698" s="13" t="s">
        <v>1386</v>
      </c>
      <c r="C698" s="14">
        <v>44993</v>
      </c>
      <c r="D698" s="13">
        <v>2023</v>
      </c>
      <c r="E698" s="13" t="s">
        <v>10</v>
      </c>
      <c r="F698" s="13" t="s">
        <v>22</v>
      </c>
      <c r="G698" s="15">
        <v>842.99</v>
      </c>
      <c r="H698" s="15">
        <v>842.99</v>
      </c>
      <c r="I698" s="13">
        <v>4</v>
      </c>
      <c r="J698" s="13">
        <v>4</v>
      </c>
      <c r="K698" s="13" t="s">
        <v>15</v>
      </c>
      <c r="L698" s="15">
        <v>210.7475</v>
      </c>
      <c r="M698" s="16">
        <v>210.7475</v>
      </c>
    </row>
    <row r="699" spans="1:13" s="5" customFormat="1" x14ac:dyDescent="0.25">
      <c r="A699" s="12" t="s">
        <v>1387</v>
      </c>
      <c r="B699" s="13" t="s">
        <v>1388</v>
      </c>
      <c r="C699" s="14">
        <v>45563</v>
      </c>
      <c r="D699" s="13">
        <v>2024</v>
      </c>
      <c r="E699" s="13" t="s">
        <v>10</v>
      </c>
      <c r="F699" s="13" t="s">
        <v>25</v>
      </c>
      <c r="G699" s="15">
        <v>1073.4301666666668</v>
      </c>
      <c r="H699" s="15">
        <v>1073.4301666666668</v>
      </c>
      <c r="I699" s="13">
        <v>6</v>
      </c>
      <c r="J699" s="13">
        <v>6</v>
      </c>
      <c r="K699" s="13" t="s">
        <v>15</v>
      </c>
      <c r="L699" s="15">
        <v>178.9050277777778</v>
      </c>
      <c r="M699" s="16">
        <v>178.9050277777778</v>
      </c>
    </row>
    <row r="700" spans="1:13" s="5" customFormat="1" x14ac:dyDescent="0.25">
      <c r="A700" s="12" t="s">
        <v>1389</v>
      </c>
      <c r="B700" s="13" t="s">
        <v>1390</v>
      </c>
      <c r="C700" s="14">
        <v>45088</v>
      </c>
      <c r="D700" s="13">
        <v>2023</v>
      </c>
      <c r="E700" s="13" t="s">
        <v>14</v>
      </c>
      <c r="F700" s="13" t="s">
        <v>22</v>
      </c>
      <c r="G700" s="15">
        <v>868.99</v>
      </c>
      <c r="H700" s="15">
        <v>868.99</v>
      </c>
      <c r="I700" s="13">
        <v>7</v>
      </c>
      <c r="J700" s="13">
        <v>7</v>
      </c>
      <c r="K700" s="13" t="s">
        <v>35</v>
      </c>
      <c r="L700" s="15">
        <v>124.14142857142858</v>
      </c>
      <c r="M700" s="16">
        <v>124.14142857142858</v>
      </c>
    </row>
    <row r="701" spans="1:13" s="5" customFormat="1" x14ac:dyDescent="0.25">
      <c r="A701" s="12" t="s">
        <v>1391</v>
      </c>
      <c r="B701" s="13" t="s">
        <v>1392</v>
      </c>
      <c r="C701" s="14">
        <v>44973</v>
      </c>
      <c r="D701" s="13">
        <v>2023</v>
      </c>
      <c r="E701" s="13" t="s">
        <v>14</v>
      </c>
      <c r="F701" s="13" t="s">
        <v>34</v>
      </c>
      <c r="G701" s="15">
        <v>1050.8800000000001</v>
      </c>
      <c r="H701" s="15">
        <v>1050.8800000000001</v>
      </c>
      <c r="I701" s="13">
        <v>1</v>
      </c>
      <c r="J701" s="13">
        <v>1</v>
      </c>
      <c r="K701" s="13" t="s">
        <v>3346</v>
      </c>
      <c r="L701" s="15">
        <v>1050.8800000000001</v>
      </c>
      <c r="M701" s="16">
        <v>1050.8800000000001</v>
      </c>
    </row>
    <row r="702" spans="1:13" s="5" customFormat="1" x14ac:dyDescent="0.25">
      <c r="A702" s="12" t="s">
        <v>1393</v>
      </c>
      <c r="B702" s="13" t="s">
        <v>1394</v>
      </c>
      <c r="C702" s="14">
        <v>45383</v>
      </c>
      <c r="D702" s="13">
        <v>2024</v>
      </c>
      <c r="E702" s="13" t="s">
        <v>21</v>
      </c>
      <c r="F702" s="13" t="s">
        <v>22</v>
      </c>
      <c r="G702" s="15">
        <v>706.82</v>
      </c>
      <c r="H702" s="15">
        <v>706.82</v>
      </c>
      <c r="I702" s="13">
        <v>3</v>
      </c>
      <c r="J702" s="13">
        <v>3</v>
      </c>
      <c r="K702" s="13" t="s">
        <v>3348</v>
      </c>
      <c r="L702" s="15">
        <v>235.60666666666668</v>
      </c>
      <c r="M702" s="16">
        <v>235.60666666666668</v>
      </c>
    </row>
    <row r="703" spans="1:13" s="5" customFormat="1" x14ac:dyDescent="0.25">
      <c r="A703" s="12" t="s">
        <v>1395</v>
      </c>
      <c r="B703" s="13" t="s">
        <v>1396</v>
      </c>
      <c r="C703" s="14">
        <v>45710</v>
      </c>
      <c r="D703" s="13">
        <v>2025</v>
      </c>
      <c r="E703" s="13" t="s">
        <v>21</v>
      </c>
      <c r="F703" s="13" t="s">
        <v>22</v>
      </c>
      <c r="G703" s="15">
        <v>1888.07</v>
      </c>
      <c r="H703" s="15">
        <v>1888.07</v>
      </c>
      <c r="I703" s="13">
        <v>3</v>
      </c>
      <c r="J703" s="13">
        <v>3</v>
      </c>
      <c r="K703" s="13" t="s">
        <v>15</v>
      </c>
      <c r="L703" s="15">
        <v>629.35666666666668</v>
      </c>
      <c r="M703" s="16">
        <v>566.1393333333333</v>
      </c>
    </row>
    <row r="704" spans="1:13" s="5" customFormat="1" x14ac:dyDescent="0.25">
      <c r="A704" s="12" t="s">
        <v>1397</v>
      </c>
      <c r="B704" s="13" t="s">
        <v>1398</v>
      </c>
      <c r="C704" s="14">
        <v>45602</v>
      </c>
      <c r="D704" s="13">
        <v>2024</v>
      </c>
      <c r="E704" s="13" t="s">
        <v>14</v>
      </c>
      <c r="F704" s="13" t="s">
        <v>11</v>
      </c>
      <c r="G704" s="15">
        <v>1209.79</v>
      </c>
      <c r="H704" s="15">
        <v>1209.79</v>
      </c>
      <c r="I704" s="13">
        <v>3</v>
      </c>
      <c r="J704" s="13">
        <v>3</v>
      </c>
      <c r="K704" s="13" t="s">
        <v>35</v>
      </c>
      <c r="L704" s="15">
        <v>403.26333333333332</v>
      </c>
      <c r="M704" s="16">
        <v>403.26333333333332</v>
      </c>
    </row>
    <row r="705" spans="1:13" s="5" customFormat="1" x14ac:dyDescent="0.25">
      <c r="A705" s="12" t="s">
        <v>1399</v>
      </c>
      <c r="B705" s="13" t="s">
        <v>1400</v>
      </c>
      <c r="C705" s="14">
        <v>45702</v>
      </c>
      <c r="D705" s="13">
        <v>2025</v>
      </c>
      <c r="E705" s="13" t="s">
        <v>3347</v>
      </c>
      <c r="F705" s="13" t="s">
        <v>11</v>
      </c>
      <c r="G705" s="15">
        <v>473.17</v>
      </c>
      <c r="H705" s="15">
        <v>473.17</v>
      </c>
      <c r="I705" s="13">
        <v>8</v>
      </c>
      <c r="J705" s="13">
        <v>8</v>
      </c>
      <c r="K705" s="13" t="s">
        <v>35</v>
      </c>
      <c r="L705" s="15">
        <v>59.146250000000002</v>
      </c>
      <c r="M705" s="16">
        <v>59.146250000000002</v>
      </c>
    </row>
    <row r="706" spans="1:13" s="5" customFormat="1" x14ac:dyDescent="0.25">
      <c r="A706" s="12" t="s">
        <v>1401</v>
      </c>
      <c r="B706" s="13" t="s">
        <v>1150</v>
      </c>
      <c r="C706" s="14">
        <v>45727</v>
      </c>
      <c r="D706" s="13">
        <v>2025</v>
      </c>
      <c r="E706" s="13" t="s">
        <v>21</v>
      </c>
      <c r="F706" s="13" t="s">
        <v>34</v>
      </c>
      <c r="G706" s="15">
        <v>1827.74</v>
      </c>
      <c r="H706" s="15">
        <v>1827.74</v>
      </c>
      <c r="I706" s="13">
        <v>9</v>
      </c>
      <c r="J706" s="13">
        <v>9</v>
      </c>
      <c r="K706" s="13" t="s">
        <v>35</v>
      </c>
      <c r="L706" s="15">
        <v>203.08222222222221</v>
      </c>
      <c r="M706" s="16">
        <v>203.08222222222221</v>
      </c>
    </row>
    <row r="707" spans="1:13" s="5" customFormat="1" x14ac:dyDescent="0.25">
      <c r="A707" s="12" t="s">
        <v>1402</v>
      </c>
      <c r="B707" s="13" t="s">
        <v>1403</v>
      </c>
      <c r="C707" s="14">
        <v>45250</v>
      </c>
      <c r="D707" s="13">
        <v>2023</v>
      </c>
      <c r="E707" s="13" t="s">
        <v>10</v>
      </c>
      <c r="F707" s="13" t="s">
        <v>22</v>
      </c>
      <c r="G707" s="15">
        <v>845.37</v>
      </c>
      <c r="H707" s="15">
        <v>845.37</v>
      </c>
      <c r="I707" s="13">
        <v>1</v>
      </c>
      <c r="J707" s="13">
        <v>1</v>
      </c>
      <c r="K707" s="13" t="s">
        <v>3348</v>
      </c>
      <c r="L707" s="15">
        <v>845.37</v>
      </c>
      <c r="M707" s="16">
        <v>572.48821212121209</v>
      </c>
    </row>
    <row r="708" spans="1:13" s="5" customFormat="1" x14ac:dyDescent="0.25">
      <c r="A708" s="12" t="s">
        <v>1404</v>
      </c>
      <c r="B708" s="13" t="s">
        <v>1405</v>
      </c>
      <c r="C708" s="14">
        <v>44943</v>
      </c>
      <c r="D708" s="13">
        <v>2023</v>
      </c>
      <c r="E708" s="13" t="s">
        <v>21</v>
      </c>
      <c r="F708" s="13" t="s">
        <v>34</v>
      </c>
      <c r="G708" s="15">
        <v>83.66</v>
      </c>
      <c r="H708" s="15">
        <v>83.66</v>
      </c>
      <c r="I708" s="13">
        <v>8</v>
      </c>
      <c r="J708" s="13">
        <v>8</v>
      </c>
      <c r="K708" s="13" t="s">
        <v>18</v>
      </c>
      <c r="L708" s="15">
        <v>10.4575</v>
      </c>
      <c r="M708" s="16">
        <v>10.4575</v>
      </c>
    </row>
    <row r="709" spans="1:13" s="5" customFormat="1" x14ac:dyDescent="0.25">
      <c r="A709" s="12" t="s">
        <v>1406</v>
      </c>
      <c r="B709" s="13" t="s">
        <v>1407</v>
      </c>
      <c r="C709" s="14">
        <v>45222</v>
      </c>
      <c r="D709" s="13">
        <v>2023</v>
      </c>
      <c r="E709" s="13" t="s">
        <v>21</v>
      </c>
      <c r="F709" s="13" t="s">
        <v>25</v>
      </c>
      <c r="G709" s="15">
        <v>1419.44</v>
      </c>
      <c r="H709" s="15">
        <v>1419.44</v>
      </c>
      <c r="I709" s="13">
        <v>7</v>
      </c>
      <c r="J709" s="13">
        <v>7</v>
      </c>
      <c r="K709" s="13" t="s">
        <v>3348</v>
      </c>
      <c r="L709" s="15">
        <v>202.77714285714288</v>
      </c>
      <c r="M709" s="16">
        <v>202.77714285714288</v>
      </c>
    </row>
    <row r="710" spans="1:13" s="5" customFormat="1" x14ac:dyDescent="0.25">
      <c r="A710" s="12" t="s">
        <v>1408</v>
      </c>
      <c r="B710" s="13" t="s">
        <v>1409</v>
      </c>
      <c r="C710" s="14">
        <v>45935</v>
      </c>
      <c r="D710" s="13">
        <v>2025</v>
      </c>
      <c r="E710" s="13" t="s">
        <v>10</v>
      </c>
      <c r="F710" s="13" t="s">
        <v>22</v>
      </c>
      <c r="G710" s="15">
        <v>1058.97</v>
      </c>
      <c r="H710" s="15">
        <v>1058.97</v>
      </c>
      <c r="I710" s="13">
        <v>5</v>
      </c>
      <c r="J710" s="13">
        <v>5</v>
      </c>
      <c r="K710" s="13" t="s">
        <v>3348</v>
      </c>
      <c r="L710" s="15">
        <v>211.79400000000001</v>
      </c>
      <c r="M710" s="16">
        <v>211.79400000000001</v>
      </c>
    </row>
    <row r="711" spans="1:13" s="5" customFormat="1" x14ac:dyDescent="0.25">
      <c r="A711" s="12" t="s">
        <v>1410</v>
      </c>
      <c r="B711" s="13" t="s">
        <v>1411</v>
      </c>
      <c r="C711" s="14">
        <v>45844</v>
      </c>
      <c r="D711" s="13">
        <v>2025</v>
      </c>
      <c r="E711" s="13" t="s">
        <v>21</v>
      </c>
      <c r="F711" s="13" t="s">
        <v>22</v>
      </c>
      <c r="G711" s="15">
        <v>1574.37</v>
      </c>
      <c r="H711" s="15">
        <v>1574.37</v>
      </c>
      <c r="I711" s="13">
        <v>1</v>
      </c>
      <c r="J711" s="13">
        <v>1</v>
      </c>
      <c r="K711" s="13" t="s">
        <v>15</v>
      </c>
      <c r="L711" s="15">
        <v>1574.37</v>
      </c>
      <c r="M711" s="16">
        <v>1574.37</v>
      </c>
    </row>
    <row r="712" spans="1:13" s="5" customFormat="1" x14ac:dyDescent="0.25">
      <c r="A712" s="12" t="s">
        <v>1412</v>
      </c>
      <c r="B712" s="13" t="s">
        <v>1413</v>
      </c>
      <c r="C712" s="14">
        <v>45930</v>
      </c>
      <c r="D712" s="13">
        <v>2025</v>
      </c>
      <c r="E712" s="13" t="s">
        <v>21</v>
      </c>
      <c r="F712" s="13" t="s">
        <v>34</v>
      </c>
      <c r="G712" s="15">
        <v>1884.82</v>
      </c>
      <c r="H712" s="15">
        <v>1884.82</v>
      </c>
      <c r="I712" s="13">
        <v>4</v>
      </c>
      <c r="J712" s="13">
        <v>4</v>
      </c>
      <c r="K712" s="13" t="s">
        <v>3348</v>
      </c>
      <c r="L712" s="15">
        <v>471.20499999999998</v>
      </c>
      <c r="M712" s="16">
        <v>471.20499999999998</v>
      </c>
    </row>
    <row r="713" spans="1:13" s="5" customFormat="1" x14ac:dyDescent="0.25">
      <c r="A713" s="12" t="s">
        <v>1414</v>
      </c>
      <c r="B713" s="13" t="s">
        <v>1415</v>
      </c>
      <c r="C713" s="14">
        <v>45145</v>
      </c>
      <c r="D713" s="13">
        <v>2023</v>
      </c>
      <c r="E713" s="13" t="s">
        <v>10</v>
      </c>
      <c r="F713" s="13" t="s">
        <v>22</v>
      </c>
      <c r="G713" s="15">
        <v>31.85</v>
      </c>
      <c r="H713" s="15">
        <v>31.85</v>
      </c>
      <c r="I713" s="13">
        <v>6</v>
      </c>
      <c r="J713" s="13">
        <v>6</v>
      </c>
      <c r="K713" s="13" t="s">
        <v>15</v>
      </c>
      <c r="L713" s="15">
        <v>5.3083333333333336</v>
      </c>
      <c r="M713" s="16">
        <v>5.3083333333333336</v>
      </c>
    </row>
    <row r="714" spans="1:13" s="5" customFormat="1" x14ac:dyDescent="0.25">
      <c r="A714" s="12" t="s">
        <v>1416</v>
      </c>
      <c r="B714" s="13" t="s">
        <v>1055</v>
      </c>
      <c r="C714" s="14">
        <v>45318</v>
      </c>
      <c r="D714" s="13">
        <v>2024</v>
      </c>
      <c r="E714" s="13" t="s">
        <v>10</v>
      </c>
      <c r="F714" s="13" t="s">
        <v>22</v>
      </c>
      <c r="G714" s="15">
        <v>586.16</v>
      </c>
      <c r="H714" s="15">
        <v>586.16</v>
      </c>
      <c r="I714" s="13">
        <v>2</v>
      </c>
      <c r="J714" s="13">
        <v>2</v>
      </c>
      <c r="K714" s="13" t="s">
        <v>18</v>
      </c>
      <c r="L714" s="15">
        <v>293.08</v>
      </c>
      <c r="M714" s="16">
        <v>293.08</v>
      </c>
    </row>
    <row r="715" spans="1:13" s="5" customFormat="1" x14ac:dyDescent="0.25">
      <c r="A715" s="12" t="s">
        <v>1417</v>
      </c>
      <c r="B715" s="13" t="s">
        <v>1418</v>
      </c>
      <c r="C715" s="14">
        <v>45124</v>
      </c>
      <c r="D715" s="13">
        <v>2023</v>
      </c>
      <c r="E715" s="13" t="s">
        <v>14</v>
      </c>
      <c r="F715" s="13" t="s">
        <v>34</v>
      </c>
      <c r="G715" s="15">
        <v>1537.88</v>
      </c>
      <c r="H715" s="15">
        <v>1537.88</v>
      </c>
      <c r="I715" s="13">
        <v>4</v>
      </c>
      <c r="J715" s="13">
        <v>4</v>
      </c>
      <c r="K715" s="13" t="s">
        <v>35</v>
      </c>
      <c r="L715" s="15">
        <v>384.47</v>
      </c>
      <c r="M715" s="16">
        <v>384.47</v>
      </c>
    </row>
    <row r="716" spans="1:13" s="5" customFormat="1" x14ac:dyDescent="0.25">
      <c r="A716" s="12" t="s">
        <v>1419</v>
      </c>
      <c r="B716" s="13" t="s">
        <v>1420</v>
      </c>
      <c r="C716" s="14">
        <v>45723</v>
      </c>
      <c r="D716" s="13">
        <v>2025</v>
      </c>
      <c r="E716" s="13" t="s">
        <v>14</v>
      </c>
      <c r="F716" s="13" t="s">
        <v>34</v>
      </c>
      <c r="G716" s="15">
        <v>1095.95</v>
      </c>
      <c r="H716" s="15">
        <v>1095.95</v>
      </c>
      <c r="I716" s="13">
        <v>6</v>
      </c>
      <c r="J716" s="13">
        <v>6</v>
      </c>
      <c r="K716" s="13" t="s">
        <v>15</v>
      </c>
      <c r="L716" s="15">
        <v>182.65833333333333</v>
      </c>
      <c r="M716" s="16">
        <v>182.65833333333333</v>
      </c>
    </row>
    <row r="717" spans="1:13" s="5" customFormat="1" x14ac:dyDescent="0.25">
      <c r="A717" s="12" t="s">
        <v>1421</v>
      </c>
      <c r="B717" s="13" t="s">
        <v>1422</v>
      </c>
      <c r="C717" s="14">
        <v>45842</v>
      </c>
      <c r="D717" s="13">
        <v>2025</v>
      </c>
      <c r="E717" s="13" t="s">
        <v>21</v>
      </c>
      <c r="F717" s="13" t="s">
        <v>11</v>
      </c>
      <c r="G717" s="15">
        <v>1310.07</v>
      </c>
      <c r="H717" s="15">
        <v>1310.07</v>
      </c>
      <c r="I717" s="13">
        <v>3</v>
      </c>
      <c r="J717" s="13">
        <v>3</v>
      </c>
      <c r="K717" s="13" t="s">
        <v>3348</v>
      </c>
      <c r="L717" s="15">
        <v>436.69</v>
      </c>
      <c r="M717" s="16">
        <v>408.6275</v>
      </c>
    </row>
    <row r="718" spans="1:13" s="5" customFormat="1" x14ac:dyDescent="0.25">
      <c r="A718" s="12" t="s">
        <v>1423</v>
      </c>
      <c r="B718" s="13" t="s">
        <v>1424</v>
      </c>
      <c r="C718" s="14">
        <v>45385</v>
      </c>
      <c r="D718" s="13">
        <v>2024</v>
      </c>
      <c r="E718" s="13" t="s">
        <v>10</v>
      </c>
      <c r="F718" s="13" t="s">
        <v>34</v>
      </c>
      <c r="G718" s="15">
        <v>311.22000000000003</v>
      </c>
      <c r="H718" s="15">
        <v>311.22000000000003</v>
      </c>
      <c r="I718" s="13">
        <v>5</v>
      </c>
      <c r="J718" s="13">
        <v>5</v>
      </c>
      <c r="K718" s="13" t="s">
        <v>18</v>
      </c>
      <c r="L718" s="15">
        <v>62.244000000000007</v>
      </c>
      <c r="M718" s="16">
        <v>62.244000000000007</v>
      </c>
    </row>
    <row r="719" spans="1:13" s="5" customFormat="1" x14ac:dyDescent="0.25">
      <c r="A719" s="12" t="s">
        <v>1425</v>
      </c>
      <c r="B719" s="13" t="s">
        <v>1426</v>
      </c>
      <c r="C719" s="14">
        <v>45539</v>
      </c>
      <c r="D719" s="13">
        <v>2024</v>
      </c>
      <c r="E719" s="13" t="s">
        <v>3347</v>
      </c>
      <c r="F719" s="13" t="s">
        <v>34</v>
      </c>
      <c r="G719" s="15">
        <v>506.54</v>
      </c>
      <c r="H719" s="15">
        <v>506.54</v>
      </c>
      <c r="I719" s="13">
        <v>7</v>
      </c>
      <c r="J719" s="13">
        <v>7</v>
      </c>
      <c r="K719" s="13" t="s">
        <v>18</v>
      </c>
      <c r="L719" s="15">
        <v>72.362857142857152</v>
      </c>
      <c r="M719" s="16">
        <v>72.362857142857152</v>
      </c>
    </row>
    <row r="720" spans="1:13" s="5" customFormat="1" x14ac:dyDescent="0.25">
      <c r="A720" s="12" t="s">
        <v>1427</v>
      </c>
      <c r="B720" s="13" t="s">
        <v>1428</v>
      </c>
      <c r="C720" s="14">
        <v>44886</v>
      </c>
      <c r="D720" s="13">
        <v>2022</v>
      </c>
      <c r="E720" s="13" t="s">
        <v>21</v>
      </c>
      <c r="F720" s="13" t="s">
        <v>11</v>
      </c>
      <c r="G720" s="15">
        <v>1088.94</v>
      </c>
      <c r="H720" s="15">
        <v>1088.94</v>
      </c>
      <c r="I720" s="13">
        <v>2</v>
      </c>
      <c r="J720" s="13">
        <v>2</v>
      </c>
      <c r="K720" s="13" t="s">
        <v>3348</v>
      </c>
      <c r="L720" s="15">
        <v>544.47</v>
      </c>
      <c r="M720" s="16">
        <v>544.47</v>
      </c>
    </row>
    <row r="721" spans="1:13" s="5" customFormat="1" x14ac:dyDescent="0.25">
      <c r="A721" s="12" t="s">
        <v>1429</v>
      </c>
      <c r="B721" s="13" t="s">
        <v>1430</v>
      </c>
      <c r="C721" s="14">
        <v>45034</v>
      </c>
      <c r="D721" s="13">
        <v>2023</v>
      </c>
      <c r="E721" s="13" t="s">
        <v>21</v>
      </c>
      <c r="F721" s="13" t="s">
        <v>34</v>
      </c>
      <c r="G721" s="15">
        <v>1330.18</v>
      </c>
      <c r="H721" s="15">
        <v>1330.18</v>
      </c>
      <c r="I721" s="13">
        <v>7</v>
      </c>
      <c r="J721" s="13">
        <v>7</v>
      </c>
      <c r="K721" s="13" t="s">
        <v>3346</v>
      </c>
      <c r="L721" s="15">
        <v>190.02571428571429</v>
      </c>
      <c r="M721" s="16">
        <v>190.02571428571429</v>
      </c>
    </row>
    <row r="722" spans="1:13" s="5" customFormat="1" x14ac:dyDescent="0.25">
      <c r="A722" s="12" t="s">
        <v>1431</v>
      </c>
      <c r="B722" s="13" t="s">
        <v>1432</v>
      </c>
      <c r="C722" s="14">
        <v>44883</v>
      </c>
      <c r="D722" s="13">
        <v>2022</v>
      </c>
      <c r="E722" s="13" t="s">
        <v>3347</v>
      </c>
      <c r="F722" s="13" t="s">
        <v>34</v>
      </c>
      <c r="G722" s="15">
        <v>41.55</v>
      </c>
      <c r="H722" s="15">
        <v>41.55</v>
      </c>
      <c r="I722" s="13">
        <v>4</v>
      </c>
      <c r="J722" s="13">
        <v>4</v>
      </c>
      <c r="K722" s="13" t="s">
        <v>3346</v>
      </c>
      <c r="L722" s="15">
        <v>10.387499999999999</v>
      </c>
      <c r="M722" s="16">
        <v>10.387499999999999</v>
      </c>
    </row>
    <row r="723" spans="1:13" s="5" customFormat="1" x14ac:dyDescent="0.25">
      <c r="A723" s="12" t="s">
        <v>1433</v>
      </c>
      <c r="B723" s="13" t="s">
        <v>1434</v>
      </c>
      <c r="C723" s="14">
        <v>45537</v>
      </c>
      <c r="D723" s="13">
        <v>2024</v>
      </c>
      <c r="E723" s="13" t="s">
        <v>14</v>
      </c>
      <c r="F723" s="13" t="s">
        <v>25</v>
      </c>
      <c r="G723" s="15">
        <v>1809.1</v>
      </c>
      <c r="H723" s="15">
        <v>1809.1</v>
      </c>
      <c r="I723" s="13">
        <v>8</v>
      </c>
      <c r="J723" s="13">
        <v>8</v>
      </c>
      <c r="K723" s="13" t="s">
        <v>35</v>
      </c>
      <c r="L723" s="15">
        <v>226.13749999999999</v>
      </c>
      <c r="M723" s="16">
        <v>226.13749999999999</v>
      </c>
    </row>
    <row r="724" spans="1:13" s="5" customFormat="1" x14ac:dyDescent="0.25">
      <c r="A724" s="12" t="s">
        <v>1435</v>
      </c>
      <c r="B724" s="13" t="s">
        <v>1436</v>
      </c>
      <c r="C724" s="14">
        <v>45012</v>
      </c>
      <c r="D724" s="13">
        <v>2023</v>
      </c>
      <c r="E724" s="13" t="s">
        <v>10</v>
      </c>
      <c r="F724" s="13" t="s">
        <v>25</v>
      </c>
      <c r="G724" s="15">
        <v>150.75611111111112</v>
      </c>
      <c r="H724" s="15">
        <v>150.75611111111112</v>
      </c>
      <c r="I724" s="13">
        <v>1</v>
      </c>
      <c r="J724" s="13">
        <v>1</v>
      </c>
      <c r="K724" s="13" t="s">
        <v>35</v>
      </c>
      <c r="L724" s="15">
        <v>150.75611111111112</v>
      </c>
      <c r="M724" s="16">
        <v>150.75611111111112</v>
      </c>
    </row>
    <row r="725" spans="1:13" s="5" customFormat="1" x14ac:dyDescent="0.25">
      <c r="A725" s="12" t="s">
        <v>1437</v>
      </c>
      <c r="B725" s="13" t="s">
        <v>1438</v>
      </c>
      <c r="C725" s="14">
        <v>45696</v>
      </c>
      <c r="D725" s="13">
        <v>2025</v>
      </c>
      <c r="E725" s="13" t="s">
        <v>10</v>
      </c>
      <c r="F725" s="13" t="s">
        <v>25</v>
      </c>
      <c r="G725" s="15">
        <v>987.47</v>
      </c>
      <c r="H725" s="15">
        <v>987.47</v>
      </c>
      <c r="I725" s="13">
        <v>8</v>
      </c>
      <c r="J725" s="13">
        <v>8</v>
      </c>
      <c r="K725" s="13" t="s">
        <v>15</v>
      </c>
      <c r="L725" s="15">
        <v>123.43375</v>
      </c>
      <c r="M725" s="16">
        <v>123.43375</v>
      </c>
    </row>
    <row r="726" spans="1:13" s="5" customFormat="1" x14ac:dyDescent="0.25">
      <c r="A726" s="12" t="s">
        <v>1439</v>
      </c>
      <c r="B726" s="13" t="s">
        <v>1440</v>
      </c>
      <c r="C726" s="14">
        <v>45934</v>
      </c>
      <c r="D726" s="13">
        <v>2025</v>
      </c>
      <c r="E726" s="13" t="s">
        <v>21</v>
      </c>
      <c r="F726" s="13" t="s">
        <v>22</v>
      </c>
      <c r="G726" s="15">
        <v>1974.81</v>
      </c>
      <c r="H726" s="15">
        <v>1974.81</v>
      </c>
      <c r="I726" s="13">
        <v>2</v>
      </c>
      <c r="J726" s="13">
        <v>2</v>
      </c>
      <c r="K726" s="13" t="s">
        <v>3346</v>
      </c>
      <c r="L726" s="15">
        <v>987.40499999999997</v>
      </c>
      <c r="M726" s="16">
        <v>987.40499999999997</v>
      </c>
    </row>
    <row r="727" spans="1:13" s="5" customFormat="1" x14ac:dyDescent="0.25">
      <c r="A727" s="12" t="s">
        <v>1441</v>
      </c>
      <c r="B727" s="13" t="s">
        <v>1442</v>
      </c>
      <c r="C727" s="14">
        <v>45787</v>
      </c>
      <c r="D727" s="13">
        <v>2025</v>
      </c>
      <c r="E727" s="13" t="s">
        <v>21</v>
      </c>
      <c r="F727" s="13" t="s">
        <v>22</v>
      </c>
      <c r="G727" s="15">
        <v>678.86</v>
      </c>
      <c r="H727" s="15">
        <v>678.86</v>
      </c>
      <c r="I727" s="13">
        <v>2</v>
      </c>
      <c r="J727" s="13">
        <v>2</v>
      </c>
      <c r="K727" s="13" t="s">
        <v>35</v>
      </c>
      <c r="L727" s="15">
        <v>339.43</v>
      </c>
      <c r="M727" s="16">
        <v>339.43</v>
      </c>
    </row>
    <row r="728" spans="1:13" s="5" customFormat="1" x14ac:dyDescent="0.25">
      <c r="A728" s="12" t="s">
        <v>1443</v>
      </c>
      <c r="B728" s="13" t="s">
        <v>360</v>
      </c>
      <c r="C728" s="14">
        <v>45148</v>
      </c>
      <c r="D728" s="13">
        <v>2023</v>
      </c>
      <c r="E728" s="13" t="s">
        <v>10</v>
      </c>
      <c r="F728" s="13" t="s">
        <v>34</v>
      </c>
      <c r="G728" s="15">
        <v>1330.96</v>
      </c>
      <c r="H728" s="15">
        <v>1330.96</v>
      </c>
      <c r="I728" s="13">
        <v>5</v>
      </c>
      <c r="J728" s="13">
        <v>5</v>
      </c>
      <c r="K728" s="13" t="s">
        <v>15</v>
      </c>
      <c r="L728" s="15">
        <v>266.19200000000001</v>
      </c>
      <c r="M728" s="16">
        <v>266.19200000000001</v>
      </c>
    </row>
    <row r="729" spans="1:13" s="5" customFormat="1" x14ac:dyDescent="0.25">
      <c r="A729" s="12" t="s">
        <v>1444</v>
      </c>
      <c r="B729" s="13" t="s">
        <v>1445</v>
      </c>
      <c r="C729" s="14">
        <v>45902</v>
      </c>
      <c r="D729" s="13">
        <v>2025</v>
      </c>
      <c r="E729" s="13" t="s">
        <v>21</v>
      </c>
      <c r="F729" s="13" t="s">
        <v>34</v>
      </c>
      <c r="G729" s="15">
        <v>807.51</v>
      </c>
      <c r="H729" s="15">
        <v>807.51</v>
      </c>
      <c r="I729" s="13">
        <v>4</v>
      </c>
      <c r="J729" s="13">
        <v>4</v>
      </c>
      <c r="K729" s="13" t="s">
        <v>3348</v>
      </c>
      <c r="L729" s="15">
        <v>201.8775</v>
      </c>
      <c r="M729" s="16">
        <v>201.8775</v>
      </c>
    </row>
    <row r="730" spans="1:13" s="5" customFormat="1" x14ac:dyDescent="0.25">
      <c r="A730" s="12" t="s">
        <v>1446</v>
      </c>
      <c r="B730" s="13" t="s">
        <v>1447</v>
      </c>
      <c r="C730" s="14">
        <v>45338</v>
      </c>
      <c r="D730" s="13">
        <v>2024</v>
      </c>
      <c r="E730" s="13" t="s">
        <v>14</v>
      </c>
      <c r="F730" s="13" t="s">
        <v>34</v>
      </c>
      <c r="G730" s="15">
        <v>527.04</v>
      </c>
      <c r="H730" s="15">
        <v>527.04</v>
      </c>
      <c r="I730" s="13">
        <v>7</v>
      </c>
      <c r="J730" s="13">
        <v>7</v>
      </c>
      <c r="K730" s="13" t="s">
        <v>15</v>
      </c>
      <c r="L730" s="15">
        <v>75.291428571428568</v>
      </c>
      <c r="M730" s="16">
        <v>75.291428571428568</v>
      </c>
    </row>
    <row r="731" spans="1:13" s="5" customFormat="1" x14ac:dyDescent="0.25">
      <c r="A731" s="12" t="s">
        <v>1448</v>
      </c>
      <c r="B731" s="13" t="s">
        <v>1449</v>
      </c>
      <c r="C731" s="14">
        <v>45209</v>
      </c>
      <c r="D731" s="13">
        <v>2023</v>
      </c>
      <c r="E731" s="13" t="s">
        <v>14</v>
      </c>
      <c r="F731" s="13" t="s">
        <v>22</v>
      </c>
      <c r="G731" s="15">
        <v>1844.128476190476</v>
      </c>
      <c r="H731" s="15">
        <v>1844.128476190476</v>
      </c>
      <c r="I731" s="13">
        <v>8</v>
      </c>
      <c r="J731" s="13">
        <v>8</v>
      </c>
      <c r="K731" s="13" t="s">
        <v>18</v>
      </c>
      <c r="L731" s="15">
        <v>230.5160595238095</v>
      </c>
      <c r="M731" s="16">
        <v>230.5160595238095</v>
      </c>
    </row>
    <row r="732" spans="1:13" s="5" customFormat="1" x14ac:dyDescent="0.25">
      <c r="A732" s="12" t="s">
        <v>1450</v>
      </c>
      <c r="B732" s="13" t="s">
        <v>1451</v>
      </c>
      <c r="C732" s="14">
        <v>45320</v>
      </c>
      <c r="D732" s="13">
        <v>2024</v>
      </c>
      <c r="E732" s="13" t="s">
        <v>10</v>
      </c>
      <c r="F732" s="13" t="s">
        <v>11</v>
      </c>
      <c r="G732" s="15">
        <v>834.68</v>
      </c>
      <c r="H732" s="15">
        <v>834.68</v>
      </c>
      <c r="I732" s="13">
        <v>3</v>
      </c>
      <c r="J732" s="13">
        <v>3</v>
      </c>
      <c r="K732" s="13" t="s">
        <v>3346</v>
      </c>
      <c r="L732" s="15">
        <v>278.22666666666663</v>
      </c>
      <c r="M732" s="16">
        <v>278.22666666666663</v>
      </c>
    </row>
    <row r="733" spans="1:13" s="5" customFormat="1" x14ac:dyDescent="0.25">
      <c r="A733" s="12" t="s">
        <v>1452</v>
      </c>
      <c r="B733" s="13" t="s">
        <v>1170</v>
      </c>
      <c r="C733" s="14">
        <v>45124</v>
      </c>
      <c r="D733" s="13">
        <v>2023</v>
      </c>
      <c r="E733" s="13" t="s">
        <v>3347</v>
      </c>
      <c r="F733" s="13" t="s">
        <v>22</v>
      </c>
      <c r="G733" s="15">
        <v>179.44</v>
      </c>
      <c r="H733" s="15">
        <v>179.44</v>
      </c>
      <c r="I733" s="13">
        <v>2</v>
      </c>
      <c r="J733" s="13">
        <v>2</v>
      </c>
      <c r="K733" s="13" t="s">
        <v>15</v>
      </c>
      <c r="L733" s="15">
        <v>89.72</v>
      </c>
      <c r="M733" s="16">
        <v>89.72</v>
      </c>
    </row>
    <row r="734" spans="1:13" s="5" customFormat="1" x14ac:dyDescent="0.25">
      <c r="A734" s="12" t="s">
        <v>1453</v>
      </c>
      <c r="B734" s="13" t="s">
        <v>1454</v>
      </c>
      <c r="C734" s="14">
        <v>44987</v>
      </c>
      <c r="D734" s="13">
        <v>2023</v>
      </c>
      <c r="E734" s="13" t="s">
        <v>10</v>
      </c>
      <c r="F734" s="13" t="s">
        <v>22</v>
      </c>
      <c r="G734" s="15">
        <v>1610.52</v>
      </c>
      <c r="H734" s="15">
        <v>1610.52</v>
      </c>
      <c r="I734" s="13">
        <v>4</v>
      </c>
      <c r="J734" s="13">
        <v>4</v>
      </c>
      <c r="K734" s="13" t="s">
        <v>35</v>
      </c>
      <c r="L734" s="15">
        <v>402.63</v>
      </c>
      <c r="M734" s="16">
        <v>402.63</v>
      </c>
    </row>
    <row r="735" spans="1:13" s="5" customFormat="1" x14ac:dyDescent="0.25">
      <c r="A735" s="12" t="s">
        <v>1455</v>
      </c>
      <c r="B735" s="13" t="s">
        <v>1456</v>
      </c>
      <c r="C735" s="14">
        <v>45094</v>
      </c>
      <c r="D735" s="13">
        <v>2023</v>
      </c>
      <c r="E735" s="13" t="s">
        <v>14</v>
      </c>
      <c r="F735" s="13" t="s">
        <v>34</v>
      </c>
      <c r="G735" s="15">
        <v>1277.25</v>
      </c>
      <c r="H735" s="15">
        <v>1277.25</v>
      </c>
      <c r="I735" s="13">
        <v>2</v>
      </c>
      <c r="J735" s="13">
        <v>2</v>
      </c>
      <c r="K735" s="13" t="s">
        <v>35</v>
      </c>
      <c r="L735" s="15">
        <v>638.625</v>
      </c>
      <c r="M735" s="16">
        <v>524.29053472222222</v>
      </c>
    </row>
    <row r="736" spans="1:13" s="5" customFormat="1" x14ac:dyDescent="0.25">
      <c r="A736" s="12" t="s">
        <v>1457</v>
      </c>
      <c r="B736" s="13" t="s">
        <v>1458</v>
      </c>
      <c r="C736" s="14">
        <v>45100</v>
      </c>
      <c r="D736" s="13">
        <v>2023</v>
      </c>
      <c r="E736" s="13" t="s">
        <v>10</v>
      </c>
      <c r="F736" s="13" t="s">
        <v>22</v>
      </c>
      <c r="G736" s="15">
        <v>270.24</v>
      </c>
      <c r="H736" s="15">
        <v>270.24</v>
      </c>
      <c r="I736" s="13">
        <v>4</v>
      </c>
      <c r="J736" s="13">
        <v>4</v>
      </c>
      <c r="K736" s="13" t="s">
        <v>15</v>
      </c>
      <c r="L736" s="15">
        <v>67.56</v>
      </c>
      <c r="M736" s="16">
        <v>67.56</v>
      </c>
    </row>
    <row r="737" spans="1:13" s="5" customFormat="1" x14ac:dyDescent="0.25">
      <c r="A737" s="12" t="s">
        <v>1459</v>
      </c>
      <c r="B737" s="13" t="s">
        <v>1460</v>
      </c>
      <c r="C737" s="14">
        <v>45820</v>
      </c>
      <c r="D737" s="13">
        <v>2025</v>
      </c>
      <c r="E737" s="13" t="s">
        <v>3347</v>
      </c>
      <c r="F737" s="13" t="s">
        <v>11</v>
      </c>
      <c r="G737" s="15">
        <v>958.63611111111118</v>
      </c>
      <c r="H737" s="15">
        <v>958.63611111111118</v>
      </c>
      <c r="I737" s="13">
        <v>6</v>
      </c>
      <c r="J737" s="13">
        <v>6</v>
      </c>
      <c r="K737" s="13" t="s">
        <v>3346</v>
      </c>
      <c r="L737" s="15">
        <v>159.7726851851852</v>
      </c>
      <c r="M737" s="16">
        <v>159.7726851851852</v>
      </c>
    </row>
    <row r="738" spans="1:13" s="5" customFormat="1" x14ac:dyDescent="0.25">
      <c r="A738" s="12" t="s">
        <v>1461</v>
      </c>
      <c r="B738" s="13" t="s">
        <v>1462</v>
      </c>
      <c r="C738" s="14">
        <v>45160</v>
      </c>
      <c r="D738" s="13">
        <v>2023</v>
      </c>
      <c r="E738" s="13" t="s">
        <v>14</v>
      </c>
      <c r="F738" s="13" t="s">
        <v>25</v>
      </c>
      <c r="G738" s="15">
        <v>975.31</v>
      </c>
      <c r="H738" s="15">
        <v>975.31</v>
      </c>
      <c r="I738" s="13">
        <v>10</v>
      </c>
      <c r="J738" s="13">
        <v>10</v>
      </c>
      <c r="K738" s="13" t="s">
        <v>3346</v>
      </c>
      <c r="L738" s="15">
        <v>97.530999999999992</v>
      </c>
      <c r="M738" s="16">
        <v>97.530999999999992</v>
      </c>
    </row>
    <row r="739" spans="1:13" s="5" customFormat="1" x14ac:dyDescent="0.25">
      <c r="A739" s="12" t="s">
        <v>1463</v>
      </c>
      <c r="B739" s="13" t="s">
        <v>1464</v>
      </c>
      <c r="C739" s="14">
        <v>45591</v>
      </c>
      <c r="D739" s="13">
        <v>2024</v>
      </c>
      <c r="E739" s="13" t="s">
        <v>21</v>
      </c>
      <c r="F739" s="13" t="s">
        <v>34</v>
      </c>
      <c r="G739" s="15">
        <v>824.06</v>
      </c>
      <c r="H739" s="15">
        <v>824.06</v>
      </c>
      <c r="I739" s="13">
        <v>7</v>
      </c>
      <c r="J739" s="13">
        <v>7</v>
      </c>
      <c r="K739" s="13" t="s">
        <v>35</v>
      </c>
      <c r="L739" s="15">
        <v>117.72285714285714</v>
      </c>
      <c r="M739" s="16">
        <v>117.72285714285714</v>
      </c>
    </row>
    <row r="740" spans="1:13" s="5" customFormat="1" x14ac:dyDescent="0.25">
      <c r="A740" s="12" t="s">
        <v>1465</v>
      </c>
      <c r="B740" s="13" t="s">
        <v>1466</v>
      </c>
      <c r="C740" s="14">
        <v>44923</v>
      </c>
      <c r="D740" s="13">
        <v>2022</v>
      </c>
      <c r="E740" s="13" t="s">
        <v>14</v>
      </c>
      <c r="F740" s="13" t="s">
        <v>34</v>
      </c>
      <c r="G740" s="15">
        <v>744.37</v>
      </c>
      <c r="H740" s="15">
        <v>744.37</v>
      </c>
      <c r="I740" s="13">
        <v>4</v>
      </c>
      <c r="J740" s="13">
        <v>4</v>
      </c>
      <c r="K740" s="13" t="s">
        <v>35</v>
      </c>
      <c r="L740" s="15">
        <v>186.0925</v>
      </c>
      <c r="M740" s="16">
        <v>184.23020833333334</v>
      </c>
    </row>
    <row r="741" spans="1:13" s="5" customFormat="1" x14ac:dyDescent="0.25">
      <c r="A741" s="12" t="s">
        <v>1467</v>
      </c>
      <c r="B741" s="13" t="s">
        <v>1468</v>
      </c>
      <c r="C741" s="14">
        <v>45484</v>
      </c>
      <c r="D741" s="13">
        <v>2024</v>
      </c>
      <c r="E741" s="13" t="s">
        <v>3347</v>
      </c>
      <c r="F741" s="13" t="s">
        <v>34</v>
      </c>
      <c r="G741" s="15">
        <v>1102.5999999999999</v>
      </c>
      <c r="H741" s="15">
        <v>1102.5999999999999</v>
      </c>
      <c r="I741" s="13">
        <v>2</v>
      </c>
      <c r="J741" s="13">
        <v>2</v>
      </c>
      <c r="K741" s="13" t="s">
        <v>3346</v>
      </c>
      <c r="L741" s="15">
        <v>551.29999999999995</v>
      </c>
      <c r="M741" s="16">
        <v>551.29999999999995</v>
      </c>
    </row>
    <row r="742" spans="1:13" s="5" customFormat="1" x14ac:dyDescent="0.25">
      <c r="A742" s="12" t="s">
        <v>1469</v>
      </c>
      <c r="B742" s="13" t="s">
        <v>1470</v>
      </c>
      <c r="C742" s="14">
        <v>45654</v>
      </c>
      <c r="D742" s="13">
        <v>2024</v>
      </c>
      <c r="E742" s="13" t="s">
        <v>3347</v>
      </c>
      <c r="F742" s="13" t="s">
        <v>22</v>
      </c>
      <c r="G742" s="15">
        <v>1139.08</v>
      </c>
      <c r="H742" s="15">
        <v>1139.08</v>
      </c>
      <c r="I742" s="13">
        <v>3</v>
      </c>
      <c r="J742" s="13">
        <v>3</v>
      </c>
      <c r="K742" s="13" t="s">
        <v>18</v>
      </c>
      <c r="L742" s="15">
        <v>379.69333333333333</v>
      </c>
      <c r="M742" s="16">
        <v>379.69333333333333</v>
      </c>
    </row>
    <row r="743" spans="1:13" s="5" customFormat="1" x14ac:dyDescent="0.25">
      <c r="A743" s="12" t="s">
        <v>1471</v>
      </c>
      <c r="B743" s="13" t="s">
        <v>1472</v>
      </c>
      <c r="C743" s="14">
        <v>45357</v>
      </c>
      <c r="D743" s="13">
        <v>2024</v>
      </c>
      <c r="E743" s="13" t="s">
        <v>14</v>
      </c>
      <c r="F743" s="13" t="s">
        <v>22</v>
      </c>
      <c r="G743" s="15">
        <v>1771.7204166666668</v>
      </c>
      <c r="H743" s="15">
        <v>1771.7204166666668</v>
      </c>
      <c r="I743" s="13">
        <v>7</v>
      </c>
      <c r="J743" s="13">
        <v>7</v>
      </c>
      <c r="K743" s="13" t="s">
        <v>15</v>
      </c>
      <c r="L743" s="15">
        <v>253.10291666666669</v>
      </c>
      <c r="M743" s="16">
        <v>253.10291666666669</v>
      </c>
    </row>
    <row r="744" spans="1:13" s="5" customFormat="1" x14ac:dyDescent="0.25">
      <c r="A744" s="12" t="s">
        <v>1473</v>
      </c>
      <c r="B744" s="13" t="s">
        <v>1474</v>
      </c>
      <c r="C744" s="14">
        <v>45239</v>
      </c>
      <c r="D744" s="13">
        <v>2023</v>
      </c>
      <c r="E744" s="13" t="s">
        <v>10</v>
      </c>
      <c r="F744" s="13" t="s">
        <v>22</v>
      </c>
      <c r="G744" s="15">
        <v>1046.73</v>
      </c>
      <c r="H744" s="15">
        <v>1046.73</v>
      </c>
      <c r="I744" s="13">
        <v>9</v>
      </c>
      <c r="J744" s="13">
        <v>9</v>
      </c>
      <c r="K744" s="13" t="s">
        <v>18</v>
      </c>
      <c r="L744" s="15">
        <v>116.30333333333334</v>
      </c>
      <c r="M744" s="16">
        <v>116.30333333333334</v>
      </c>
    </row>
    <row r="745" spans="1:13" s="5" customFormat="1" x14ac:dyDescent="0.25">
      <c r="A745" s="12" t="s">
        <v>1475</v>
      </c>
      <c r="B745" s="13" t="s">
        <v>1476</v>
      </c>
      <c r="C745" s="14">
        <v>45780</v>
      </c>
      <c r="D745" s="13">
        <v>2025</v>
      </c>
      <c r="E745" s="13" t="s">
        <v>14</v>
      </c>
      <c r="F745" s="13" t="s">
        <v>11</v>
      </c>
      <c r="G745" s="15">
        <v>369.01</v>
      </c>
      <c r="H745" s="15">
        <v>369.01</v>
      </c>
      <c r="I745" s="13">
        <v>3</v>
      </c>
      <c r="J745" s="13">
        <v>3</v>
      </c>
      <c r="K745" s="13" t="s">
        <v>35</v>
      </c>
      <c r="L745" s="15">
        <v>123.00333333333333</v>
      </c>
      <c r="M745" s="16">
        <v>123.00333333333333</v>
      </c>
    </row>
    <row r="746" spans="1:13" s="5" customFormat="1" x14ac:dyDescent="0.25">
      <c r="A746" s="12" t="s">
        <v>1477</v>
      </c>
      <c r="B746" s="13" t="s">
        <v>1478</v>
      </c>
      <c r="C746" s="14">
        <v>44942</v>
      </c>
      <c r="D746" s="13">
        <v>2023</v>
      </c>
      <c r="E746" s="13" t="s">
        <v>10</v>
      </c>
      <c r="F746" s="13" t="s">
        <v>25</v>
      </c>
      <c r="G746" s="15">
        <v>1335.88</v>
      </c>
      <c r="H746" s="15">
        <v>1335.88</v>
      </c>
      <c r="I746" s="13">
        <v>4</v>
      </c>
      <c r="J746" s="13">
        <v>4</v>
      </c>
      <c r="K746" s="13" t="s">
        <v>3348</v>
      </c>
      <c r="L746" s="15">
        <v>333.97</v>
      </c>
      <c r="M746" s="16">
        <v>334.60292857142855</v>
      </c>
    </row>
    <row r="747" spans="1:13" s="5" customFormat="1" x14ac:dyDescent="0.25">
      <c r="A747" s="12" t="s">
        <v>1479</v>
      </c>
      <c r="B747" s="13" t="s">
        <v>1480</v>
      </c>
      <c r="C747" s="14">
        <v>45278</v>
      </c>
      <c r="D747" s="13">
        <v>2023</v>
      </c>
      <c r="E747" s="13" t="s">
        <v>3347</v>
      </c>
      <c r="F747" s="13" t="s">
        <v>22</v>
      </c>
      <c r="G747" s="15">
        <v>1904.71</v>
      </c>
      <c r="H747" s="15">
        <v>1904.71</v>
      </c>
      <c r="I747" s="13">
        <v>2</v>
      </c>
      <c r="J747" s="13">
        <v>2</v>
      </c>
      <c r="K747" s="13" t="s">
        <v>35</v>
      </c>
      <c r="L747" s="15">
        <v>952.35500000000002</v>
      </c>
      <c r="M747" s="16">
        <v>952.35500000000002</v>
      </c>
    </row>
    <row r="748" spans="1:13" s="5" customFormat="1" x14ac:dyDescent="0.25">
      <c r="A748" s="12" t="s">
        <v>1481</v>
      </c>
      <c r="B748" s="13" t="s">
        <v>1482</v>
      </c>
      <c r="C748" s="14">
        <v>45911</v>
      </c>
      <c r="D748" s="13">
        <v>2025</v>
      </c>
      <c r="E748" s="13" t="s">
        <v>3347</v>
      </c>
      <c r="F748" s="13" t="s">
        <v>22</v>
      </c>
      <c r="G748" s="15">
        <v>340.11</v>
      </c>
      <c r="H748" s="15">
        <v>340.11</v>
      </c>
      <c r="I748" s="13">
        <v>4</v>
      </c>
      <c r="J748" s="13">
        <v>4</v>
      </c>
      <c r="K748" s="13" t="s">
        <v>3348</v>
      </c>
      <c r="L748" s="15">
        <v>85.027500000000003</v>
      </c>
      <c r="M748" s="16">
        <v>85.027500000000003</v>
      </c>
    </row>
    <row r="749" spans="1:13" s="5" customFormat="1" x14ac:dyDescent="0.25">
      <c r="A749" s="12" t="s">
        <v>1483</v>
      </c>
      <c r="B749" s="13" t="s">
        <v>1484</v>
      </c>
      <c r="C749" s="14">
        <v>45398</v>
      </c>
      <c r="D749" s="13">
        <v>2024</v>
      </c>
      <c r="E749" s="13" t="s">
        <v>3347</v>
      </c>
      <c r="F749" s="13" t="s">
        <v>11</v>
      </c>
      <c r="G749" s="15">
        <v>1192.0999999999999</v>
      </c>
      <c r="H749" s="15">
        <v>1192.0999999999999</v>
      </c>
      <c r="I749" s="13">
        <v>8</v>
      </c>
      <c r="J749" s="13">
        <v>8</v>
      </c>
      <c r="K749" s="13" t="s">
        <v>35</v>
      </c>
      <c r="L749" s="15">
        <v>149.01249999999999</v>
      </c>
      <c r="M749" s="16">
        <v>149.01249999999999</v>
      </c>
    </row>
    <row r="750" spans="1:13" s="5" customFormat="1" x14ac:dyDescent="0.25">
      <c r="A750" s="12" t="s">
        <v>1485</v>
      </c>
      <c r="B750" s="13" t="s">
        <v>1486</v>
      </c>
      <c r="C750" s="14">
        <v>44893</v>
      </c>
      <c r="D750" s="13">
        <v>2022</v>
      </c>
      <c r="E750" s="13" t="s">
        <v>10</v>
      </c>
      <c r="F750" s="13" t="s">
        <v>34</v>
      </c>
      <c r="G750" s="15">
        <v>1760.9</v>
      </c>
      <c r="H750" s="15">
        <v>1760.9</v>
      </c>
      <c r="I750" s="13">
        <v>2</v>
      </c>
      <c r="J750" s="13">
        <v>2</v>
      </c>
      <c r="K750" s="13" t="s">
        <v>15</v>
      </c>
      <c r="L750" s="15">
        <v>880.45</v>
      </c>
      <c r="M750" s="16">
        <v>880.45</v>
      </c>
    </row>
    <row r="751" spans="1:13" s="5" customFormat="1" x14ac:dyDescent="0.25">
      <c r="A751" s="12" t="s">
        <v>1487</v>
      </c>
      <c r="B751" s="13" t="s">
        <v>1488</v>
      </c>
      <c r="C751" s="14">
        <v>45848</v>
      </c>
      <c r="D751" s="13">
        <v>2025</v>
      </c>
      <c r="E751" s="13" t="s">
        <v>14</v>
      </c>
      <c r="F751" s="13" t="s">
        <v>22</v>
      </c>
      <c r="G751" s="15">
        <v>1716.52</v>
      </c>
      <c r="H751" s="15">
        <v>1716.52</v>
      </c>
      <c r="I751" s="13">
        <v>3</v>
      </c>
      <c r="J751" s="13">
        <v>3</v>
      </c>
      <c r="K751" s="13" t="s">
        <v>3346</v>
      </c>
      <c r="L751" s="15">
        <v>572.17333333333329</v>
      </c>
      <c r="M751" s="16">
        <v>572.17333333333329</v>
      </c>
    </row>
    <row r="752" spans="1:13" s="5" customFormat="1" x14ac:dyDescent="0.25">
      <c r="A752" s="12" t="s">
        <v>1489</v>
      </c>
      <c r="B752" s="13" t="s">
        <v>1490</v>
      </c>
      <c r="C752" s="14">
        <v>44937</v>
      </c>
      <c r="D752" s="13">
        <v>2023</v>
      </c>
      <c r="E752" s="13" t="s">
        <v>21</v>
      </c>
      <c r="F752" s="13" t="s">
        <v>22</v>
      </c>
      <c r="G752" s="15">
        <v>1964.07</v>
      </c>
      <c r="H752" s="15">
        <v>1964.07</v>
      </c>
      <c r="I752" s="13">
        <v>10</v>
      </c>
      <c r="J752" s="13">
        <v>10</v>
      </c>
      <c r="K752" s="13" t="s">
        <v>3346</v>
      </c>
      <c r="L752" s="15">
        <v>196.40699999999998</v>
      </c>
      <c r="M752" s="16">
        <v>196.40699999999998</v>
      </c>
    </row>
    <row r="753" spans="1:13" s="5" customFormat="1" x14ac:dyDescent="0.25">
      <c r="A753" s="12" t="s">
        <v>1491</v>
      </c>
      <c r="B753" s="13" t="s">
        <v>1492</v>
      </c>
      <c r="C753" s="14">
        <v>45030</v>
      </c>
      <c r="D753" s="13">
        <v>2023</v>
      </c>
      <c r="E753" s="13" t="s">
        <v>10</v>
      </c>
      <c r="F753" s="13" t="s">
        <v>34</v>
      </c>
      <c r="G753" s="15">
        <v>1843.72</v>
      </c>
      <c r="H753" s="15">
        <v>1843.72</v>
      </c>
      <c r="I753" s="13">
        <v>7</v>
      </c>
      <c r="J753" s="13">
        <v>7</v>
      </c>
      <c r="K753" s="13" t="s">
        <v>18</v>
      </c>
      <c r="L753" s="15">
        <v>263.38857142857142</v>
      </c>
      <c r="M753" s="16">
        <v>263.38857142857142</v>
      </c>
    </row>
    <row r="754" spans="1:13" s="5" customFormat="1" x14ac:dyDescent="0.25">
      <c r="A754" s="12" t="s">
        <v>1493</v>
      </c>
      <c r="B754" s="13" t="s">
        <v>1494</v>
      </c>
      <c r="C754" s="14">
        <v>45494</v>
      </c>
      <c r="D754" s="13">
        <v>2024</v>
      </c>
      <c r="E754" s="13" t="s">
        <v>10</v>
      </c>
      <c r="F754" s="13" t="s">
        <v>25</v>
      </c>
      <c r="G754" s="15">
        <v>796.37</v>
      </c>
      <c r="H754" s="15">
        <v>796.37</v>
      </c>
      <c r="I754" s="13">
        <v>4</v>
      </c>
      <c r="J754" s="13">
        <v>4</v>
      </c>
      <c r="K754" s="13" t="s">
        <v>35</v>
      </c>
      <c r="L754" s="15">
        <v>199.0925</v>
      </c>
      <c r="M754" s="16">
        <v>199.0925</v>
      </c>
    </row>
    <row r="755" spans="1:13" s="5" customFormat="1" x14ac:dyDescent="0.25">
      <c r="A755" s="12" t="s">
        <v>1495</v>
      </c>
      <c r="B755" s="13" t="s">
        <v>1496</v>
      </c>
      <c r="C755" s="14">
        <v>45768</v>
      </c>
      <c r="D755" s="13">
        <v>2025</v>
      </c>
      <c r="E755" s="13" t="s">
        <v>10</v>
      </c>
      <c r="F755" s="13" t="s">
        <v>25</v>
      </c>
      <c r="G755" s="15">
        <v>614.44000000000005</v>
      </c>
      <c r="H755" s="15">
        <v>614.44000000000005</v>
      </c>
      <c r="I755" s="13">
        <v>10</v>
      </c>
      <c r="J755" s="13">
        <v>10</v>
      </c>
      <c r="K755" s="13" t="s">
        <v>18</v>
      </c>
      <c r="L755" s="15">
        <v>61.444000000000003</v>
      </c>
      <c r="M755" s="16">
        <v>61.444000000000003</v>
      </c>
    </row>
    <row r="756" spans="1:13" s="5" customFormat="1" x14ac:dyDescent="0.25">
      <c r="A756" s="12" t="s">
        <v>1497</v>
      </c>
      <c r="B756" s="13" t="s">
        <v>1498</v>
      </c>
      <c r="C756" s="14">
        <v>45320</v>
      </c>
      <c r="D756" s="13">
        <v>2024</v>
      </c>
      <c r="E756" s="13" t="s">
        <v>10</v>
      </c>
      <c r="F756" s="13" t="s">
        <v>22</v>
      </c>
      <c r="G756" s="15">
        <v>654.41</v>
      </c>
      <c r="H756" s="15">
        <v>654.41</v>
      </c>
      <c r="I756" s="13">
        <v>3</v>
      </c>
      <c r="J756" s="13">
        <v>3</v>
      </c>
      <c r="K756" s="13" t="s">
        <v>3346</v>
      </c>
      <c r="L756" s="15">
        <v>218.13666666666666</v>
      </c>
      <c r="M756" s="16">
        <v>218.13666666666666</v>
      </c>
    </row>
    <row r="757" spans="1:13" s="5" customFormat="1" x14ac:dyDescent="0.25">
      <c r="A757" s="12" t="s">
        <v>1499</v>
      </c>
      <c r="B757" s="13" t="s">
        <v>1500</v>
      </c>
      <c r="C757" s="14">
        <v>44915</v>
      </c>
      <c r="D757" s="13">
        <v>2022</v>
      </c>
      <c r="E757" s="13" t="s">
        <v>10</v>
      </c>
      <c r="F757" s="13" t="s">
        <v>25</v>
      </c>
      <c r="G757" s="15">
        <v>984.36</v>
      </c>
      <c r="H757" s="15">
        <v>984.36</v>
      </c>
      <c r="I757" s="13">
        <v>10</v>
      </c>
      <c r="J757" s="13">
        <v>10</v>
      </c>
      <c r="K757" s="13" t="s">
        <v>3346</v>
      </c>
      <c r="L757" s="15">
        <v>98.436000000000007</v>
      </c>
      <c r="M757" s="16">
        <v>98.436000000000007</v>
      </c>
    </row>
    <row r="758" spans="1:13" s="5" customFormat="1" x14ac:dyDescent="0.25">
      <c r="A758" s="12" t="s">
        <v>1501</v>
      </c>
      <c r="B758" s="13" t="s">
        <v>1502</v>
      </c>
      <c r="C758" s="14">
        <v>44984</v>
      </c>
      <c r="D758" s="13">
        <v>2023</v>
      </c>
      <c r="E758" s="13" t="s">
        <v>14</v>
      </c>
      <c r="F758" s="13" t="s">
        <v>34</v>
      </c>
      <c r="G758" s="15">
        <v>1849.65</v>
      </c>
      <c r="H758" s="15">
        <v>1849.65</v>
      </c>
      <c r="I758" s="13">
        <v>8</v>
      </c>
      <c r="J758" s="13">
        <v>8</v>
      </c>
      <c r="K758" s="13" t="s">
        <v>15</v>
      </c>
      <c r="L758" s="15">
        <v>231.20625000000001</v>
      </c>
      <c r="M758" s="16">
        <v>231.20625000000001</v>
      </c>
    </row>
    <row r="759" spans="1:13" s="5" customFormat="1" x14ac:dyDescent="0.25">
      <c r="A759" s="12" t="s">
        <v>1503</v>
      </c>
      <c r="B759" s="13" t="s">
        <v>1504</v>
      </c>
      <c r="C759" s="14">
        <v>45847</v>
      </c>
      <c r="D759" s="13">
        <v>2025</v>
      </c>
      <c r="E759" s="13" t="s">
        <v>21</v>
      </c>
      <c r="F759" s="13" t="s">
        <v>11</v>
      </c>
      <c r="G759" s="15">
        <v>1464.12</v>
      </c>
      <c r="H759" s="15">
        <v>1464.12</v>
      </c>
      <c r="I759" s="13">
        <v>10</v>
      </c>
      <c r="J759" s="13">
        <v>10</v>
      </c>
      <c r="K759" s="13" t="s">
        <v>18</v>
      </c>
      <c r="L759" s="15">
        <v>146.41199999999998</v>
      </c>
      <c r="M759" s="16">
        <v>146.41199999999998</v>
      </c>
    </row>
    <row r="760" spans="1:13" s="5" customFormat="1" x14ac:dyDescent="0.25">
      <c r="A760" s="12" t="s">
        <v>1505</v>
      </c>
      <c r="B760" s="13" t="s">
        <v>1506</v>
      </c>
      <c r="C760" s="14">
        <v>45753</v>
      </c>
      <c r="D760" s="13">
        <v>2025</v>
      </c>
      <c r="E760" s="13" t="s">
        <v>21</v>
      </c>
      <c r="F760" s="13" t="s">
        <v>34</v>
      </c>
      <c r="G760" s="15">
        <v>1699.74</v>
      </c>
      <c r="H760" s="15">
        <v>1699.74</v>
      </c>
      <c r="I760" s="13">
        <v>9</v>
      </c>
      <c r="J760" s="13">
        <v>9</v>
      </c>
      <c r="K760" s="13" t="s">
        <v>3348</v>
      </c>
      <c r="L760" s="15">
        <v>188.86</v>
      </c>
      <c r="M760" s="16">
        <v>188.86</v>
      </c>
    </row>
    <row r="761" spans="1:13" s="5" customFormat="1" x14ac:dyDescent="0.25">
      <c r="A761" s="12" t="s">
        <v>1507</v>
      </c>
      <c r="B761" s="13" t="s">
        <v>1508</v>
      </c>
      <c r="C761" s="14">
        <v>45438</v>
      </c>
      <c r="D761" s="13">
        <v>2024</v>
      </c>
      <c r="E761" s="13" t="s">
        <v>10</v>
      </c>
      <c r="F761" s="13" t="s">
        <v>11</v>
      </c>
      <c r="G761" s="15">
        <v>1638.89</v>
      </c>
      <c r="H761" s="15">
        <v>1638.89</v>
      </c>
      <c r="I761" s="13">
        <v>1</v>
      </c>
      <c r="J761" s="13">
        <v>1</v>
      </c>
      <c r="K761" s="13" t="s">
        <v>15</v>
      </c>
      <c r="L761" s="15">
        <v>1638.89</v>
      </c>
      <c r="M761" s="16">
        <v>1638.89</v>
      </c>
    </row>
    <row r="762" spans="1:13" s="5" customFormat="1" x14ac:dyDescent="0.25">
      <c r="A762" s="12" t="s">
        <v>1509</v>
      </c>
      <c r="B762" s="13" t="s">
        <v>1510</v>
      </c>
      <c r="C762" s="14">
        <v>45898</v>
      </c>
      <c r="D762" s="13">
        <v>2025</v>
      </c>
      <c r="E762" s="13" t="s">
        <v>3347</v>
      </c>
      <c r="F762" s="13" t="s">
        <v>25</v>
      </c>
      <c r="G762" s="15">
        <v>541.11</v>
      </c>
      <c r="H762" s="15">
        <v>541.11</v>
      </c>
      <c r="I762" s="13">
        <v>2</v>
      </c>
      <c r="J762" s="13">
        <v>2</v>
      </c>
      <c r="K762" s="13" t="s">
        <v>18</v>
      </c>
      <c r="L762" s="15">
        <v>270.55500000000001</v>
      </c>
      <c r="M762" s="16">
        <v>270.55500000000001</v>
      </c>
    </row>
    <row r="763" spans="1:13" s="5" customFormat="1" x14ac:dyDescent="0.25">
      <c r="A763" s="12" t="s">
        <v>1511</v>
      </c>
      <c r="B763" s="13" t="s">
        <v>1512</v>
      </c>
      <c r="C763" s="14">
        <v>45855</v>
      </c>
      <c r="D763" s="13">
        <v>2025</v>
      </c>
      <c r="E763" s="13" t="s">
        <v>10</v>
      </c>
      <c r="F763" s="13" t="s">
        <v>25</v>
      </c>
      <c r="G763" s="15">
        <v>933.03</v>
      </c>
      <c r="H763" s="15">
        <v>933.03</v>
      </c>
      <c r="I763" s="13">
        <v>1</v>
      </c>
      <c r="J763" s="13">
        <v>1</v>
      </c>
      <c r="K763" s="13" t="s">
        <v>3348</v>
      </c>
      <c r="L763" s="15">
        <v>933.03</v>
      </c>
      <c r="M763" s="16">
        <v>933.03</v>
      </c>
    </row>
    <row r="764" spans="1:13" s="5" customFormat="1" x14ac:dyDescent="0.25">
      <c r="A764" s="12" t="s">
        <v>1513</v>
      </c>
      <c r="B764" s="13" t="s">
        <v>1514</v>
      </c>
      <c r="C764" s="14">
        <v>45238</v>
      </c>
      <c r="D764" s="13">
        <v>2023</v>
      </c>
      <c r="E764" s="13" t="s">
        <v>14</v>
      </c>
      <c r="F764" s="13" t="s">
        <v>22</v>
      </c>
      <c r="G764" s="15">
        <v>695.6</v>
      </c>
      <c r="H764" s="15">
        <v>695.6</v>
      </c>
      <c r="I764" s="13">
        <v>5</v>
      </c>
      <c r="J764" s="13">
        <v>5</v>
      </c>
      <c r="K764" s="13" t="s">
        <v>15</v>
      </c>
      <c r="L764" s="15">
        <v>139.12</v>
      </c>
      <c r="M764" s="16">
        <v>139.12</v>
      </c>
    </row>
    <row r="765" spans="1:13" s="5" customFormat="1" x14ac:dyDescent="0.25">
      <c r="A765" s="12" t="s">
        <v>1515</v>
      </c>
      <c r="B765" s="13" t="s">
        <v>1516</v>
      </c>
      <c r="C765" s="14">
        <v>45081</v>
      </c>
      <c r="D765" s="13">
        <v>2023</v>
      </c>
      <c r="E765" s="13" t="s">
        <v>21</v>
      </c>
      <c r="F765" s="13" t="s">
        <v>34</v>
      </c>
      <c r="G765" s="15">
        <v>414.73</v>
      </c>
      <c r="H765" s="15">
        <v>414.73</v>
      </c>
      <c r="I765" s="13">
        <v>8</v>
      </c>
      <c r="J765" s="13">
        <v>8</v>
      </c>
      <c r="K765" s="13" t="s">
        <v>35</v>
      </c>
      <c r="L765" s="15">
        <v>51.841250000000002</v>
      </c>
      <c r="M765" s="16">
        <v>51.841250000000002</v>
      </c>
    </row>
    <row r="766" spans="1:13" s="5" customFormat="1" x14ac:dyDescent="0.25">
      <c r="A766" s="12" t="s">
        <v>1517</v>
      </c>
      <c r="B766" s="13" t="s">
        <v>1518</v>
      </c>
      <c r="C766" s="14">
        <v>45444</v>
      </c>
      <c r="D766" s="13">
        <v>2024</v>
      </c>
      <c r="E766" s="13" t="s">
        <v>21</v>
      </c>
      <c r="F766" s="13" t="s">
        <v>22</v>
      </c>
      <c r="G766" s="15">
        <v>1286.8463214285714</v>
      </c>
      <c r="H766" s="15">
        <v>1286.8463214285714</v>
      </c>
      <c r="I766" s="13">
        <v>3</v>
      </c>
      <c r="J766" s="13">
        <v>3</v>
      </c>
      <c r="K766" s="13" t="s">
        <v>3348</v>
      </c>
      <c r="L766" s="15">
        <v>428.9487738095238</v>
      </c>
      <c r="M766" s="16">
        <v>428.9487738095238</v>
      </c>
    </row>
    <row r="767" spans="1:13" s="5" customFormat="1" x14ac:dyDescent="0.25">
      <c r="A767" s="12" t="s">
        <v>1519</v>
      </c>
      <c r="B767" s="13" t="s">
        <v>1520</v>
      </c>
      <c r="C767" s="14">
        <v>45189</v>
      </c>
      <c r="D767" s="13">
        <v>2023</v>
      </c>
      <c r="E767" s="13" t="s">
        <v>3347</v>
      </c>
      <c r="F767" s="13" t="s">
        <v>22</v>
      </c>
      <c r="G767" s="15">
        <v>1976.35</v>
      </c>
      <c r="H767" s="15">
        <v>1976.35</v>
      </c>
      <c r="I767" s="13">
        <v>2</v>
      </c>
      <c r="J767" s="13">
        <v>2</v>
      </c>
      <c r="K767" s="13" t="s">
        <v>3348</v>
      </c>
      <c r="L767" s="15">
        <v>988.17499999999995</v>
      </c>
      <c r="M767" s="16">
        <v>988.17499999999995</v>
      </c>
    </row>
    <row r="768" spans="1:13" s="5" customFormat="1" x14ac:dyDescent="0.25">
      <c r="A768" s="12" t="s">
        <v>1521</v>
      </c>
      <c r="B768" s="13" t="s">
        <v>1522</v>
      </c>
      <c r="C768" s="14">
        <v>45238</v>
      </c>
      <c r="D768" s="13">
        <v>2023</v>
      </c>
      <c r="E768" s="13" t="s">
        <v>14</v>
      </c>
      <c r="F768" s="13" t="s">
        <v>34</v>
      </c>
      <c r="G768" s="15">
        <v>1738.59</v>
      </c>
      <c r="H768" s="15">
        <v>1738.59</v>
      </c>
      <c r="I768" s="13">
        <v>2</v>
      </c>
      <c r="J768" s="13">
        <v>2</v>
      </c>
      <c r="K768" s="13" t="s">
        <v>35</v>
      </c>
      <c r="L768" s="15">
        <v>869.29499999999996</v>
      </c>
      <c r="M768" s="16">
        <v>869.29499999999996</v>
      </c>
    </row>
    <row r="769" spans="1:13" s="5" customFormat="1" x14ac:dyDescent="0.25">
      <c r="A769" s="12" t="s">
        <v>1523</v>
      </c>
      <c r="B769" s="13" t="s">
        <v>1524</v>
      </c>
      <c r="C769" s="14">
        <v>44949</v>
      </c>
      <c r="D769" s="13">
        <v>2023</v>
      </c>
      <c r="E769" s="13" t="s">
        <v>14</v>
      </c>
      <c r="F769" s="13" t="s">
        <v>22</v>
      </c>
      <c r="G769" s="15">
        <v>971.47</v>
      </c>
      <c r="H769" s="15">
        <v>971.47</v>
      </c>
      <c r="I769" s="13">
        <v>1</v>
      </c>
      <c r="J769" s="13">
        <v>1</v>
      </c>
      <c r="K769" s="13" t="s">
        <v>3348</v>
      </c>
      <c r="L769" s="15">
        <v>971.47</v>
      </c>
      <c r="M769" s="16">
        <v>971.47</v>
      </c>
    </row>
    <row r="770" spans="1:13" s="5" customFormat="1" x14ac:dyDescent="0.25">
      <c r="A770" s="12" t="s">
        <v>1525</v>
      </c>
      <c r="B770" s="13" t="s">
        <v>1526</v>
      </c>
      <c r="C770" s="14">
        <v>44982</v>
      </c>
      <c r="D770" s="13">
        <v>2023</v>
      </c>
      <c r="E770" s="13" t="s">
        <v>10</v>
      </c>
      <c r="F770" s="13" t="s">
        <v>34</v>
      </c>
      <c r="G770" s="15">
        <v>1405.93</v>
      </c>
      <c r="H770" s="15">
        <v>1405.93</v>
      </c>
      <c r="I770" s="13">
        <v>7</v>
      </c>
      <c r="J770" s="13">
        <v>7</v>
      </c>
      <c r="K770" s="13" t="s">
        <v>18</v>
      </c>
      <c r="L770" s="15">
        <v>200.84714285714287</v>
      </c>
      <c r="M770" s="16">
        <v>200.84714285714287</v>
      </c>
    </row>
    <row r="771" spans="1:13" s="5" customFormat="1" x14ac:dyDescent="0.25">
      <c r="A771" s="12" t="s">
        <v>1527</v>
      </c>
      <c r="B771" s="13" t="s">
        <v>1528</v>
      </c>
      <c r="C771" s="14">
        <v>45290</v>
      </c>
      <c r="D771" s="13">
        <v>2023</v>
      </c>
      <c r="E771" s="13" t="s">
        <v>14</v>
      </c>
      <c r="F771" s="13" t="s">
        <v>25</v>
      </c>
      <c r="G771" s="15">
        <v>1752.57</v>
      </c>
      <c r="H771" s="15">
        <v>1752.57</v>
      </c>
      <c r="I771" s="13">
        <v>1</v>
      </c>
      <c r="J771" s="13">
        <v>1</v>
      </c>
      <c r="K771" s="13" t="s">
        <v>15</v>
      </c>
      <c r="L771" s="15">
        <v>1752.57</v>
      </c>
      <c r="M771" s="16">
        <v>1752.57</v>
      </c>
    </row>
    <row r="772" spans="1:13" s="5" customFormat="1" x14ac:dyDescent="0.25">
      <c r="A772" s="12" t="s">
        <v>1529</v>
      </c>
      <c r="B772" s="13" t="s">
        <v>1530</v>
      </c>
      <c r="C772" s="14">
        <v>45081</v>
      </c>
      <c r="D772" s="13">
        <v>2023</v>
      </c>
      <c r="E772" s="13" t="s">
        <v>14</v>
      </c>
      <c r="F772" s="13" t="s">
        <v>25</v>
      </c>
      <c r="G772" s="15">
        <v>50.02</v>
      </c>
      <c r="H772" s="15">
        <v>50.02</v>
      </c>
      <c r="I772" s="13">
        <v>9</v>
      </c>
      <c r="J772" s="13">
        <v>9</v>
      </c>
      <c r="K772" s="13" t="s">
        <v>3348</v>
      </c>
      <c r="L772" s="15">
        <v>5.5577777777777779</v>
      </c>
      <c r="M772" s="16">
        <v>5.5577777777777779</v>
      </c>
    </row>
    <row r="773" spans="1:13" s="5" customFormat="1" x14ac:dyDescent="0.25">
      <c r="A773" s="12" t="s">
        <v>1531</v>
      </c>
      <c r="B773" s="13" t="s">
        <v>1532</v>
      </c>
      <c r="C773" s="14">
        <v>45049</v>
      </c>
      <c r="D773" s="13">
        <v>2023</v>
      </c>
      <c r="E773" s="13" t="s">
        <v>14</v>
      </c>
      <c r="F773" s="13" t="s">
        <v>11</v>
      </c>
      <c r="G773" s="15">
        <v>1698.51</v>
      </c>
      <c r="H773" s="15">
        <v>1698.51</v>
      </c>
      <c r="I773" s="13">
        <v>6</v>
      </c>
      <c r="J773" s="13">
        <v>6</v>
      </c>
      <c r="K773" s="13" t="s">
        <v>18</v>
      </c>
      <c r="L773" s="15">
        <v>283.08499999999998</v>
      </c>
      <c r="M773" s="16">
        <v>283.08499999999998</v>
      </c>
    </row>
    <row r="774" spans="1:13" s="5" customFormat="1" x14ac:dyDescent="0.25">
      <c r="A774" s="12" t="s">
        <v>1533</v>
      </c>
      <c r="B774" s="13" t="s">
        <v>498</v>
      </c>
      <c r="C774" s="14">
        <v>45516</v>
      </c>
      <c r="D774" s="13">
        <v>2024</v>
      </c>
      <c r="E774" s="13" t="s">
        <v>10</v>
      </c>
      <c r="F774" s="13" t="s">
        <v>34</v>
      </c>
      <c r="G774" s="15">
        <v>1712.62</v>
      </c>
      <c r="H774" s="15">
        <v>1712.62</v>
      </c>
      <c r="I774" s="13">
        <v>2</v>
      </c>
      <c r="J774" s="13">
        <v>2</v>
      </c>
      <c r="K774" s="13" t="s">
        <v>18</v>
      </c>
      <c r="L774" s="15">
        <v>856.31</v>
      </c>
      <c r="M774" s="16">
        <v>856.31</v>
      </c>
    </row>
    <row r="775" spans="1:13" s="5" customFormat="1" x14ac:dyDescent="0.25">
      <c r="A775" s="12" t="s">
        <v>1534</v>
      </c>
      <c r="B775" s="13" t="s">
        <v>1535</v>
      </c>
      <c r="C775" s="14">
        <v>44923</v>
      </c>
      <c r="D775" s="13">
        <v>2022</v>
      </c>
      <c r="E775" s="13" t="s">
        <v>21</v>
      </c>
      <c r="F775" s="13" t="s">
        <v>11</v>
      </c>
      <c r="G775" s="15">
        <v>3476.4492063492066</v>
      </c>
      <c r="H775" s="15">
        <v>3476.4492063492066</v>
      </c>
      <c r="I775" s="13">
        <v>10</v>
      </c>
      <c r="J775" s="13">
        <v>10</v>
      </c>
      <c r="K775" s="13" t="s">
        <v>3348</v>
      </c>
      <c r="L775" s="15">
        <v>347.64492063492065</v>
      </c>
      <c r="M775" s="16">
        <v>347.64492063492065</v>
      </c>
    </row>
    <row r="776" spans="1:13" s="5" customFormat="1" x14ac:dyDescent="0.25">
      <c r="A776" s="12" t="s">
        <v>1536</v>
      </c>
      <c r="B776" s="13" t="s">
        <v>1537</v>
      </c>
      <c r="C776" s="14">
        <v>45871</v>
      </c>
      <c r="D776" s="13">
        <v>2025</v>
      </c>
      <c r="E776" s="13" t="s">
        <v>14</v>
      </c>
      <c r="F776" s="13" t="s">
        <v>22</v>
      </c>
      <c r="G776" s="15">
        <v>1926.64</v>
      </c>
      <c r="H776" s="15">
        <v>1926.64</v>
      </c>
      <c r="I776" s="13">
        <v>2</v>
      </c>
      <c r="J776" s="13">
        <v>2</v>
      </c>
      <c r="K776" s="13" t="s">
        <v>15</v>
      </c>
      <c r="L776" s="15">
        <v>963.32</v>
      </c>
      <c r="M776" s="16">
        <v>963.32</v>
      </c>
    </row>
    <row r="777" spans="1:13" s="5" customFormat="1" x14ac:dyDescent="0.25">
      <c r="A777" s="12" t="s">
        <v>1538</v>
      </c>
      <c r="B777" s="13" t="s">
        <v>1539</v>
      </c>
      <c r="C777" s="14">
        <v>45343</v>
      </c>
      <c r="D777" s="13">
        <v>2024</v>
      </c>
      <c r="E777" s="13" t="s">
        <v>14</v>
      </c>
      <c r="F777" s="13" t="s">
        <v>22</v>
      </c>
      <c r="G777" s="15">
        <v>772.65</v>
      </c>
      <c r="H777" s="15">
        <v>772.65</v>
      </c>
      <c r="I777" s="13">
        <v>6</v>
      </c>
      <c r="J777" s="13">
        <v>6</v>
      </c>
      <c r="K777" s="13" t="s">
        <v>3346</v>
      </c>
      <c r="L777" s="15">
        <v>128.77500000000001</v>
      </c>
      <c r="M777" s="16">
        <v>128.77500000000001</v>
      </c>
    </row>
    <row r="778" spans="1:13" s="5" customFormat="1" x14ac:dyDescent="0.25">
      <c r="A778" s="12" t="s">
        <v>1540</v>
      </c>
      <c r="B778" s="13" t="s">
        <v>1541</v>
      </c>
      <c r="C778" s="14">
        <v>44865</v>
      </c>
      <c r="D778" s="13">
        <v>2022</v>
      </c>
      <c r="E778" s="13" t="s">
        <v>3347</v>
      </c>
      <c r="F778" s="13" t="s">
        <v>34</v>
      </c>
      <c r="G778" s="15">
        <v>81.12</v>
      </c>
      <c r="H778" s="15">
        <v>81.12</v>
      </c>
      <c r="I778" s="13">
        <v>9</v>
      </c>
      <c r="J778" s="13">
        <v>9</v>
      </c>
      <c r="K778" s="13" t="s">
        <v>3348</v>
      </c>
      <c r="L778" s="15">
        <v>9.0133333333333336</v>
      </c>
      <c r="M778" s="16">
        <v>9.0133333333333336</v>
      </c>
    </row>
    <row r="779" spans="1:13" s="5" customFormat="1" x14ac:dyDescent="0.25">
      <c r="A779" s="12" t="s">
        <v>1542</v>
      </c>
      <c r="B779" s="13" t="s">
        <v>1543</v>
      </c>
      <c r="C779" s="14">
        <v>45631</v>
      </c>
      <c r="D779" s="13">
        <v>2024</v>
      </c>
      <c r="E779" s="13" t="s">
        <v>10</v>
      </c>
      <c r="F779" s="13" t="s">
        <v>34</v>
      </c>
      <c r="G779" s="15">
        <v>5.21</v>
      </c>
      <c r="H779" s="15">
        <v>5.21</v>
      </c>
      <c r="I779" s="13">
        <v>2</v>
      </c>
      <c r="J779" s="13">
        <v>2</v>
      </c>
      <c r="K779" s="13" t="s">
        <v>18</v>
      </c>
      <c r="L779" s="15">
        <v>2.605</v>
      </c>
      <c r="M779" s="16">
        <v>2.605</v>
      </c>
    </row>
    <row r="780" spans="1:13" s="5" customFormat="1" x14ac:dyDescent="0.25">
      <c r="A780" s="12" t="s">
        <v>1544</v>
      </c>
      <c r="B780" s="13" t="s">
        <v>1545</v>
      </c>
      <c r="C780" s="14">
        <v>45536</v>
      </c>
      <c r="D780" s="13">
        <v>2024</v>
      </c>
      <c r="E780" s="13" t="s">
        <v>21</v>
      </c>
      <c r="F780" s="13" t="s">
        <v>11</v>
      </c>
      <c r="G780" s="15">
        <v>691.33</v>
      </c>
      <c r="H780" s="15">
        <v>691.33</v>
      </c>
      <c r="I780" s="13">
        <v>9</v>
      </c>
      <c r="J780" s="13">
        <v>9</v>
      </c>
      <c r="K780" s="13" t="s">
        <v>15</v>
      </c>
      <c r="L780" s="15">
        <v>76.814444444444447</v>
      </c>
      <c r="M780" s="16">
        <v>76.814444444444447</v>
      </c>
    </row>
    <row r="781" spans="1:13" s="5" customFormat="1" x14ac:dyDescent="0.25">
      <c r="A781" s="12" t="s">
        <v>1546</v>
      </c>
      <c r="B781" s="13" t="s">
        <v>1547</v>
      </c>
      <c r="C781" s="14">
        <v>45718</v>
      </c>
      <c r="D781" s="13">
        <v>2025</v>
      </c>
      <c r="E781" s="13" t="s">
        <v>10</v>
      </c>
      <c r="F781" s="13" t="s">
        <v>34</v>
      </c>
      <c r="G781" s="15">
        <v>197.79</v>
      </c>
      <c r="H781" s="15">
        <v>197.79</v>
      </c>
      <c r="I781" s="13">
        <v>9</v>
      </c>
      <c r="J781" s="13">
        <v>9</v>
      </c>
      <c r="K781" s="13" t="s">
        <v>3346</v>
      </c>
      <c r="L781" s="15">
        <v>21.976666666666667</v>
      </c>
      <c r="M781" s="16">
        <v>21.976666666666667</v>
      </c>
    </row>
    <row r="782" spans="1:13" s="5" customFormat="1" x14ac:dyDescent="0.25">
      <c r="A782" s="12" t="s">
        <v>1548</v>
      </c>
      <c r="B782" s="13" t="s">
        <v>1549</v>
      </c>
      <c r="C782" s="14">
        <v>45684</v>
      </c>
      <c r="D782" s="13">
        <v>2025</v>
      </c>
      <c r="E782" s="13" t="s">
        <v>21</v>
      </c>
      <c r="F782" s="13" t="s">
        <v>34</v>
      </c>
      <c r="G782" s="15">
        <v>1676.71</v>
      </c>
      <c r="H782" s="15">
        <v>1676.71</v>
      </c>
      <c r="I782" s="13">
        <v>8</v>
      </c>
      <c r="J782" s="13">
        <v>8</v>
      </c>
      <c r="K782" s="13" t="s">
        <v>35</v>
      </c>
      <c r="L782" s="15">
        <v>209.58875</v>
      </c>
      <c r="M782" s="16">
        <v>209.58875</v>
      </c>
    </row>
    <row r="783" spans="1:13" s="5" customFormat="1" x14ac:dyDescent="0.25">
      <c r="A783" s="12" t="s">
        <v>1550</v>
      </c>
      <c r="B783" s="13" t="s">
        <v>1551</v>
      </c>
      <c r="C783" s="14">
        <v>45050</v>
      </c>
      <c r="D783" s="13">
        <v>2023</v>
      </c>
      <c r="E783" s="13" t="s">
        <v>21</v>
      </c>
      <c r="F783" s="13" t="s">
        <v>22</v>
      </c>
      <c r="G783" s="15">
        <v>374.6</v>
      </c>
      <c r="H783" s="15">
        <v>374.6</v>
      </c>
      <c r="I783" s="13">
        <v>6</v>
      </c>
      <c r="J783" s="13">
        <v>6</v>
      </c>
      <c r="K783" s="13" t="s">
        <v>15</v>
      </c>
      <c r="L783" s="15">
        <v>62.433333333333337</v>
      </c>
      <c r="M783" s="16">
        <v>62.433333333333337</v>
      </c>
    </row>
    <row r="784" spans="1:13" s="5" customFormat="1" x14ac:dyDescent="0.25">
      <c r="A784" s="12" t="s">
        <v>1552</v>
      </c>
      <c r="B784" s="13" t="s">
        <v>1553</v>
      </c>
      <c r="C784" s="14">
        <v>45611</v>
      </c>
      <c r="D784" s="13">
        <v>2024</v>
      </c>
      <c r="E784" s="13" t="s">
        <v>21</v>
      </c>
      <c r="F784" s="13" t="s">
        <v>11</v>
      </c>
      <c r="G784" s="15">
        <v>220.23</v>
      </c>
      <c r="H784" s="15">
        <v>220.23</v>
      </c>
      <c r="I784" s="13">
        <v>6</v>
      </c>
      <c r="J784" s="13">
        <v>6</v>
      </c>
      <c r="K784" s="13" t="s">
        <v>3346</v>
      </c>
      <c r="L784" s="15">
        <v>36.704999999999998</v>
      </c>
      <c r="M784" s="16">
        <v>36.704999999999998</v>
      </c>
    </row>
    <row r="785" spans="1:13" s="5" customFormat="1" x14ac:dyDescent="0.25">
      <c r="A785" s="12" t="s">
        <v>1554</v>
      </c>
      <c r="B785" s="13" t="s">
        <v>344</v>
      </c>
      <c r="C785" s="14">
        <v>44968</v>
      </c>
      <c r="D785" s="13">
        <v>2023</v>
      </c>
      <c r="E785" s="13" t="s">
        <v>10</v>
      </c>
      <c r="F785" s="13" t="s">
        <v>25</v>
      </c>
      <c r="G785" s="15">
        <v>246.91</v>
      </c>
      <c r="H785" s="15">
        <v>246.91</v>
      </c>
      <c r="I785" s="13">
        <v>2</v>
      </c>
      <c r="J785" s="13">
        <v>2</v>
      </c>
      <c r="K785" s="13" t="s">
        <v>3348</v>
      </c>
      <c r="L785" s="15">
        <v>123.455</v>
      </c>
      <c r="M785" s="16">
        <v>123.455</v>
      </c>
    </row>
    <row r="786" spans="1:13" s="5" customFormat="1" x14ac:dyDescent="0.25">
      <c r="A786" s="12" t="s">
        <v>1555</v>
      </c>
      <c r="B786" s="13" t="s">
        <v>1556</v>
      </c>
      <c r="C786" s="14">
        <v>45146</v>
      </c>
      <c r="D786" s="13">
        <v>2023</v>
      </c>
      <c r="E786" s="13" t="s">
        <v>10</v>
      </c>
      <c r="F786" s="13" t="s">
        <v>11</v>
      </c>
      <c r="G786" s="15">
        <v>1323.42</v>
      </c>
      <c r="H786" s="15">
        <v>1323.42</v>
      </c>
      <c r="I786" s="13">
        <v>8</v>
      </c>
      <c r="J786" s="13">
        <v>8</v>
      </c>
      <c r="K786" s="13" t="s">
        <v>3348</v>
      </c>
      <c r="L786" s="15">
        <v>165.42750000000001</v>
      </c>
      <c r="M786" s="16">
        <v>165.42750000000001</v>
      </c>
    </row>
    <row r="787" spans="1:13" s="5" customFormat="1" x14ac:dyDescent="0.25">
      <c r="A787" s="12" t="s">
        <v>1557</v>
      </c>
      <c r="B787" s="13" t="s">
        <v>1558</v>
      </c>
      <c r="C787" s="14">
        <v>45661</v>
      </c>
      <c r="D787" s="13">
        <v>2025</v>
      </c>
      <c r="E787" s="13" t="s">
        <v>14</v>
      </c>
      <c r="F787" s="13" t="s">
        <v>22</v>
      </c>
      <c r="G787" s="15">
        <v>2801.938364197531</v>
      </c>
      <c r="H787" s="15">
        <v>2801.938364197531</v>
      </c>
      <c r="I787" s="13">
        <v>7</v>
      </c>
      <c r="J787" s="13">
        <v>7</v>
      </c>
      <c r="K787" s="13" t="s">
        <v>3348</v>
      </c>
      <c r="L787" s="15">
        <v>400.27690917107583</v>
      </c>
      <c r="M787" s="16">
        <v>400.27690917107583</v>
      </c>
    </row>
    <row r="788" spans="1:13" s="5" customFormat="1" x14ac:dyDescent="0.25">
      <c r="A788" s="12" t="s">
        <v>1559</v>
      </c>
      <c r="B788" s="13" t="s">
        <v>1560</v>
      </c>
      <c r="C788" s="14">
        <v>45724</v>
      </c>
      <c r="D788" s="13">
        <v>2025</v>
      </c>
      <c r="E788" s="13" t="s">
        <v>10</v>
      </c>
      <c r="F788" s="13" t="s">
        <v>34</v>
      </c>
      <c r="G788" s="15">
        <v>519.04</v>
      </c>
      <c r="H788" s="15">
        <v>519.04</v>
      </c>
      <c r="I788" s="13">
        <v>8</v>
      </c>
      <c r="J788" s="13">
        <v>8</v>
      </c>
      <c r="K788" s="13" t="s">
        <v>18</v>
      </c>
      <c r="L788" s="15">
        <v>64.88</v>
      </c>
      <c r="M788" s="16">
        <v>64.88</v>
      </c>
    </row>
    <row r="789" spans="1:13" s="5" customFormat="1" x14ac:dyDescent="0.25">
      <c r="A789" s="12" t="s">
        <v>1561</v>
      </c>
      <c r="B789" s="13" t="s">
        <v>1562</v>
      </c>
      <c r="C789" s="14">
        <v>45769</v>
      </c>
      <c r="D789" s="13">
        <v>2025</v>
      </c>
      <c r="E789" s="13" t="s">
        <v>14</v>
      </c>
      <c r="F789" s="13" t="s">
        <v>22</v>
      </c>
      <c r="G789" s="15">
        <v>1926.01</v>
      </c>
      <c r="H789" s="15">
        <v>1926.01</v>
      </c>
      <c r="I789" s="13">
        <v>9</v>
      </c>
      <c r="J789" s="13">
        <v>9</v>
      </c>
      <c r="K789" s="13" t="s">
        <v>3348</v>
      </c>
      <c r="L789" s="15">
        <v>214.0011111111111</v>
      </c>
      <c r="M789" s="16">
        <v>214.0011111111111</v>
      </c>
    </row>
    <row r="790" spans="1:13" s="5" customFormat="1" x14ac:dyDescent="0.25">
      <c r="A790" s="12" t="s">
        <v>1563</v>
      </c>
      <c r="B790" s="13" t="s">
        <v>1564</v>
      </c>
      <c r="C790" s="14">
        <v>44948</v>
      </c>
      <c r="D790" s="13">
        <v>2023</v>
      </c>
      <c r="E790" s="13" t="s">
        <v>3347</v>
      </c>
      <c r="F790" s="13" t="s">
        <v>25</v>
      </c>
      <c r="G790" s="15">
        <v>611.1</v>
      </c>
      <c r="H790" s="15">
        <v>611.1</v>
      </c>
      <c r="I790" s="13">
        <v>1</v>
      </c>
      <c r="J790" s="13">
        <v>1</v>
      </c>
      <c r="K790" s="13" t="s">
        <v>15</v>
      </c>
      <c r="L790" s="15">
        <v>611.1</v>
      </c>
      <c r="M790" s="16">
        <v>611.1</v>
      </c>
    </row>
    <row r="791" spans="1:13" s="5" customFormat="1" x14ac:dyDescent="0.25">
      <c r="A791" s="12" t="s">
        <v>1565</v>
      </c>
      <c r="B791" s="13" t="s">
        <v>1566</v>
      </c>
      <c r="C791" s="14">
        <v>45432</v>
      </c>
      <c r="D791" s="13">
        <v>2024</v>
      </c>
      <c r="E791" s="13" t="s">
        <v>3347</v>
      </c>
      <c r="F791" s="13" t="s">
        <v>11</v>
      </c>
      <c r="G791" s="15">
        <v>1713.12</v>
      </c>
      <c r="H791" s="15">
        <v>1713.12</v>
      </c>
      <c r="I791" s="13">
        <v>5</v>
      </c>
      <c r="J791" s="13">
        <v>5</v>
      </c>
      <c r="K791" s="13" t="s">
        <v>3346</v>
      </c>
      <c r="L791" s="15">
        <v>342.62399999999997</v>
      </c>
      <c r="M791" s="16">
        <v>342.62399999999997</v>
      </c>
    </row>
    <row r="792" spans="1:13" s="5" customFormat="1" x14ac:dyDescent="0.25">
      <c r="A792" s="12" t="s">
        <v>1567</v>
      </c>
      <c r="B792" s="13" t="s">
        <v>417</v>
      </c>
      <c r="C792" s="14">
        <v>45211</v>
      </c>
      <c r="D792" s="13">
        <v>2023</v>
      </c>
      <c r="E792" s="13" t="s">
        <v>14</v>
      </c>
      <c r="F792" s="13" t="s">
        <v>25</v>
      </c>
      <c r="G792" s="15">
        <v>989.88</v>
      </c>
      <c r="H792" s="15">
        <v>989.88</v>
      </c>
      <c r="I792" s="13">
        <v>1</v>
      </c>
      <c r="J792" s="13">
        <v>1</v>
      </c>
      <c r="K792" s="13" t="s">
        <v>18</v>
      </c>
      <c r="L792" s="15">
        <v>989.88</v>
      </c>
      <c r="M792" s="16">
        <v>989.88</v>
      </c>
    </row>
    <row r="793" spans="1:13" s="5" customFormat="1" x14ac:dyDescent="0.25">
      <c r="A793" s="12" t="s">
        <v>1568</v>
      </c>
      <c r="B793" s="13" t="s">
        <v>1569</v>
      </c>
      <c r="C793" s="14">
        <v>45497</v>
      </c>
      <c r="D793" s="13">
        <v>2024</v>
      </c>
      <c r="E793" s="13" t="s">
        <v>3347</v>
      </c>
      <c r="F793" s="13" t="s">
        <v>34</v>
      </c>
      <c r="G793" s="15">
        <v>1032.3</v>
      </c>
      <c r="H793" s="15">
        <v>1032.3</v>
      </c>
      <c r="I793" s="13">
        <v>5</v>
      </c>
      <c r="J793" s="13">
        <v>5</v>
      </c>
      <c r="K793" s="13" t="s">
        <v>35</v>
      </c>
      <c r="L793" s="15">
        <v>206.45999999999998</v>
      </c>
      <c r="M793" s="16">
        <v>206.45999999999998</v>
      </c>
    </row>
    <row r="794" spans="1:13" s="5" customFormat="1" x14ac:dyDescent="0.25">
      <c r="A794" s="12" t="s">
        <v>1570</v>
      </c>
      <c r="B794" s="13" t="s">
        <v>1571</v>
      </c>
      <c r="C794" s="14">
        <v>45331</v>
      </c>
      <c r="D794" s="13">
        <v>2024</v>
      </c>
      <c r="E794" s="13" t="s">
        <v>3347</v>
      </c>
      <c r="F794" s="13" t="s">
        <v>11</v>
      </c>
      <c r="G794" s="15">
        <v>637.92999999999995</v>
      </c>
      <c r="H794" s="15">
        <v>637.92999999999995</v>
      </c>
      <c r="I794" s="13">
        <v>3</v>
      </c>
      <c r="J794" s="13">
        <v>3</v>
      </c>
      <c r="K794" s="13" t="s">
        <v>18</v>
      </c>
      <c r="L794" s="15">
        <v>212.64333333333332</v>
      </c>
      <c r="M794" s="16">
        <v>241.08188888888887</v>
      </c>
    </row>
    <row r="795" spans="1:13" s="5" customFormat="1" x14ac:dyDescent="0.25">
      <c r="A795" s="12" t="s">
        <v>1572</v>
      </c>
      <c r="B795" s="13" t="s">
        <v>1573</v>
      </c>
      <c r="C795" s="14">
        <v>45043</v>
      </c>
      <c r="D795" s="13">
        <v>2023</v>
      </c>
      <c r="E795" s="13" t="s">
        <v>3347</v>
      </c>
      <c r="F795" s="13" t="s">
        <v>34</v>
      </c>
      <c r="G795" s="15">
        <v>1507.25</v>
      </c>
      <c r="H795" s="15">
        <v>1507.25</v>
      </c>
      <c r="I795" s="13">
        <v>3</v>
      </c>
      <c r="J795" s="13">
        <v>3</v>
      </c>
      <c r="K795" s="13" t="s">
        <v>3348</v>
      </c>
      <c r="L795" s="15">
        <v>502.41666666666669</v>
      </c>
      <c r="M795" s="16">
        <v>502.41666666666669</v>
      </c>
    </row>
    <row r="796" spans="1:13" s="5" customFormat="1" x14ac:dyDescent="0.25">
      <c r="A796" s="12" t="s">
        <v>1574</v>
      </c>
      <c r="B796" s="13" t="s">
        <v>1575</v>
      </c>
      <c r="C796" s="14">
        <v>45789</v>
      </c>
      <c r="D796" s="13">
        <v>2025</v>
      </c>
      <c r="E796" s="13" t="s">
        <v>14</v>
      </c>
      <c r="F796" s="13" t="s">
        <v>22</v>
      </c>
      <c r="G796" s="15">
        <v>422.76</v>
      </c>
      <c r="H796" s="15">
        <v>422.76</v>
      </c>
      <c r="I796" s="13">
        <v>2</v>
      </c>
      <c r="J796" s="13">
        <v>2</v>
      </c>
      <c r="K796" s="13" t="s">
        <v>15</v>
      </c>
      <c r="L796" s="15">
        <v>211.38</v>
      </c>
      <c r="M796" s="16">
        <v>248.23302083333337</v>
      </c>
    </row>
    <row r="797" spans="1:13" s="5" customFormat="1" x14ac:dyDescent="0.25">
      <c r="A797" s="12" t="s">
        <v>1576</v>
      </c>
      <c r="B797" s="13" t="s">
        <v>1577</v>
      </c>
      <c r="C797" s="14">
        <v>45497</v>
      </c>
      <c r="D797" s="13">
        <v>2024</v>
      </c>
      <c r="E797" s="13" t="s">
        <v>10</v>
      </c>
      <c r="F797" s="13" t="s">
        <v>25</v>
      </c>
      <c r="G797" s="15">
        <v>1852.01</v>
      </c>
      <c r="H797" s="15">
        <v>1852.01</v>
      </c>
      <c r="I797" s="13">
        <v>4</v>
      </c>
      <c r="J797" s="13">
        <v>4</v>
      </c>
      <c r="K797" s="13" t="s">
        <v>3346</v>
      </c>
      <c r="L797" s="15">
        <v>463.0025</v>
      </c>
      <c r="M797" s="16">
        <v>463.0025</v>
      </c>
    </row>
    <row r="798" spans="1:13" s="5" customFormat="1" x14ac:dyDescent="0.25">
      <c r="A798" s="12" t="s">
        <v>1578</v>
      </c>
      <c r="B798" s="13" t="s">
        <v>500</v>
      </c>
      <c r="C798" s="14">
        <v>45824</v>
      </c>
      <c r="D798" s="13">
        <v>2025</v>
      </c>
      <c r="E798" s="13" t="s">
        <v>21</v>
      </c>
      <c r="F798" s="13" t="s">
        <v>22</v>
      </c>
      <c r="G798" s="15">
        <v>566.1393333333333</v>
      </c>
      <c r="H798" s="15">
        <v>566.1393333333333</v>
      </c>
      <c r="I798" s="13">
        <v>1</v>
      </c>
      <c r="J798" s="13">
        <v>1</v>
      </c>
      <c r="K798" s="13" t="s">
        <v>15</v>
      </c>
      <c r="L798" s="15">
        <v>566.1393333333333</v>
      </c>
      <c r="M798" s="16">
        <v>566.1393333333333</v>
      </c>
    </row>
    <row r="799" spans="1:13" s="5" customFormat="1" x14ac:dyDescent="0.25">
      <c r="A799" s="12" t="s">
        <v>1579</v>
      </c>
      <c r="B799" s="13" t="s">
        <v>1580</v>
      </c>
      <c r="C799" s="14">
        <v>44958</v>
      </c>
      <c r="D799" s="13">
        <v>2023</v>
      </c>
      <c r="E799" s="13" t="s">
        <v>21</v>
      </c>
      <c r="F799" s="13" t="s">
        <v>25</v>
      </c>
      <c r="G799" s="15">
        <v>1493.73</v>
      </c>
      <c r="H799" s="15">
        <v>1493.73</v>
      </c>
      <c r="I799" s="13">
        <v>9</v>
      </c>
      <c r="J799" s="13">
        <v>9</v>
      </c>
      <c r="K799" s="13" t="s">
        <v>3346</v>
      </c>
      <c r="L799" s="15">
        <v>165.97</v>
      </c>
      <c r="M799" s="16">
        <v>165.97</v>
      </c>
    </row>
    <row r="800" spans="1:13" s="5" customFormat="1" x14ac:dyDescent="0.25">
      <c r="A800" s="12" t="s">
        <v>1581</v>
      </c>
      <c r="B800" s="13" t="s">
        <v>1582</v>
      </c>
      <c r="C800" s="14">
        <v>44928</v>
      </c>
      <c r="D800" s="13">
        <v>2023</v>
      </c>
      <c r="E800" s="13" t="s">
        <v>3347</v>
      </c>
      <c r="F800" s="13" t="s">
        <v>25</v>
      </c>
      <c r="G800" s="15">
        <v>956.25</v>
      </c>
      <c r="H800" s="15">
        <v>956.25</v>
      </c>
      <c r="I800" s="13">
        <v>4</v>
      </c>
      <c r="J800" s="13">
        <v>4</v>
      </c>
      <c r="K800" s="13" t="s">
        <v>3348</v>
      </c>
      <c r="L800" s="15">
        <v>239.0625</v>
      </c>
      <c r="M800" s="16">
        <v>249.72749999999999</v>
      </c>
    </row>
    <row r="801" spans="1:13" s="5" customFormat="1" x14ac:dyDescent="0.25">
      <c r="A801" s="12" t="s">
        <v>1583</v>
      </c>
      <c r="B801" s="13" t="s">
        <v>1584</v>
      </c>
      <c r="C801" s="14">
        <v>45184</v>
      </c>
      <c r="D801" s="13">
        <v>2023</v>
      </c>
      <c r="E801" s="13" t="s">
        <v>21</v>
      </c>
      <c r="F801" s="13" t="s">
        <v>34</v>
      </c>
      <c r="G801" s="15">
        <v>684.43</v>
      </c>
      <c r="H801" s="15">
        <v>684.43</v>
      </c>
      <c r="I801" s="13">
        <v>4</v>
      </c>
      <c r="J801" s="13">
        <v>4</v>
      </c>
      <c r="K801" s="13" t="s">
        <v>18</v>
      </c>
      <c r="L801" s="15">
        <v>171.10749999999999</v>
      </c>
      <c r="M801" s="16">
        <v>171.10749999999999</v>
      </c>
    </row>
    <row r="802" spans="1:13" s="5" customFormat="1" x14ac:dyDescent="0.25">
      <c r="A802" s="12" t="s">
        <v>1585</v>
      </c>
      <c r="B802" s="13" t="s">
        <v>1586</v>
      </c>
      <c r="C802" s="14">
        <v>45880</v>
      </c>
      <c r="D802" s="13">
        <v>2025</v>
      </c>
      <c r="E802" s="13" t="s">
        <v>3347</v>
      </c>
      <c r="F802" s="13" t="s">
        <v>22</v>
      </c>
      <c r="G802" s="15">
        <v>895.96</v>
      </c>
      <c r="H802" s="15">
        <v>895.96</v>
      </c>
      <c r="I802" s="13">
        <v>4</v>
      </c>
      <c r="J802" s="13">
        <v>4</v>
      </c>
      <c r="K802" s="13" t="s">
        <v>15</v>
      </c>
      <c r="L802" s="15">
        <v>223.99</v>
      </c>
      <c r="M802" s="16">
        <v>223.99</v>
      </c>
    </row>
    <row r="803" spans="1:13" s="5" customFormat="1" x14ac:dyDescent="0.25">
      <c r="A803" s="12" t="s">
        <v>1587</v>
      </c>
      <c r="B803" s="13" t="s">
        <v>1588</v>
      </c>
      <c r="C803" s="14">
        <v>45094</v>
      </c>
      <c r="D803" s="13">
        <v>2023</v>
      </c>
      <c r="E803" s="13" t="s">
        <v>14</v>
      </c>
      <c r="F803" s="13" t="s">
        <v>11</v>
      </c>
      <c r="G803" s="15">
        <v>1824.68</v>
      </c>
      <c r="H803" s="15">
        <v>1824.68</v>
      </c>
      <c r="I803" s="13">
        <v>3</v>
      </c>
      <c r="J803" s="13">
        <v>3</v>
      </c>
      <c r="K803" s="13" t="s">
        <v>15</v>
      </c>
      <c r="L803" s="15">
        <v>608.22666666666669</v>
      </c>
      <c r="M803" s="16">
        <v>608.22666666666669</v>
      </c>
    </row>
    <row r="804" spans="1:13" s="5" customFormat="1" x14ac:dyDescent="0.25">
      <c r="A804" s="12" t="s">
        <v>1589</v>
      </c>
      <c r="B804" s="13" t="s">
        <v>1590</v>
      </c>
      <c r="C804" s="14">
        <v>45171</v>
      </c>
      <c r="D804" s="13">
        <v>2023</v>
      </c>
      <c r="E804" s="13" t="s">
        <v>10</v>
      </c>
      <c r="F804" s="13" t="s">
        <v>11</v>
      </c>
      <c r="G804" s="15">
        <v>656.62</v>
      </c>
      <c r="H804" s="15">
        <v>656.62</v>
      </c>
      <c r="I804" s="13">
        <v>9</v>
      </c>
      <c r="J804" s="13">
        <v>9</v>
      </c>
      <c r="K804" s="13" t="s">
        <v>35</v>
      </c>
      <c r="L804" s="15">
        <v>72.957777777777778</v>
      </c>
      <c r="M804" s="16">
        <v>72.957777777777778</v>
      </c>
    </row>
    <row r="805" spans="1:13" s="5" customFormat="1" x14ac:dyDescent="0.25">
      <c r="A805" s="12" t="s">
        <v>1591</v>
      </c>
      <c r="B805" s="13" t="s">
        <v>1592</v>
      </c>
      <c r="C805" s="14">
        <v>45900</v>
      </c>
      <c r="D805" s="13">
        <v>2025</v>
      </c>
      <c r="E805" s="13" t="s">
        <v>3347</v>
      </c>
      <c r="F805" s="13" t="s">
        <v>34</v>
      </c>
      <c r="G805" s="15">
        <v>1498.45</v>
      </c>
      <c r="H805" s="15">
        <v>1498.45</v>
      </c>
      <c r="I805" s="13">
        <v>8</v>
      </c>
      <c r="J805" s="13">
        <v>8</v>
      </c>
      <c r="K805" s="13" t="s">
        <v>15</v>
      </c>
      <c r="L805" s="15">
        <v>187.30625000000001</v>
      </c>
      <c r="M805" s="16">
        <v>187.30625000000001</v>
      </c>
    </row>
    <row r="806" spans="1:13" s="5" customFormat="1" x14ac:dyDescent="0.25">
      <c r="A806" s="12" t="s">
        <v>1593</v>
      </c>
      <c r="B806" s="13" t="s">
        <v>1594</v>
      </c>
      <c r="C806" s="14">
        <v>45553</v>
      </c>
      <c r="D806" s="13">
        <v>2024</v>
      </c>
      <c r="E806" s="13" t="s">
        <v>3347</v>
      </c>
      <c r="F806" s="13" t="s">
        <v>22</v>
      </c>
      <c r="G806" s="15">
        <v>340.9203843537415</v>
      </c>
      <c r="H806" s="15">
        <v>340.9203843537415</v>
      </c>
      <c r="I806" s="13">
        <v>1</v>
      </c>
      <c r="J806" s="13">
        <v>1</v>
      </c>
      <c r="K806" s="13" t="s">
        <v>3346</v>
      </c>
      <c r="L806" s="15">
        <v>340.9203843537415</v>
      </c>
      <c r="M806" s="16">
        <v>340.9203843537415</v>
      </c>
    </row>
    <row r="807" spans="1:13" s="5" customFormat="1" x14ac:dyDescent="0.25">
      <c r="A807" s="12" t="s">
        <v>1595</v>
      </c>
      <c r="B807" s="13" t="s">
        <v>1596</v>
      </c>
      <c r="C807" s="14">
        <v>45035</v>
      </c>
      <c r="D807" s="13">
        <v>2023</v>
      </c>
      <c r="E807" s="13" t="s">
        <v>14</v>
      </c>
      <c r="F807" s="13" t="s">
        <v>34</v>
      </c>
      <c r="G807" s="15">
        <v>1142.7</v>
      </c>
      <c r="H807" s="15">
        <v>1142.7</v>
      </c>
      <c r="I807" s="13">
        <v>1</v>
      </c>
      <c r="J807" s="13">
        <v>1</v>
      </c>
      <c r="K807" s="13" t="s">
        <v>15</v>
      </c>
      <c r="L807" s="15">
        <v>1142.7</v>
      </c>
      <c r="M807" s="16">
        <v>1142.7</v>
      </c>
    </row>
    <row r="808" spans="1:13" s="5" customFormat="1" x14ac:dyDescent="0.25">
      <c r="A808" s="12" t="s">
        <v>1597</v>
      </c>
      <c r="B808" s="13" t="s">
        <v>1598</v>
      </c>
      <c r="C808" s="14">
        <v>45863</v>
      </c>
      <c r="D808" s="13">
        <v>2025</v>
      </c>
      <c r="E808" s="13" t="s">
        <v>3347</v>
      </c>
      <c r="F808" s="13" t="s">
        <v>22</v>
      </c>
      <c r="G808" s="15">
        <v>1295.6400000000001</v>
      </c>
      <c r="H808" s="15">
        <v>1295.6400000000001</v>
      </c>
      <c r="I808" s="13">
        <v>4</v>
      </c>
      <c r="J808" s="13">
        <v>4</v>
      </c>
      <c r="K808" s="13" t="s">
        <v>15</v>
      </c>
      <c r="L808" s="15">
        <v>323.91000000000003</v>
      </c>
      <c r="M808" s="16">
        <v>323.91000000000003</v>
      </c>
    </row>
    <row r="809" spans="1:13" s="5" customFormat="1" x14ac:dyDescent="0.25">
      <c r="A809" s="12" t="s">
        <v>1599</v>
      </c>
      <c r="B809" s="13" t="s">
        <v>1600</v>
      </c>
      <c r="C809" s="14">
        <v>45050</v>
      </c>
      <c r="D809" s="13">
        <v>2023</v>
      </c>
      <c r="E809" s="13" t="s">
        <v>21</v>
      </c>
      <c r="F809" s="13" t="s">
        <v>34</v>
      </c>
      <c r="G809" s="15">
        <v>645.3180932539683</v>
      </c>
      <c r="H809" s="15">
        <v>645.3180932539683</v>
      </c>
      <c r="I809" s="13">
        <v>3</v>
      </c>
      <c r="J809" s="13">
        <v>3</v>
      </c>
      <c r="K809" s="13" t="s">
        <v>3346</v>
      </c>
      <c r="L809" s="15">
        <v>215.10603108465611</v>
      </c>
      <c r="M809" s="16">
        <v>215.10603108465611</v>
      </c>
    </row>
    <row r="810" spans="1:13" s="5" customFormat="1" x14ac:dyDescent="0.25">
      <c r="A810" s="12" t="s">
        <v>1601</v>
      </c>
      <c r="B810" s="13" t="s">
        <v>1602</v>
      </c>
      <c r="C810" s="14">
        <v>45129</v>
      </c>
      <c r="D810" s="13">
        <v>2023</v>
      </c>
      <c r="E810" s="13" t="s">
        <v>10</v>
      </c>
      <c r="F810" s="13" t="s">
        <v>34</v>
      </c>
      <c r="G810" s="15">
        <v>379.19</v>
      </c>
      <c r="H810" s="15">
        <v>379.19</v>
      </c>
      <c r="I810" s="13">
        <v>4</v>
      </c>
      <c r="J810" s="13">
        <v>4</v>
      </c>
      <c r="K810" s="13" t="s">
        <v>15</v>
      </c>
      <c r="L810" s="15">
        <v>94.797499999999999</v>
      </c>
      <c r="M810" s="16">
        <v>94.797499999999999</v>
      </c>
    </row>
    <row r="811" spans="1:13" s="5" customFormat="1" x14ac:dyDescent="0.25">
      <c r="A811" s="12" t="s">
        <v>1603</v>
      </c>
      <c r="B811" s="13" t="s">
        <v>1604</v>
      </c>
      <c r="C811" s="14">
        <v>45667</v>
      </c>
      <c r="D811" s="13">
        <v>2025</v>
      </c>
      <c r="E811" s="13" t="s">
        <v>14</v>
      </c>
      <c r="F811" s="13" t="s">
        <v>34</v>
      </c>
      <c r="G811" s="15">
        <v>241.46</v>
      </c>
      <c r="H811" s="15">
        <v>241.46</v>
      </c>
      <c r="I811" s="13">
        <v>6</v>
      </c>
      <c r="J811" s="13">
        <v>6</v>
      </c>
      <c r="K811" s="13" t="s">
        <v>3346</v>
      </c>
      <c r="L811" s="15">
        <v>40.243333333333332</v>
      </c>
      <c r="M811" s="16">
        <v>40.243333333333332</v>
      </c>
    </row>
    <row r="812" spans="1:13" s="5" customFormat="1" x14ac:dyDescent="0.25">
      <c r="A812" s="12" t="s">
        <v>1605</v>
      </c>
      <c r="B812" s="13" t="s">
        <v>1606</v>
      </c>
      <c r="C812" s="14">
        <v>45017</v>
      </c>
      <c r="D812" s="13">
        <v>2023</v>
      </c>
      <c r="E812" s="13" t="s">
        <v>3347</v>
      </c>
      <c r="F812" s="13" t="s">
        <v>22</v>
      </c>
      <c r="G812" s="15">
        <v>5774.4316534391528</v>
      </c>
      <c r="H812" s="15">
        <v>3548.2821388888883</v>
      </c>
      <c r="I812" s="13">
        <v>10</v>
      </c>
      <c r="J812" s="13">
        <v>10</v>
      </c>
      <c r="K812" s="13" t="s">
        <v>3348</v>
      </c>
      <c r="L812" s="15">
        <v>577.44316534391533</v>
      </c>
      <c r="M812" s="16">
        <v>577.44316534391533</v>
      </c>
    </row>
    <row r="813" spans="1:13" s="5" customFormat="1" x14ac:dyDescent="0.25">
      <c r="A813" s="12" t="s">
        <v>1607</v>
      </c>
      <c r="B813" s="13" t="s">
        <v>1608</v>
      </c>
      <c r="C813" s="14">
        <v>45836</v>
      </c>
      <c r="D813" s="13">
        <v>2025</v>
      </c>
      <c r="E813" s="13" t="s">
        <v>21</v>
      </c>
      <c r="F813" s="13" t="s">
        <v>34</v>
      </c>
      <c r="G813" s="15">
        <v>37.869999999999997</v>
      </c>
      <c r="H813" s="15">
        <v>37.869999999999997</v>
      </c>
      <c r="I813" s="13">
        <v>3</v>
      </c>
      <c r="J813" s="13">
        <v>3</v>
      </c>
      <c r="K813" s="13" t="s">
        <v>3348</v>
      </c>
      <c r="L813" s="15">
        <v>12.623333333333333</v>
      </c>
      <c r="M813" s="16">
        <v>12.623333333333333</v>
      </c>
    </row>
    <row r="814" spans="1:13" s="5" customFormat="1" x14ac:dyDescent="0.25">
      <c r="A814" s="12" t="s">
        <v>1609</v>
      </c>
      <c r="B814" s="13" t="s">
        <v>828</v>
      </c>
      <c r="C814" s="14">
        <v>45361</v>
      </c>
      <c r="D814" s="13">
        <v>2024</v>
      </c>
      <c r="E814" s="13" t="s">
        <v>3347</v>
      </c>
      <c r="F814" s="13" t="s">
        <v>25</v>
      </c>
      <c r="G814" s="15">
        <v>563.9</v>
      </c>
      <c r="H814" s="15">
        <v>563.9</v>
      </c>
      <c r="I814" s="13">
        <v>8</v>
      </c>
      <c r="J814" s="13">
        <v>8</v>
      </c>
      <c r="K814" s="13" t="s">
        <v>15</v>
      </c>
      <c r="L814" s="15">
        <v>70.487499999999997</v>
      </c>
      <c r="M814" s="16">
        <v>70.487499999999997</v>
      </c>
    </row>
    <row r="815" spans="1:13" s="5" customFormat="1" x14ac:dyDescent="0.25">
      <c r="A815" s="12" t="s">
        <v>1610</v>
      </c>
      <c r="B815" s="13" t="s">
        <v>1611</v>
      </c>
      <c r="C815" s="14">
        <v>45307</v>
      </c>
      <c r="D815" s="13">
        <v>2024</v>
      </c>
      <c r="E815" s="13" t="s">
        <v>21</v>
      </c>
      <c r="F815" s="13" t="s">
        <v>34</v>
      </c>
      <c r="G815" s="15">
        <v>133.06</v>
      </c>
      <c r="H815" s="15">
        <v>133.06</v>
      </c>
      <c r="I815" s="13">
        <v>1</v>
      </c>
      <c r="J815" s="13">
        <v>1</v>
      </c>
      <c r="K815" s="13" t="s">
        <v>3348</v>
      </c>
      <c r="L815" s="15">
        <v>133.06</v>
      </c>
      <c r="M815" s="16">
        <v>133.06</v>
      </c>
    </row>
    <row r="816" spans="1:13" s="5" customFormat="1" x14ac:dyDescent="0.25">
      <c r="A816" s="12" t="s">
        <v>1612</v>
      </c>
      <c r="B816" s="13" t="s">
        <v>1613</v>
      </c>
      <c r="C816" s="14">
        <v>44858</v>
      </c>
      <c r="D816" s="13">
        <v>2022</v>
      </c>
      <c r="E816" s="13" t="s">
        <v>21</v>
      </c>
      <c r="F816" s="13" t="s">
        <v>34</v>
      </c>
      <c r="G816" s="15">
        <v>715.74</v>
      </c>
      <c r="H816" s="15">
        <v>715.74</v>
      </c>
      <c r="I816" s="13">
        <v>10</v>
      </c>
      <c r="J816" s="13">
        <v>10</v>
      </c>
      <c r="K816" s="13" t="s">
        <v>35</v>
      </c>
      <c r="L816" s="15">
        <v>71.573999999999998</v>
      </c>
      <c r="M816" s="16">
        <v>71.573999999999998</v>
      </c>
    </row>
    <row r="817" spans="1:13" s="5" customFormat="1" x14ac:dyDescent="0.25">
      <c r="A817" s="12" t="s">
        <v>1614</v>
      </c>
      <c r="B817" s="13" t="s">
        <v>1615</v>
      </c>
      <c r="C817" s="14">
        <v>45214</v>
      </c>
      <c r="D817" s="13">
        <v>2023</v>
      </c>
      <c r="E817" s="13" t="s">
        <v>14</v>
      </c>
      <c r="F817" s="13" t="s">
        <v>11</v>
      </c>
      <c r="G817" s="15">
        <v>570.88</v>
      </c>
      <c r="H817" s="15">
        <v>570.88</v>
      </c>
      <c r="I817" s="13">
        <v>2</v>
      </c>
      <c r="J817" s="13">
        <v>2</v>
      </c>
      <c r="K817" s="13" t="s">
        <v>35</v>
      </c>
      <c r="L817" s="15">
        <v>285.44</v>
      </c>
      <c r="M817" s="16">
        <v>275.56111111111113</v>
      </c>
    </row>
    <row r="818" spans="1:13" s="5" customFormat="1" x14ac:dyDescent="0.25">
      <c r="A818" s="12" t="s">
        <v>1616</v>
      </c>
      <c r="B818" s="13" t="s">
        <v>1617</v>
      </c>
      <c r="C818" s="14">
        <v>44941</v>
      </c>
      <c r="D818" s="13">
        <v>2023</v>
      </c>
      <c r="E818" s="13" t="s">
        <v>10</v>
      </c>
      <c r="F818" s="13" t="s">
        <v>25</v>
      </c>
      <c r="G818" s="15">
        <v>1339.33</v>
      </c>
      <c r="H818" s="15">
        <v>1339.33</v>
      </c>
      <c r="I818" s="13">
        <v>4</v>
      </c>
      <c r="J818" s="13">
        <v>4</v>
      </c>
      <c r="K818" s="13" t="s">
        <v>3348</v>
      </c>
      <c r="L818" s="15">
        <v>334.83249999999998</v>
      </c>
      <c r="M818" s="16">
        <v>334.83249999999998</v>
      </c>
    </row>
    <row r="819" spans="1:13" s="5" customFormat="1" x14ac:dyDescent="0.25">
      <c r="A819" s="12" t="s">
        <v>1618</v>
      </c>
      <c r="B819" s="13" t="s">
        <v>1619</v>
      </c>
      <c r="C819" s="14">
        <v>45013</v>
      </c>
      <c r="D819" s="13">
        <v>2023</v>
      </c>
      <c r="E819" s="13" t="s">
        <v>10</v>
      </c>
      <c r="F819" s="13" t="s">
        <v>22</v>
      </c>
      <c r="G819" s="15">
        <v>1489.74</v>
      </c>
      <c r="H819" s="15">
        <v>1489.74</v>
      </c>
      <c r="I819" s="13">
        <v>4</v>
      </c>
      <c r="J819" s="13">
        <v>4</v>
      </c>
      <c r="K819" s="13" t="s">
        <v>35</v>
      </c>
      <c r="L819" s="15">
        <v>372.435</v>
      </c>
      <c r="M819" s="16">
        <v>372.435</v>
      </c>
    </row>
    <row r="820" spans="1:13" s="5" customFormat="1" x14ac:dyDescent="0.25">
      <c r="A820" s="12" t="s">
        <v>1620</v>
      </c>
      <c r="B820" s="13" t="s">
        <v>1621</v>
      </c>
      <c r="C820" s="14">
        <v>45119</v>
      </c>
      <c r="D820" s="13">
        <v>2023</v>
      </c>
      <c r="E820" s="13" t="s">
        <v>10</v>
      </c>
      <c r="F820" s="13" t="s">
        <v>11</v>
      </c>
      <c r="G820" s="15">
        <v>1698.86</v>
      </c>
      <c r="H820" s="15">
        <v>1698.86</v>
      </c>
      <c r="I820" s="13">
        <v>6</v>
      </c>
      <c r="J820" s="13">
        <v>6</v>
      </c>
      <c r="K820" s="13" t="s">
        <v>3348</v>
      </c>
      <c r="L820" s="15">
        <v>283.14333333333332</v>
      </c>
      <c r="M820" s="16">
        <v>283.14333333333332</v>
      </c>
    </row>
    <row r="821" spans="1:13" s="5" customFormat="1" x14ac:dyDescent="0.25">
      <c r="A821" s="12" t="s">
        <v>1622</v>
      </c>
      <c r="B821" s="13" t="s">
        <v>1623</v>
      </c>
      <c r="C821" s="14">
        <v>45118</v>
      </c>
      <c r="D821" s="13">
        <v>2023</v>
      </c>
      <c r="E821" s="13" t="s">
        <v>14</v>
      </c>
      <c r="F821" s="13" t="s">
        <v>11</v>
      </c>
      <c r="G821" s="15">
        <v>1741.67</v>
      </c>
      <c r="H821" s="15">
        <v>1741.67</v>
      </c>
      <c r="I821" s="13">
        <v>10</v>
      </c>
      <c r="J821" s="13">
        <v>10</v>
      </c>
      <c r="K821" s="13" t="s">
        <v>3348</v>
      </c>
      <c r="L821" s="15">
        <v>174.167</v>
      </c>
      <c r="M821" s="16">
        <v>174.167</v>
      </c>
    </row>
    <row r="822" spans="1:13" s="5" customFormat="1" x14ac:dyDescent="0.25">
      <c r="A822" s="12" t="s">
        <v>1624</v>
      </c>
      <c r="B822" s="13" t="s">
        <v>1625</v>
      </c>
      <c r="C822" s="14">
        <v>45239</v>
      </c>
      <c r="D822" s="13">
        <v>2023</v>
      </c>
      <c r="E822" s="13" t="s">
        <v>10</v>
      </c>
      <c r="F822" s="13" t="s">
        <v>11</v>
      </c>
      <c r="G822" s="15">
        <v>1035.95</v>
      </c>
      <c r="H822" s="15">
        <v>1035.95</v>
      </c>
      <c r="I822" s="13">
        <v>3</v>
      </c>
      <c r="J822" s="13">
        <v>3</v>
      </c>
      <c r="K822" s="13" t="s">
        <v>3348</v>
      </c>
      <c r="L822" s="15">
        <v>345.31666666666666</v>
      </c>
      <c r="M822" s="16">
        <v>383.74898148148145</v>
      </c>
    </row>
    <row r="823" spans="1:13" s="5" customFormat="1" x14ac:dyDescent="0.25">
      <c r="A823" s="12" t="s">
        <v>1626</v>
      </c>
      <c r="B823" s="13" t="s">
        <v>1627</v>
      </c>
      <c r="C823" s="14">
        <v>45886</v>
      </c>
      <c r="D823" s="13">
        <v>2025</v>
      </c>
      <c r="E823" s="13" t="s">
        <v>14</v>
      </c>
      <c r="F823" s="13" t="s">
        <v>22</v>
      </c>
      <c r="G823" s="15">
        <v>365.3</v>
      </c>
      <c r="H823" s="15">
        <v>365.3</v>
      </c>
      <c r="I823" s="13">
        <v>9</v>
      </c>
      <c r="J823" s="13">
        <v>9</v>
      </c>
      <c r="K823" s="13" t="s">
        <v>3346</v>
      </c>
      <c r="L823" s="15">
        <v>40.588888888888889</v>
      </c>
      <c r="M823" s="16">
        <v>40.588888888888889</v>
      </c>
    </row>
    <row r="824" spans="1:13" s="5" customFormat="1" x14ac:dyDescent="0.25">
      <c r="A824" s="12" t="s">
        <v>1628</v>
      </c>
      <c r="B824" s="13" t="s">
        <v>1629</v>
      </c>
      <c r="C824" s="14">
        <v>45643</v>
      </c>
      <c r="D824" s="13">
        <v>2024</v>
      </c>
      <c r="E824" s="13" t="s">
        <v>21</v>
      </c>
      <c r="F824" s="13" t="s">
        <v>22</v>
      </c>
      <c r="G824" s="15">
        <v>251.88</v>
      </c>
      <c r="H824" s="15">
        <v>251.88</v>
      </c>
      <c r="I824" s="13">
        <v>8</v>
      </c>
      <c r="J824" s="13">
        <v>8</v>
      </c>
      <c r="K824" s="13" t="s">
        <v>15</v>
      </c>
      <c r="L824" s="15">
        <v>31.484999999999999</v>
      </c>
      <c r="M824" s="16">
        <v>31.484999999999999</v>
      </c>
    </row>
    <row r="825" spans="1:13" s="5" customFormat="1" x14ac:dyDescent="0.25">
      <c r="A825" s="12" t="s">
        <v>1630</v>
      </c>
      <c r="B825" s="13" t="s">
        <v>1631</v>
      </c>
      <c r="C825" s="14">
        <v>45496</v>
      </c>
      <c r="D825" s="13">
        <v>2024</v>
      </c>
      <c r="E825" s="13" t="s">
        <v>10</v>
      </c>
      <c r="F825" s="13" t="s">
        <v>34</v>
      </c>
      <c r="G825" s="15">
        <v>182.82</v>
      </c>
      <c r="H825" s="15">
        <v>182.82</v>
      </c>
      <c r="I825" s="13">
        <v>4</v>
      </c>
      <c r="J825" s="13">
        <v>4</v>
      </c>
      <c r="K825" s="13" t="s">
        <v>3348</v>
      </c>
      <c r="L825" s="15">
        <v>45.704999999999998</v>
      </c>
      <c r="M825" s="16">
        <v>45.704999999999998</v>
      </c>
    </row>
    <row r="826" spans="1:13" s="5" customFormat="1" x14ac:dyDescent="0.25">
      <c r="A826" s="12" t="s">
        <v>1632</v>
      </c>
      <c r="B826" s="13" t="s">
        <v>1633</v>
      </c>
      <c r="C826" s="14">
        <v>44934</v>
      </c>
      <c r="D826" s="13">
        <v>2023</v>
      </c>
      <c r="E826" s="13" t="s">
        <v>10</v>
      </c>
      <c r="F826" s="13" t="s">
        <v>22</v>
      </c>
      <c r="G826" s="15">
        <v>842.61</v>
      </c>
      <c r="H826" s="15">
        <v>842.61</v>
      </c>
      <c r="I826" s="13">
        <v>4</v>
      </c>
      <c r="J826" s="13">
        <v>4</v>
      </c>
      <c r="K826" s="13" t="s">
        <v>3346</v>
      </c>
      <c r="L826" s="15">
        <v>210.6525</v>
      </c>
      <c r="M826" s="16">
        <v>210.6525</v>
      </c>
    </row>
    <row r="827" spans="1:13" s="5" customFormat="1" x14ac:dyDescent="0.25">
      <c r="A827" s="12" t="s">
        <v>1634</v>
      </c>
      <c r="B827" s="13" t="s">
        <v>1635</v>
      </c>
      <c r="C827" s="14">
        <v>45413</v>
      </c>
      <c r="D827" s="13">
        <v>2024</v>
      </c>
      <c r="E827" s="13" t="s">
        <v>14</v>
      </c>
      <c r="F827" s="13" t="s">
        <v>11</v>
      </c>
      <c r="G827" s="15">
        <v>1301.3488214285715</v>
      </c>
      <c r="H827" s="15">
        <v>1301.3488214285715</v>
      </c>
      <c r="I827" s="13">
        <v>8</v>
      </c>
      <c r="J827" s="13">
        <v>8</v>
      </c>
      <c r="K827" s="13" t="s">
        <v>3346</v>
      </c>
      <c r="L827" s="15">
        <v>162.66860267857143</v>
      </c>
      <c r="M827" s="16">
        <v>162.66860267857143</v>
      </c>
    </row>
    <row r="828" spans="1:13" s="5" customFormat="1" x14ac:dyDescent="0.25">
      <c r="A828" s="12" t="s">
        <v>1636</v>
      </c>
      <c r="B828" s="13" t="s">
        <v>1637</v>
      </c>
      <c r="C828" s="14">
        <v>45105</v>
      </c>
      <c r="D828" s="13">
        <v>2023</v>
      </c>
      <c r="E828" s="13" t="s">
        <v>14</v>
      </c>
      <c r="F828" s="13" t="s">
        <v>22</v>
      </c>
      <c r="G828" s="15">
        <v>89.64</v>
      </c>
      <c r="H828" s="15">
        <v>89.64</v>
      </c>
      <c r="I828" s="13">
        <v>9</v>
      </c>
      <c r="J828" s="13">
        <v>9</v>
      </c>
      <c r="K828" s="13" t="s">
        <v>3348</v>
      </c>
      <c r="L828" s="15">
        <v>9.9600000000000009</v>
      </c>
      <c r="M828" s="16">
        <v>9.9600000000000009</v>
      </c>
    </row>
    <row r="829" spans="1:13" s="5" customFormat="1" x14ac:dyDescent="0.25">
      <c r="A829" s="12" t="s">
        <v>1638</v>
      </c>
      <c r="B829" s="13" t="s">
        <v>1639</v>
      </c>
      <c r="C829" s="14">
        <v>45272</v>
      </c>
      <c r="D829" s="13">
        <v>2023</v>
      </c>
      <c r="E829" s="13" t="s">
        <v>10</v>
      </c>
      <c r="F829" s="13" t="s">
        <v>22</v>
      </c>
      <c r="G829" s="15">
        <v>1476.62</v>
      </c>
      <c r="H829" s="15">
        <v>1476.62</v>
      </c>
      <c r="I829" s="13">
        <v>2</v>
      </c>
      <c r="J829" s="13">
        <v>2</v>
      </c>
      <c r="K829" s="13" t="s">
        <v>15</v>
      </c>
      <c r="L829" s="15">
        <v>738.31</v>
      </c>
      <c r="M829" s="16">
        <v>738.31</v>
      </c>
    </row>
    <row r="830" spans="1:13" s="5" customFormat="1" x14ac:dyDescent="0.25">
      <c r="A830" s="12" t="s">
        <v>1640</v>
      </c>
      <c r="B830" s="13" t="s">
        <v>1641</v>
      </c>
      <c r="C830" s="14">
        <v>44971</v>
      </c>
      <c r="D830" s="13">
        <v>2023</v>
      </c>
      <c r="E830" s="13" t="s">
        <v>3347</v>
      </c>
      <c r="F830" s="13" t="s">
        <v>25</v>
      </c>
      <c r="G830" s="15">
        <v>947.3</v>
      </c>
      <c r="H830" s="15">
        <v>947.3</v>
      </c>
      <c r="I830" s="13">
        <v>10</v>
      </c>
      <c r="J830" s="13">
        <v>10</v>
      </c>
      <c r="K830" s="13" t="s">
        <v>3348</v>
      </c>
      <c r="L830" s="15">
        <v>94.72999999999999</v>
      </c>
      <c r="M830" s="16">
        <v>94.72999999999999</v>
      </c>
    </row>
    <row r="831" spans="1:13" s="5" customFormat="1" x14ac:dyDescent="0.25">
      <c r="A831" s="12" t="s">
        <v>1642</v>
      </c>
      <c r="B831" s="13" t="s">
        <v>1269</v>
      </c>
      <c r="C831" s="14">
        <v>45352</v>
      </c>
      <c r="D831" s="13">
        <v>2024</v>
      </c>
      <c r="E831" s="13" t="s">
        <v>3347</v>
      </c>
      <c r="F831" s="13" t="s">
        <v>11</v>
      </c>
      <c r="G831" s="15">
        <v>1332</v>
      </c>
      <c r="H831" s="15">
        <v>1332</v>
      </c>
      <c r="I831" s="13">
        <v>3</v>
      </c>
      <c r="J831" s="13">
        <v>3</v>
      </c>
      <c r="K831" s="13" t="s">
        <v>3348</v>
      </c>
      <c r="L831" s="15">
        <v>444</v>
      </c>
      <c r="M831" s="16">
        <v>444</v>
      </c>
    </row>
    <row r="832" spans="1:13" s="5" customFormat="1" x14ac:dyDescent="0.25">
      <c r="A832" s="12" t="s">
        <v>1643</v>
      </c>
      <c r="B832" s="13" t="s">
        <v>1644</v>
      </c>
      <c r="C832" s="14">
        <v>45947</v>
      </c>
      <c r="D832" s="13">
        <v>2025</v>
      </c>
      <c r="E832" s="13" t="s">
        <v>10</v>
      </c>
      <c r="F832" s="13" t="s">
        <v>25</v>
      </c>
      <c r="G832" s="15">
        <v>1405.99</v>
      </c>
      <c r="H832" s="15">
        <v>1405.99</v>
      </c>
      <c r="I832" s="13">
        <v>4</v>
      </c>
      <c r="J832" s="13">
        <v>4</v>
      </c>
      <c r="K832" s="13" t="s">
        <v>15</v>
      </c>
      <c r="L832" s="15">
        <v>351.4975</v>
      </c>
      <c r="M832" s="16">
        <v>351.4975</v>
      </c>
    </row>
    <row r="833" spans="1:13" s="5" customFormat="1" x14ac:dyDescent="0.25">
      <c r="A833" s="12" t="s">
        <v>1645</v>
      </c>
      <c r="B833" s="13" t="s">
        <v>1646</v>
      </c>
      <c r="C833" s="14">
        <v>45878</v>
      </c>
      <c r="D833" s="13">
        <v>2025</v>
      </c>
      <c r="E833" s="13" t="s">
        <v>3347</v>
      </c>
      <c r="F833" s="13" t="s">
        <v>25</v>
      </c>
      <c r="G833" s="15">
        <v>1259.3599999999999</v>
      </c>
      <c r="H833" s="15">
        <v>1259.3599999999999</v>
      </c>
      <c r="I833" s="13">
        <v>4</v>
      </c>
      <c r="J833" s="13">
        <v>4</v>
      </c>
      <c r="K833" s="13" t="s">
        <v>15</v>
      </c>
      <c r="L833" s="15">
        <v>314.83999999999997</v>
      </c>
      <c r="M833" s="16">
        <v>314.83999999999997</v>
      </c>
    </row>
    <row r="834" spans="1:13" s="5" customFormat="1" x14ac:dyDescent="0.25">
      <c r="A834" s="12" t="s">
        <v>1647</v>
      </c>
      <c r="B834" s="13" t="s">
        <v>1648</v>
      </c>
      <c r="C834" s="14">
        <v>44932</v>
      </c>
      <c r="D834" s="13">
        <v>2023</v>
      </c>
      <c r="E834" s="13" t="s">
        <v>14</v>
      </c>
      <c r="F834" s="13" t="s">
        <v>22</v>
      </c>
      <c r="G834" s="15">
        <v>1962.98</v>
      </c>
      <c r="H834" s="15">
        <v>1962.98</v>
      </c>
      <c r="I834" s="13">
        <v>5</v>
      </c>
      <c r="J834" s="13">
        <v>5</v>
      </c>
      <c r="K834" s="13" t="s">
        <v>15</v>
      </c>
      <c r="L834" s="15">
        <v>392.596</v>
      </c>
      <c r="M834" s="16">
        <v>392.596</v>
      </c>
    </row>
    <row r="835" spans="1:13" s="5" customFormat="1" x14ac:dyDescent="0.25">
      <c r="A835" s="12" t="s">
        <v>1649</v>
      </c>
      <c r="B835" s="13" t="s">
        <v>1650</v>
      </c>
      <c r="C835" s="14">
        <v>45755</v>
      </c>
      <c r="D835" s="13">
        <v>2025</v>
      </c>
      <c r="E835" s="13" t="s">
        <v>21</v>
      </c>
      <c r="F835" s="13" t="s">
        <v>34</v>
      </c>
      <c r="G835" s="15">
        <v>227.39</v>
      </c>
      <c r="H835" s="15">
        <v>227.39</v>
      </c>
      <c r="I835" s="13">
        <v>1</v>
      </c>
      <c r="J835" s="13">
        <v>1</v>
      </c>
      <c r="K835" s="13" t="s">
        <v>35</v>
      </c>
      <c r="L835" s="15">
        <v>227.39</v>
      </c>
      <c r="M835" s="16">
        <v>402.94178535353529</v>
      </c>
    </row>
    <row r="836" spans="1:13" s="5" customFormat="1" x14ac:dyDescent="0.25">
      <c r="A836" s="12" t="s">
        <v>1651</v>
      </c>
      <c r="B836" s="13" t="s">
        <v>1652</v>
      </c>
      <c r="C836" s="14">
        <v>45399</v>
      </c>
      <c r="D836" s="13">
        <v>2024</v>
      </c>
      <c r="E836" s="13" t="s">
        <v>21</v>
      </c>
      <c r="F836" s="13" t="s">
        <v>22</v>
      </c>
      <c r="G836" s="15">
        <v>709.15</v>
      </c>
      <c r="H836" s="15">
        <v>709.15</v>
      </c>
      <c r="I836" s="13">
        <v>1</v>
      </c>
      <c r="J836" s="13">
        <v>1</v>
      </c>
      <c r="K836" s="13" t="s">
        <v>15</v>
      </c>
      <c r="L836" s="15">
        <v>709.15</v>
      </c>
      <c r="M836" s="16">
        <v>709.15</v>
      </c>
    </row>
    <row r="837" spans="1:13" s="5" customFormat="1" x14ac:dyDescent="0.25">
      <c r="A837" s="12" t="s">
        <v>1653</v>
      </c>
      <c r="B837" s="13" t="s">
        <v>1654</v>
      </c>
      <c r="C837" s="14">
        <v>45300</v>
      </c>
      <c r="D837" s="13">
        <v>2024</v>
      </c>
      <c r="E837" s="13" t="s">
        <v>3347</v>
      </c>
      <c r="F837" s="13" t="s">
        <v>22</v>
      </c>
      <c r="G837" s="15">
        <v>1168.48</v>
      </c>
      <c r="H837" s="15">
        <v>1168.48</v>
      </c>
      <c r="I837" s="13">
        <v>4</v>
      </c>
      <c r="J837" s="13">
        <v>4</v>
      </c>
      <c r="K837" s="13" t="s">
        <v>3346</v>
      </c>
      <c r="L837" s="15">
        <v>292.12</v>
      </c>
      <c r="M837" s="16">
        <v>292.12</v>
      </c>
    </row>
    <row r="838" spans="1:13" s="5" customFormat="1" x14ac:dyDescent="0.25">
      <c r="A838" s="12" t="s">
        <v>1655</v>
      </c>
      <c r="B838" s="13" t="s">
        <v>321</v>
      </c>
      <c r="C838" s="14">
        <v>45262</v>
      </c>
      <c r="D838" s="13">
        <v>2023</v>
      </c>
      <c r="E838" s="13" t="s">
        <v>3347</v>
      </c>
      <c r="F838" s="13" t="s">
        <v>11</v>
      </c>
      <c r="G838" s="15">
        <v>511.25</v>
      </c>
      <c r="H838" s="15">
        <v>511.25</v>
      </c>
      <c r="I838" s="13">
        <v>9</v>
      </c>
      <c r="J838" s="13">
        <v>9</v>
      </c>
      <c r="K838" s="13" t="s">
        <v>18</v>
      </c>
      <c r="L838" s="15">
        <v>56.805555555555557</v>
      </c>
      <c r="M838" s="16">
        <v>56.805555555555557</v>
      </c>
    </row>
    <row r="839" spans="1:13" s="5" customFormat="1" x14ac:dyDescent="0.25">
      <c r="A839" s="12" t="s">
        <v>1656</v>
      </c>
      <c r="B839" s="13" t="s">
        <v>1657</v>
      </c>
      <c r="C839" s="14">
        <v>45483</v>
      </c>
      <c r="D839" s="13">
        <v>2024</v>
      </c>
      <c r="E839" s="13" t="s">
        <v>10</v>
      </c>
      <c r="F839" s="13" t="s">
        <v>34</v>
      </c>
      <c r="G839" s="15">
        <v>989.73</v>
      </c>
      <c r="H839" s="15">
        <v>989.73</v>
      </c>
      <c r="I839" s="13">
        <v>8</v>
      </c>
      <c r="J839" s="13">
        <v>8</v>
      </c>
      <c r="K839" s="13" t="s">
        <v>35</v>
      </c>
      <c r="L839" s="15">
        <v>123.71625</v>
      </c>
      <c r="M839" s="16">
        <v>123.71625</v>
      </c>
    </row>
    <row r="840" spans="1:13" s="5" customFormat="1" x14ac:dyDescent="0.25">
      <c r="A840" s="12" t="s">
        <v>1658</v>
      </c>
      <c r="B840" s="13" t="s">
        <v>1659</v>
      </c>
      <c r="C840" s="14">
        <v>45792</v>
      </c>
      <c r="D840" s="13">
        <v>2025</v>
      </c>
      <c r="E840" s="13" t="s">
        <v>21</v>
      </c>
      <c r="F840" s="13" t="s">
        <v>34</v>
      </c>
      <c r="G840" s="15">
        <v>1390.1</v>
      </c>
      <c r="H840" s="15">
        <v>1390.1</v>
      </c>
      <c r="I840" s="13">
        <v>2</v>
      </c>
      <c r="J840" s="13">
        <v>2</v>
      </c>
      <c r="K840" s="13" t="s">
        <v>3348</v>
      </c>
      <c r="L840" s="15">
        <v>695.05</v>
      </c>
      <c r="M840" s="16">
        <v>695.05</v>
      </c>
    </row>
    <row r="841" spans="1:13" s="5" customFormat="1" x14ac:dyDescent="0.25">
      <c r="A841" s="12" t="s">
        <v>1660</v>
      </c>
      <c r="B841" s="13" t="s">
        <v>1661</v>
      </c>
      <c r="C841" s="14">
        <v>45664</v>
      </c>
      <c r="D841" s="13">
        <v>2025</v>
      </c>
      <c r="E841" s="13" t="s">
        <v>14</v>
      </c>
      <c r="F841" s="13" t="s">
        <v>11</v>
      </c>
      <c r="G841" s="15">
        <v>231.17</v>
      </c>
      <c r="H841" s="15">
        <v>231.17</v>
      </c>
      <c r="I841" s="13">
        <v>10</v>
      </c>
      <c r="J841" s="13">
        <v>10</v>
      </c>
      <c r="K841" s="13" t="s">
        <v>3348</v>
      </c>
      <c r="L841" s="15">
        <v>23.116999999999997</v>
      </c>
      <c r="M841" s="16">
        <v>23.116999999999997</v>
      </c>
    </row>
    <row r="842" spans="1:13" s="5" customFormat="1" x14ac:dyDescent="0.25">
      <c r="A842" s="12" t="s">
        <v>1662</v>
      </c>
      <c r="B842" s="13" t="s">
        <v>1663</v>
      </c>
      <c r="C842" s="14">
        <v>45751</v>
      </c>
      <c r="D842" s="13">
        <v>2025</v>
      </c>
      <c r="E842" s="13" t="s">
        <v>3347</v>
      </c>
      <c r="F842" s="13" t="s">
        <v>34</v>
      </c>
      <c r="G842" s="15">
        <v>908.86</v>
      </c>
      <c r="H842" s="15">
        <v>908.86</v>
      </c>
      <c r="I842" s="13">
        <v>4</v>
      </c>
      <c r="J842" s="13">
        <v>4</v>
      </c>
      <c r="K842" s="13" t="s">
        <v>15</v>
      </c>
      <c r="L842" s="15">
        <v>227.215</v>
      </c>
      <c r="M842" s="16">
        <v>227.215</v>
      </c>
    </row>
    <row r="843" spans="1:13" s="5" customFormat="1" x14ac:dyDescent="0.25">
      <c r="A843" s="12" t="s">
        <v>1664</v>
      </c>
      <c r="B843" s="13" t="s">
        <v>1665</v>
      </c>
      <c r="C843" s="14">
        <v>45594</v>
      </c>
      <c r="D843" s="13">
        <v>2024</v>
      </c>
      <c r="E843" s="13" t="s">
        <v>21</v>
      </c>
      <c r="F843" s="13" t="s">
        <v>25</v>
      </c>
      <c r="G843" s="15">
        <v>177.06</v>
      </c>
      <c r="H843" s="15">
        <v>177.06</v>
      </c>
      <c r="I843" s="13">
        <v>7</v>
      </c>
      <c r="J843" s="13">
        <v>7</v>
      </c>
      <c r="K843" s="13" t="s">
        <v>18</v>
      </c>
      <c r="L843" s="15">
        <v>25.294285714285714</v>
      </c>
      <c r="M843" s="16">
        <v>25.294285714285714</v>
      </c>
    </row>
    <row r="844" spans="1:13" s="5" customFormat="1" x14ac:dyDescent="0.25">
      <c r="A844" s="12" t="s">
        <v>1666</v>
      </c>
      <c r="B844" s="13" t="s">
        <v>1667</v>
      </c>
      <c r="C844" s="14">
        <v>45907</v>
      </c>
      <c r="D844" s="13">
        <v>2025</v>
      </c>
      <c r="E844" s="13" t="s">
        <v>10</v>
      </c>
      <c r="F844" s="13" t="s">
        <v>22</v>
      </c>
      <c r="G844" s="15">
        <v>1138.22</v>
      </c>
      <c r="H844" s="15">
        <v>1138.22</v>
      </c>
      <c r="I844" s="13">
        <v>9</v>
      </c>
      <c r="J844" s="13">
        <v>9</v>
      </c>
      <c r="K844" s="13" t="s">
        <v>15</v>
      </c>
      <c r="L844" s="15">
        <v>126.4688888888889</v>
      </c>
      <c r="M844" s="16">
        <v>126.4688888888889</v>
      </c>
    </row>
    <row r="845" spans="1:13" s="5" customFormat="1" x14ac:dyDescent="0.25">
      <c r="A845" s="12" t="s">
        <v>1668</v>
      </c>
      <c r="B845" s="13" t="s">
        <v>1669</v>
      </c>
      <c r="C845" s="14">
        <v>45109</v>
      </c>
      <c r="D845" s="13">
        <v>2023</v>
      </c>
      <c r="E845" s="13" t="s">
        <v>10</v>
      </c>
      <c r="F845" s="13" t="s">
        <v>22</v>
      </c>
      <c r="G845" s="15">
        <v>892.82</v>
      </c>
      <c r="H845" s="15">
        <v>892.82</v>
      </c>
      <c r="I845" s="13">
        <v>6</v>
      </c>
      <c r="J845" s="13">
        <v>6</v>
      </c>
      <c r="K845" s="13" t="s">
        <v>35</v>
      </c>
      <c r="L845" s="15">
        <v>148.80333333333334</v>
      </c>
      <c r="M845" s="16">
        <v>148.80333333333334</v>
      </c>
    </row>
    <row r="846" spans="1:13" s="5" customFormat="1" x14ac:dyDescent="0.25">
      <c r="A846" s="12" t="s">
        <v>1670</v>
      </c>
      <c r="B846" s="13" t="s">
        <v>1671</v>
      </c>
      <c r="C846" s="14">
        <v>45376</v>
      </c>
      <c r="D846" s="13">
        <v>2024</v>
      </c>
      <c r="E846" s="13" t="s">
        <v>14</v>
      </c>
      <c r="F846" s="13" t="s">
        <v>34</v>
      </c>
      <c r="G846" s="15">
        <v>541.20000000000005</v>
      </c>
      <c r="H846" s="15">
        <v>541.20000000000005</v>
      </c>
      <c r="I846" s="13">
        <v>8</v>
      </c>
      <c r="J846" s="13">
        <v>8</v>
      </c>
      <c r="K846" s="13" t="s">
        <v>18</v>
      </c>
      <c r="L846" s="15">
        <v>67.650000000000006</v>
      </c>
      <c r="M846" s="16">
        <v>67.650000000000006</v>
      </c>
    </row>
    <row r="847" spans="1:13" s="5" customFormat="1" x14ac:dyDescent="0.25">
      <c r="A847" s="12" t="s">
        <v>1672</v>
      </c>
      <c r="B847" s="13" t="s">
        <v>1673</v>
      </c>
      <c r="C847" s="14">
        <v>44881</v>
      </c>
      <c r="D847" s="13">
        <v>2022</v>
      </c>
      <c r="E847" s="13" t="s">
        <v>10</v>
      </c>
      <c r="F847" s="13" t="s">
        <v>34</v>
      </c>
      <c r="G847" s="15">
        <v>2280.7866666666669</v>
      </c>
      <c r="H847" s="15">
        <v>2280.7866666666669</v>
      </c>
      <c r="I847" s="13">
        <v>4</v>
      </c>
      <c r="J847" s="13">
        <v>4</v>
      </c>
      <c r="K847" s="13" t="s">
        <v>35</v>
      </c>
      <c r="L847" s="15">
        <v>570.19666666666672</v>
      </c>
      <c r="M847" s="16">
        <v>570.19666666666672</v>
      </c>
    </row>
    <row r="848" spans="1:13" s="5" customFormat="1" x14ac:dyDescent="0.25">
      <c r="A848" s="12" t="s">
        <v>1674</v>
      </c>
      <c r="B848" s="13" t="s">
        <v>1675</v>
      </c>
      <c r="C848" s="14">
        <v>45843</v>
      </c>
      <c r="D848" s="13">
        <v>2025</v>
      </c>
      <c r="E848" s="13" t="s">
        <v>14</v>
      </c>
      <c r="F848" s="13" t="s">
        <v>11</v>
      </c>
      <c r="G848" s="15">
        <v>303.22800000000001</v>
      </c>
      <c r="H848" s="15">
        <v>303.22800000000001</v>
      </c>
      <c r="I848" s="13">
        <v>9</v>
      </c>
      <c r="J848" s="13">
        <v>9</v>
      </c>
      <c r="K848" s="13" t="s">
        <v>15</v>
      </c>
      <c r="L848" s="15">
        <v>33.692</v>
      </c>
      <c r="M848" s="16">
        <v>33.692</v>
      </c>
    </row>
    <row r="849" spans="1:13" s="5" customFormat="1" x14ac:dyDescent="0.25">
      <c r="A849" s="12" t="s">
        <v>1676</v>
      </c>
      <c r="B849" s="13" t="s">
        <v>1677</v>
      </c>
      <c r="C849" s="14">
        <v>45391</v>
      </c>
      <c r="D849" s="13">
        <v>2024</v>
      </c>
      <c r="E849" s="13" t="s">
        <v>3347</v>
      </c>
      <c r="F849" s="13" t="s">
        <v>25</v>
      </c>
      <c r="G849" s="15">
        <v>695.4059166666666</v>
      </c>
      <c r="H849" s="15">
        <v>695.4059166666666</v>
      </c>
      <c r="I849" s="13">
        <v>3</v>
      </c>
      <c r="J849" s="13">
        <v>3</v>
      </c>
      <c r="K849" s="13" t="s">
        <v>15</v>
      </c>
      <c r="L849" s="15">
        <v>231.80197222222219</v>
      </c>
      <c r="M849" s="16">
        <v>231.80197222222222</v>
      </c>
    </row>
    <row r="850" spans="1:13" s="5" customFormat="1" x14ac:dyDescent="0.25">
      <c r="A850" s="12" t="s">
        <v>1678</v>
      </c>
      <c r="B850" s="13" t="s">
        <v>1679</v>
      </c>
      <c r="C850" s="14">
        <v>45448</v>
      </c>
      <c r="D850" s="13">
        <v>2024</v>
      </c>
      <c r="E850" s="13" t="s">
        <v>10</v>
      </c>
      <c r="F850" s="13" t="s">
        <v>34</v>
      </c>
      <c r="G850" s="15">
        <v>1172.17</v>
      </c>
      <c r="H850" s="15">
        <v>1172.17</v>
      </c>
      <c r="I850" s="13">
        <v>6</v>
      </c>
      <c r="J850" s="13">
        <v>6</v>
      </c>
      <c r="K850" s="13" t="s">
        <v>35</v>
      </c>
      <c r="L850" s="15">
        <v>195.36166666666668</v>
      </c>
      <c r="M850" s="16">
        <v>195.36166666666668</v>
      </c>
    </row>
    <row r="851" spans="1:13" s="5" customFormat="1" x14ac:dyDescent="0.25">
      <c r="A851" s="12" t="s">
        <v>1680</v>
      </c>
      <c r="B851" s="13" t="s">
        <v>773</v>
      </c>
      <c r="C851" s="14">
        <v>45063</v>
      </c>
      <c r="D851" s="13">
        <v>2023</v>
      </c>
      <c r="E851" s="13" t="s">
        <v>14</v>
      </c>
      <c r="F851" s="13" t="s">
        <v>11</v>
      </c>
      <c r="G851" s="15">
        <v>1635.2</v>
      </c>
      <c r="H851" s="15">
        <v>1635.2</v>
      </c>
      <c r="I851" s="13">
        <v>5</v>
      </c>
      <c r="J851" s="13">
        <v>5</v>
      </c>
      <c r="K851" s="13" t="s">
        <v>3346</v>
      </c>
      <c r="L851" s="15">
        <v>327.04000000000002</v>
      </c>
      <c r="M851" s="16">
        <v>327.04000000000002</v>
      </c>
    </row>
    <row r="852" spans="1:13" s="5" customFormat="1" x14ac:dyDescent="0.25">
      <c r="A852" s="12" t="s">
        <v>1681</v>
      </c>
      <c r="B852" s="13" t="s">
        <v>1682</v>
      </c>
      <c r="C852" s="14">
        <v>45638</v>
      </c>
      <c r="D852" s="13">
        <v>2024</v>
      </c>
      <c r="E852" s="13" t="s">
        <v>14</v>
      </c>
      <c r="F852" s="13" t="s">
        <v>11</v>
      </c>
      <c r="G852" s="15">
        <v>2066.7682777777777</v>
      </c>
      <c r="H852" s="15">
        <v>2066.7682777777777</v>
      </c>
      <c r="I852" s="13">
        <v>7</v>
      </c>
      <c r="J852" s="13">
        <v>7</v>
      </c>
      <c r="K852" s="13" t="s">
        <v>15</v>
      </c>
      <c r="L852" s="15">
        <v>295.25261111111109</v>
      </c>
      <c r="M852" s="16">
        <v>295.25261111111109</v>
      </c>
    </row>
    <row r="853" spans="1:13" s="5" customFormat="1" x14ac:dyDescent="0.25">
      <c r="A853" s="12" t="s">
        <v>1683</v>
      </c>
      <c r="B853" s="13" t="s">
        <v>1684</v>
      </c>
      <c r="C853" s="14">
        <v>45434</v>
      </c>
      <c r="D853" s="13">
        <v>2024</v>
      </c>
      <c r="E853" s="13" t="s">
        <v>14</v>
      </c>
      <c r="F853" s="13" t="s">
        <v>25</v>
      </c>
      <c r="G853" s="15">
        <v>1118.6600000000001</v>
      </c>
      <c r="H853" s="15">
        <v>1118.6600000000001</v>
      </c>
      <c r="I853" s="13">
        <v>2</v>
      </c>
      <c r="J853" s="13">
        <v>2</v>
      </c>
      <c r="K853" s="13" t="s">
        <v>35</v>
      </c>
      <c r="L853" s="15">
        <v>559.33000000000004</v>
      </c>
      <c r="M853" s="16">
        <v>470.84481944444445</v>
      </c>
    </row>
    <row r="854" spans="1:13" s="5" customFormat="1" x14ac:dyDescent="0.25">
      <c r="A854" s="12" t="s">
        <v>1685</v>
      </c>
      <c r="B854" s="13" t="s">
        <v>1686</v>
      </c>
      <c r="C854" s="14">
        <v>45753</v>
      </c>
      <c r="D854" s="13">
        <v>2025</v>
      </c>
      <c r="E854" s="13" t="s">
        <v>21</v>
      </c>
      <c r="F854" s="13" t="s">
        <v>22</v>
      </c>
      <c r="G854" s="15">
        <v>1695.06</v>
      </c>
      <c r="H854" s="15">
        <v>1695.06</v>
      </c>
      <c r="I854" s="13">
        <v>8</v>
      </c>
      <c r="J854" s="13">
        <v>8</v>
      </c>
      <c r="K854" s="13" t="s">
        <v>3346</v>
      </c>
      <c r="L854" s="15">
        <v>211.88249999999999</v>
      </c>
      <c r="M854" s="16">
        <v>211.88249999999999</v>
      </c>
    </row>
    <row r="855" spans="1:13" s="5" customFormat="1" x14ac:dyDescent="0.25">
      <c r="A855" s="12" t="s">
        <v>1687</v>
      </c>
      <c r="B855" s="13" t="s">
        <v>1688</v>
      </c>
      <c r="C855" s="14">
        <v>45443</v>
      </c>
      <c r="D855" s="13">
        <v>2024</v>
      </c>
      <c r="E855" s="13" t="s">
        <v>10</v>
      </c>
      <c r="F855" s="13" t="s">
        <v>34</v>
      </c>
      <c r="G855" s="15">
        <v>1375.9</v>
      </c>
      <c r="H855" s="15">
        <v>1375.9</v>
      </c>
      <c r="I855" s="13">
        <v>10</v>
      </c>
      <c r="J855" s="13">
        <v>10</v>
      </c>
      <c r="K855" s="13" t="s">
        <v>35</v>
      </c>
      <c r="L855" s="15">
        <v>137.59</v>
      </c>
      <c r="M855" s="16">
        <v>137.59</v>
      </c>
    </row>
    <row r="856" spans="1:13" s="5" customFormat="1" x14ac:dyDescent="0.25">
      <c r="A856" s="12" t="s">
        <v>1689</v>
      </c>
      <c r="B856" s="13" t="s">
        <v>1690</v>
      </c>
      <c r="C856" s="14">
        <v>45723</v>
      </c>
      <c r="D856" s="13">
        <v>2025</v>
      </c>
      <c r="E856" s="13" t="s">
        <v>14</v>
      </c>
      <c r="F856" s="13" t="s">
        <v>34</v>
      </c>
      <c r="G856" s="15">
        <v>809.35</v>
      </c>
      <c r="H856" s="15">
        <v>809.35</v>
      </c>
      <c r="I856" s="13">
        <v>9</v>
      </c>
      <c r="J856" s="13">
        <v>9</v>
      </c>
      <c r="K856" s="13" t="s">
        <v>3346</v>
      </c>
      <c r="L856" s="15">
        <v>89.927777777777777</v>
      </c>
      <c r="M856" s="16">
        <v>89.927777777777777</v>
      </c>
    </row>
    <row r="857" spans="1:13" s="5" customFormat="1" x14ac:dyDescent="0.25">
      <c r="A857" s="12" t="s">
        <v>1691</v>
      </c>
      <c r="B857" s="13" t="s">
        <v>1692</v>
      </c>
      <c r="C857" s="14">
        <v>45935</v>
      </c>
      <c r="D857" s="13">
        <v>2025</v>
      </c>
      <c r="E857" s="13" t="s">
        <v>3347</v>
      </c>
      <c r="F857" s="13" t="s">
        <v>34</v>
      </c>
      <c r="G857" s="15">
        <v>1908.17</v>
      </c>
      <c r="H857" s="15">
        <v>1908.17</v>
      </c>
      <c r="I857" s="13">
        <v>1</v>
      </c>
      <c r="J857" s="13">
        <v>1</v>
      </c>
      <c r="K857" s="13" t="s">
        <v>18</v>
      </c>
      <c r="L857" s="15">
        <v>1908.17</v>
      </c>
      <c r="M857" s="16">
        <v>1908.17</v>
      </c>
    </row>
    <row r="858" spans="1:13" s="5" customFormat="1" x14ac:dyDescent="0.25">
      <c r="A858" s="12" t="s">
        <v>1693</v>
      </c>
      <c r="B858" s="13" t="s">
        <v>1694</v>
      </c>
      <c r="C858" s="14">
        <v>45741</v>
      </c>
      <c r="D858" s="13">
        <v>2025</v>
      </c>
      <c r="E858" s="13" t="s">
        <v>3347</v>
      </c>
      <c r="F858" s="13" t="s">
        <v>25</v>
      </c>
      <c r="G858" s="15">
        <v>473.38577551020404</v>
      </c>
      <c r="H858" s="15">
        <v>473.38577551020404</v>
      </c>
      <c r="I858" s="13">
        <v>1</v>
      </c>
      <c r="J858" s="13">
        <v>1</v>
      </c>
      <c r="K858" s="13" t="s">
        <v>15</v>
      </c>
      <c r="L858" s="15">
        <v>473.38577551020404</v>
      </c>
      <c r="M858" s="16">
        <v>473.38577551020404</v>
      </c>
    </row>
    <row r="859" spans="1:13" s="5" customFormat="1" x14ac:dyDescent="0.25">
      <c r="A859" s="12" t="s">
        <v>1695</v>
      </c>
      <c r="B859" s="13" t="s">
        <v>1306</v>
      </c>
      <c r="C859" s="14">
        <v>45640</v>
      </c>
      <c r="D859" s="13">
        <v>2024</v>
      </c>
      <c r="E859" s="13" t="s">
        <v>14</v>
      </c>
      <c r="F859" s="13" t="s">
        <v>25</v>
      </c>
      <c r="G859" s="15">
        <v>1171.6199999999999</v>
      </c>
      <c r="H859" s="15">
        <v>1171.6199999999999</v>
      </c>
      <c r="I859" s="13">
        <v>7</v>
      </c>
      <c r="J859" s="13">
        <v>7</v>
      </c>
      <c r="K859" s="13" t="s">
        <v>15</v>
      </c>
      <c r="L859" s="15">
        <v>167.37428571428569</v>
      </c>
      <c r="M859" s="16">
        <v>167.37428571428569</v>
      </c>
    </row>
    <row r="860" spans="1:13" s="5" customFormat="1" x14ac:dyDescent="0.25">
      <c r="A860" s="12" t="s">
        <v>1696</v>
      </c>
      <c r="B860" s="13" t="s">
        <v>1697</v>
      </c>
      <c r="C860" s="14">
        <v>45831</v>
      </c>
      <c r="D860" s="13">
        <v>2025</v>
      </c>
      <c r="E860" s="13" t="s">
        <v>14</v>
      </c>
      <c r="F860" s="13" t="s">
        <v>34</v>
      </c>
      <c r="G860" s="15">
        <v>1714.46</v>
      </c>
      <c r="H860" s="15">
        <v>1714.46</v>
      </c>
      <c r="I860" s="13">
        <v>8</v>
      </c>
      <c r="J860" s="13">
        <v>8</v>
      </c>
      <c r="K860" s="13" t="s">
        <v>3346</v>
      </c>
      <c r="L860" s="15">
        <v>214.3075</v>
      </c>
      <c r="M860" s="16">
        <v>214.3075</v>
      </c>
    </row>
    <row r="861" spans="1:13" s="5" customFormat="1" x14ac:dyDescent="0.25">
      <c r="A861" s="12" t="s">
        <v>1698</v>
      </c>
      <c r="B861" s="13" t="s">
        <v>1699</v>
      </c>
      <c r="C861" s="14">
        <v>45797</v>
      </c>
      <c r="D861" s="13">
        <v>2025</v>
      </c>
      <c r="E861" s="13" t="s">
        <v>3347</v>
      </c>
      <c r="F861" s="13" t="s">
        <v>25</v>
      </c>
      <c r="G861" s="15">
        <v>508</v>
      </c>
      <c r="H861" s="15">
        <v>508</v>
      </c>
      <c r="I861" s="13">
        <v>7</v>
      </c>
      <c r="J861" s="13">
        <v>7</v>
      </c>
      <c r="K861" s="13" t="s">
        <v>15</v>
      </c>
      <c r="L861" s="15">
        <v>72.571428571428569</v>
      </c>
      <c r="M861" s="16">
        <v>72.571428571428569</v>
      </c>
    </row>
    <row r="862" spans="1:13" s="5" customFormat="1" x14ac:dyDescent="0.25">
      <c r="A862" s="12" t="s">
        <v>1700</v>
      </c>
      <c r="B862" s="13" t="s">
        <v>1701</v>
      </c>
      <c r="C862" s="14">
        <v>45307</v>
      </c>
      <c r="D862" s="13">
        <v>2024</v>
      </c>
      <c r="E862" s="13" t="s">
        <v>14</v>
      </c>
      <c r="F862" s="13" t="s">
        <v>22</v>
      </c>
      <c r="G862" s="15">
        <v>1709.73</v>
      </c>
      <c r="H862" s="15">
        <v>1709.73</v>
      </c>
      <c r="I862" s="13">
        <v>5</v>
      </c>
      <c r="J862" s="13">
        <v>5</v>
      </c>
      <c r="K862" s="13" t="s">
        <v>3348</v>
      </c>
      <c r="L862" s="15">
        <v>341.94600000000003</v>
      </c>
      <c r="M862" s="16">
        <v>341.94600000000003</v>
      </c>
    </row>
    <row r="863" spans="1:13" s="5" customFormat="1" x14ac:dyDescent="0.25">
      <c r="A863" s="12" t="s">
        <v>1702</v>
      </c>
      <c r="B863" s="13" t="s">
        <v>1703</v>
      </c>
      <c r="C863" s="14">
        <v>45701</v>
      </c>
      <c r="D863" s="13">
        <v>2025</v>
      </c>
      <c r="E863" s="13" t="s">
        <v>21</v>
      </c>
      <c r="F863" s="13" t="s">
        <v>11</v>
      </c>
      <c r="G863" s="15">
        <v>637.77</v>
      </c>
      <c r="H863" s="15">
        <v>637.77</v>
      </c>
      <c r="I863" s="13">
        <v>2</v>
      </c>
      <c r="J863" s="13">
        <v>2</v>
      </c>
      <c r="K863" s="13" t="s">
        <v>35</v>
      </c>
      <c r="L863" s="15">
        <v>318.88499999999999</v>
      </c>
      <c r="M863" s="16">
        <v>274.60970833333334</v>
      </c>
    </row>
    <row r="864" spans="1:13" s="5" customFormat="1" x14ac:dyDescent="0.25">
      <c r="A864" s="12" t="s">
        <v>1704</v>
      </c>
      <c r="B864" s="13" t="s">
        <v>1705</v>
      </c>
      <c r="C864" s="14">
        <v>44881</v>
      </c>
      <c r="D864" s="13">
        <v>2022</v>
      </c>
      <c r="E864" s="13" t="s">
        <v>14</v>
      </c>
      <c r="F864" s="13" t="s">
        <v>22</v>
      </c>
      <c r="G864" s="15">
        <v>996.26760084033629</v>
      </c>
      <c r="H864" s="15">
        <v>996.26760084033629</v>
      </c>
      <c r="I864" s="13">
        <v>6</v>
      </c>
      <c r="J864" s="13">
        <v>6</v>
      </c>
      <c r="K864" s="13" t="s">
        <v>18</v>
      </c>
      <c r="L864" s="15">
        <v>166.04460014005605</v>
      </c>
      <c r="M864" s="16">
        <v>166.04460014005605</v>
      </c>
    </row>
    <row r="865" spans="1:13" s="5" customFormat="1" x14ac:dyDescent="0.25">
      <c r="A865" s="12" t="s">
        <v>1706</v>
      </c>
      <c r="B865" s="13" t="s">
        <v>1707</v>
      </c>
      <c r="C865" s="14">
        <v>45736</v>
      </c>
      <c r="D865" s="13">
        <v>2025</v>
      </c>
      <c r="E865" s="13" t="s">
        <v>10</v>
      </c>
      <c r="F865" s="13" t="s">
        <v>22</v>
      </c>
      <c r="G865" s="15">
        <v>275.75</v>
      </c>
      <c r="H865" s="15">
        <v>275.75</v>
      </c>
      <c r="I865" s="13">
        <v>4</v>
      </c>
      <c r="J865" s="13">
        <v>4</v>
      </c>
      <c r="K865" s="13" t="s">
        <v>18</v>
      </c>
      <c r="L865" s="15">
        <v>68.9375</v>
      </c>
      <c r="M865" s="16">
        <v>68.9375</v>
      </c>
    </row>
    <row r="866" spans="1:13" s="5" customFormat="1" x14ac:dyDescent="0.25">
      <c r="A866" s="12" t="s">
        <v>1708</v>
      </c>
      <c r="B866" s="13" t="s">
        <v>1709</v>
      </c>
      <c r="C866" s="14">
        <v>45772</v>
      </c>
      <c r="D866" s="13">
        <v>2025</v>
      </c>
      <c r="E866" s="13" t="s">
        <v>14</v>
      </c>
      <c r="F866" s="13" t="s">
        <v>22</v>
      </c>
      <c r="G866" s="15">
        <v>848.14</v>
      </c>
      <c r="H866" s="15">
        <v>848.14</v>
      </c>
      <c r="I866" s="13">
        <v>4</v>
      </c>
      <c r="J866" s="13">
        <v>4</v>
      </c>
      <c r="K866" s="13" t="s">
        <v>15</v>
      </c>
      <c r="L866" s="15">
        <v>212.035</v>
      </c>
      <c r="M866" s="16">
        <v>212.035</v>
      </c>
    </row>
    <row r="867" spans="1:13" s="5" customFormat="1" x14ac:dyDescent="0.25">
      <c r="A867" s="12" t="s">
        <v>1710</v>
      </c>
      <c r="B867" s="13" t="s">
        <v>1711</v>
      </c>
      <c r="C867" s="14">
        <v>45553</v>
      </c>
      <c r="D867" s="13">
        <v>2024</v>
      </c>
      <c r="E867" s="13" t="s">
        <v>3347</v>
      </c>
      <c r="F867" s="13" t="s">
        <v>25</v>
      </c>
      <c r="G867" s="15">
        <v>487.15</v>
      </c>
      <c r="H867" s="15">
        <v>487.15</v>
      </c>
      <c r="I867" s="13">
        <v>4</v>
      </c>
      <c r="J867" s="13">
        <v>4</v>
      </c>
      <c r="K867" s="13" t="s">
        <v>3346</v>
      </c>
      <c r="L867" s="15">
        <v>121.78749999999999</v>
      </c>
      <c r="M867" s="16">
        <v>121.78749999999999</v>
      </c>
    </row>
    <row r="868" spans="1:13" s="5" customFormat="1" x14ac:dyDescent="0.25">
      <c r="A868" s="12" t="s">
        <v>1712</v>
      </c>
      <c r="B868" s="13" t="s">
        <v>1713</v>
      </c>
      <c r="C868" s="14">
        <v>45586</v>
      </c>
      <c r="D868" s="13">
        <v>2024</v>
      </c>
      <c r="E868" s="13" t="s">
        <v>14</v>
      </c>
      <c r="F868" s="13" t="s">
        <v>25</v>
      </c>
      <c r="G868" s="15">
        <v>1806.62</v>
      </c>
      <c r="H868" s="15">
        <v>1806.62</v>
      </c>
      <c r="I868" s="13">
        <v>3</v>
      </c>
      <c r="J868" s="13">
        <v>3</v>
      </c>
      <c r="K868" s="13" t="s">
        <v>18</v>
      </c>
      <c r="L868" s="15">
        <v>602.20666666666659</v>
      </c>
      <c r="M868" s="16">
        <v>517.42422222222228</v>
      </c>
    </row>
    <row r="869" spans="1:13" s="5" customFormat="1" x14ac:dyDescent="0.25">
      <c r="A869" s="12" t="s">
        <v>1714</v>
      </c>
      <c r="B869" s="13" t="s">
        <v>1715</v>
      </c>
      <c r="C869" s="14">
        <v>45496</v>
      </c>
      <c r="D869" s="13">
        <v>2024</v>
      </c>
      <c r="E869" s="13" t="s">
        <v>3347</v>
      </c>
      <c r="F869" s="13" t="s">
        <v>22</v>
      </c>
      <c r="G869" s="15">
        <v>1688.11</v>
      </c>
      <c r="H869" s="15">
        <v>1688.11</v>
      </c>
      <c r="I869" s="13">
        <v>3</v>
      </c>
      <c r="J869" s="13">
        <v>3</v>
      </c>
      <c r="K869" s="13" t="s">
        <v>35</v>
      </c>
      <c r="L869" s="15">
        <v>562.70333333333326</v>
      </c>
      <c r="M869" s="16">
        <v>562.70333333333326</v>
      </c>
    </row>
    <row r="870" spans="1:13" s="5" customFormat="1" x14ac:dyDescent="0.25">
      <c r="A870" s="12" t="s">
        <v>1716</v>
      </c>
      <c r="B870" s="13" t="s">
        <v>1717</v>
      </c>
      <c r="C870" s="14">
        <v>45091</v>
      </c>
      <c r="D870" s="13">
        <v>2023</v>
      </c>
      <c r="E870" s="13" t="s">
        <v>3347</v>
      </c>
      <c r="F870" s="13" t="s">
        <v>34</v>
      </c>
      <c r="G870" s="15">
        <v>1437.43</v>
      </c>
      <c r="H870" s="15">
        <v>1437.43</v>
      </c>
      <c r="I870" s="13">
        <v>8</v>
      </c>
      <c r="J870" s="13">
        <v>8</v>
      </c>
      <c r="K870" s="13" t="s">
        <v>3348</v>
      </c>
      <c r="L870" s="15">
        <v>179.67875000000001</v>
      </c>
      <c r="M870" s="16">
        <v>179.67875000000001</v>
      </c>
    </row>
    <row r="871" spans="1:13" s="5" customFormat="1" x14ac:dyDescent="0.25">
      <c r="A871" s="12" t="s">
        <v>1718</v>
      </c>
      <c r="B871" s="13" t="s">
        <v>1719</v>
      </c>
      <c r="C871" s="14">
        <v>45290</v>
      </c>
      <c r="D871" s="13">
        <v>2023</v>
      </c>
      <c r="E871" s="13" t="s">
        <v>14</v>
      </c>
      <c r="F871" s="13" t="s">
        <v>25</v>
      </c>
      <c r="G871" s="15">
        <v>1794.93</v>
      </c>
      <c r="H871" s="15">
        <v>1794.93</v>
      </c>
      <c r="I871" s="13">
        <v>9</v>
      </c>
      <c r="J871" s="13">
        <v>9</v>
      </c>
      <c r="K871" s="13" t="s">
        <v>15</v>
      </c>
      <c r="L871" s="15">
        <v>199.43666666666667</v>
      </c>
      <c r="M871" s="16">
        <v>199.43666666666667</v>
      </c>
    </row>
    <row r="872" spans="1:13" s="5" customFormat="1" x14ac:dyDescent="0.25">
      <c r="A872" s="12" t="s">
        <v>1720</v>
      </c>
      <c r="B872" s="13" t="s">
        <v>1721</v>
      </c>
      <c r="C872" s="14">
        <v>45095</v>
      </c>
      <c r="D872" s="13">
        <v>2023</v>
      </c>
      <c r="E872" s="13" t="s">
        <v>14</v>
      </c>
      <c r="F872" s="13" t="s">
        <v>34</v>
      </c>
      <c r="G872" s="15">
        <v>299.58</v>
      </c>
      <c r="H872" s="15">
        <v>299.58</v>
      </c>
      <c r="I872" s="13">
        <v>9</v>
      </c>
      <c r="J872" s="13">
        <v>9</v>
      </c>
      <c r="K872" s="13" t="s">
        <v>3346</v>
      </c>
      <c r="L872" s="15">
        <v>33.286666666666662</v>
      </c>
      <c r="M872" s="16">
        <v>33.286666666666662</v>
      </c>
    </row>
    <row r="873" spans="1:13" s="5" customFormat="1" x14ac:dyDescent="0.25">
      <c r="A873" s="12" t="s">
        <v>1722</v>
      </c>
      <c r="B873" s="13" t="s">
        <v>1723</v>
      </c>
      <c r="C873" s="14">
        <v>45794</v>
      </c>
      <c r="D873" s="13">
        <v>2025</v>
      </c>
      <c r="E873" s="13" t="s">
        <v>21</v>
      </c>
      <c r="F873" s="13" t="s">
        <v>22</v>
      </c>
      <c r="G873" s="15">
        <v>1563.43</v>
      </c>
      <c r="H873" s="15">
        <v>1563.43</v>
      </c>
      <c r="I873" s="13">
        <v>8</v>
      </c>
      <c r="J873" s="13">
        <v>8</v>
      </c>
      <c r="K873" s="13" t="s">
        <v>3346</v>
      </c>
      <c r="L873" s="15">
        <v>195.42875000000001</v>
      </c>
      <c r="M873" s="16">
        <v>195.42875000000001</v>
      </c>
    </row>
    <row r="874" spans="1:13" s="5" customFormat="1" x14ac:dyDescent="0.25">
      <c r="A874" s="12" t="s">
        <v>1724</v>
      </c>
      <c r="B874" s="13" t="s">
        <v>1725</v>
      </c>
      <c r="C874" s="14">
        <v>45149</v>
      </c>
      <c r="D874" s="13">
        <v>2023</v>
      </c>
      <c r="E874" s="13" t="s">
        <v>3347</v>
      </c>
      <c r="F874" s="13" t="s">
        <v>22</v>
      </c>
      <c r="G874" s="15">
        <v>823.58</v>
      </c>
      <c r="H874" s="15">
        <v>823.58</v>
      </c>
      <c r="I874" s="13">
        <v>4</v>
      </c>
      <c r="J874" s="13">
        <v>4</v>
      </c>
      <c r="K874" s="13" t="s">
        <v>18</v>
      </c>
      <c r="L874" s="15">
        <v>205.89500000000001</v>
      </c>
      <c r="M874" s="16">
        <v>184.21653108465605</v>
      </c>
    </row>
    <row r="875" spans="1:13" s="5" customFormat="1" x14ac:dyDescent="0.25">
      <c r="A875" s="12" t="s">
        <v>1726</v>
      </c>
      <c r="B875" s="13" t="s">
        <v>1727</v>
      </c>
      <c r="C875" s="14">
        <v>45845</v>
      </c>
      <c r="D875" s="13">
        <v>2025</v>
      </c>
      <c r="E875" s="13" t="s">
        <v>21</v>
      </c>
      <c r="F875" s="13" t="s">
        <v>34</v>
      </c>
      <c r="G875" s="15">
        <v>1744.83</v>
      </c>
      <c r="H875" s="15">
        <v>1744.83</v>
      </c>
      <c r="I875" s="13">
        <v>8</v>
      </c>
      <c r="J875" s="13">
        <v>8</v>
      </c>
      <c r="K875" s="13" t="s">
        <v>35</v>
      </c>
      <c r="L875" s="15">
        <v>218.10374999999999</v>
      </c>
      <c r="M875" s="16">
        <v>218.10374999999999</v>
      </c>
    </row>
    <row r="876" spans="1:13" s="5" customFormat="1" x14ac:dyDescent="0.25">
      <c r="A876" s="12" t="s">
        <v>1728</v>
      </c>
      <c r="B876" s="13" t="s">
        <v>1729</v>
      </c>
      <c r="C876" s="14">
        <v>44894</v>
      </c>
      <c r="D876" s="13">
        <v>2022</v>
      </c>
      <c r="E876" s="13" t="s">
        <v>14</v>
      </c>
      <c r="F876" s="13" t="s">
        <v>34</v>
      </c>
      <c r="G876" s="15">
        <v>216.2</v>
      </c>
      <c r="H876" s="15">
        <v>216.2</v>
      </c>
      <c r="I876" s="13">
        <v>5</v>
      </c>
      <c r="J876" s="13">
        <v>5</v>
      </c>
      <c r="K876" s="13" t="s">
        <v>15</v>
      </c>
      <c r="L876" s="15">
        <v>43.239999999999995</v>
      </c>
      <c r="M876" s="16">
        <v>43.239999999999995</v>
      </c>
    </row>
    <row r="877" spans="1:13" s="5" customFormat="1" x14ac:dyDescent="0.25">
      <c r="A877" s="12" t="s">
        <v>1730</v>
      </c>
      <c r="B877" s="13" t="s">
        <v>1731</v>
      </c>
      <c r="C877" s="14">
        <v>45712</v>
      </c>
      <c r="D877" s="13">
        <v>2025</v>
      </c>
      <c r="E877" s="13" t="s">
        <v>14</v>
      </c>
      <c r="F877" s="13" t="s">
        <v>25</v>
      </c>
      <c r="G877" s="15">
        <v>790.05</v>
      </c>
      <c r="H877" s="15">
        <v>790.05</v>
      </c>
      <c r="I877" s="13">
        <v>9</v>
      </c>
      <c r="J877" s="13">
        <v>9</v>
      </c>
      <c r="K877" s="13" t="s">
        <v>15</v>
      </c>
      <c r="L877" s="15">
        <v>87.783333333333331</v>
      </c>
      <c r="M877" s="16">
        <v>87.783333333333331</v>
      </c>
    </row>
    <row r="878" spans="1:13" s="5" customFormat="1" x14ac:dyDescent="0.25">
      <c r="A878" s="12" t="s">
        <v>1732</v>
      </c>
      <c r="B878" s="13" t="s">
        <v>1733</v>
      </c>
      <c r="C878" s="14">
        <v>44976</v>
      </c>
      <c r="D878" s="13">
        <v>2023</v>
      </c>
      <c r="E878" s="13" t="s">
        <v>14</v>
      </c>
      <c r="F878" s="13" t="s">
        <v>11</v>
      </c>
      <c r="G878" s="15">
        <v>1943.42</v>
      </c>
      <c r="H878" s="15">
        <v>1943.42</v>
      </c>
      <c r="I878" s="13">
        <v>6</v>
      </c>
      <c r="J878" s="13">
        <v>6</v>
      </c>
      <c r="K878" s="13" t="s">
        <v>3346</v>
      </c>
      <c r="L878" s="15">
        <v>323.90333333333336</v>
      </c>
      <c r="M878" s="16">
        <v>323.90333333333336</v>
      </c>
    </row>
    <row r="879" spans="1:13" s="5" customFormat="1" x14ac:dyDescent="0.25">
      <c r="A879" s="12" t="s">
        <v>1734</v>
      </c>
      <c r="B879" s="13" t="s">
        <v>1735</v>
      </c>
      <c r="C879" s="14">
        <v>45876</v>
      </c>
      <c r="D879" s="13">
        <v>2025</v>
      </c>
      <c r="E879" s="13" t="s">
        <v>14</v>
      </c>
      <c r="F879" s="13" t="s">
        <v>11</v>
      </c>
      <c r="G879" s="15">
        <v>408.39</v>
      </c>
      <c r="H879" s="15">
        <v>408.39</v>
      </c>
      <c r="I879" s="13">
        <v>1</v>
      </c>
      <c r="J879" s="13">
        <v>1</v>
      </c>
      <c r="K879" s="13" t="s">
        <v>3348</v>
      </c>
      <c r="L879" s="15">
        <v>408.39</v>
      </c>
      <c r="M879" s="16">
        <v>408.39</v>
      </c>
    </row>
    <row r="880" spans="1:13" s="5" customFormat="1" x14ac:dyDescent="0.25">
      <c r="A880" s="12" t="s">
        <v>1736</v>
      </c>
      <c r="B880" s="13" t="s">
        <v>1737</v>
      </c>
      <c r="C880" s="14">
        <v>45378</v>
      </c>
      <c r="D880" s="13">
        <v>2024</v>
      </c>
      <c r="E880" s="13" t="s">
        <v>3347</v>
      </c>
      <c r="F880" s="13" t="s">
        <v>34</v>
      </c>
      <c r="G880" s="15">
        <v>115.79</v>
      </c>
      <c r="H880" s="15">
        <v>115.79</v>
      </c>
      <c r="I880" s="13">
        <v>1</v>
      </c>
      <c r="J880" s="13">
        <v>1</v>
      </c>
      <c r="K880" s="13" t="s">
        <v>3348</v>
      </c>
      <c r="L880" s="15">
        <v>115.79</v>
      </c>
      <c r="M880" s="16">
        <v>115.79</v>
      </c>
    </row>
    <row r="881" spans="1:13" s="5" customFormat="1" x14ac:dyDescent="0.25">
      <c r="A881" s="12" t="s">
        <v>1738</v>
      </c>
      <c r="B881" s="13" t="s">
        <v>1739</v>
      </c>
      <c r="C881" s="14">
        <v>44989</v>
      </c>
      <c r="D881" s="13">
        <v>2023</v>
      </c>
      <c r="E881" s="13" t="s">
        <v>14</v>
      </c>
      <c r="F881" s="13" t="s">
        <v>11</v>
      </c>
      <c r="G881" s="15">
        <v>263.47000000000003</v>
      </c>
      <c r="H881" s="15">
        <v>263.47000000000003</v>
      </c>
      <c r="I881" s="13">
        <v>9</v>
      </c>
      <c r="J881" s="13">
        <v>9</v>
      </c>
      <c r="K881" s="13" t="s">
        <v>3348</v>
      </c>
      <c r="L881" s="15">
        <v>29.274444444444448</v>
      </c>
      <c r="M881" s="16">
        <v>29.274444444444448</v>
      </c>
    </row>
    <row r="882" spans="1:13" s="5" customFormat="1" x14ac:dyDescent="0.25">
      <c r="A882" s="12" t="s">
        <v>1740</v>
      </c>
      <c r="B882" s="13" t="s">
        <v>1741</v>
      </c>
      <c r="C882" s="14">
        <v>45136</v>
      </c>
      <c r="D882" s="13">
        <v>2023</v>
      </c>
      <c r="E882" s="13" t="s">
        <v>14</v>
      </c>
      <c r="F882" s="13" t="s">
        <v>34</v>
      </c>
      <c r="G882" s="15">
        <v>1923.52</v>
      </c>
      <c r="H882" s="15">
        <v>1923.52</v>
      </c>
      <c r="I882" s="13">
        <v>7</v>
      </c>
      <c r="J882" s="13">
        <v>7</v>
      </c>
      <c r="K882" s="13" t="s">
        <v>15</v>
      </c>
      <c r="L882" s="15">
        <v>274.7885714285714</v>
      </c>
      <c r="M882" s="16">
        <v>274.7885714285714</v>
      </c>
    </row>
    <row r="883" spans="1:13" s="5" customFormat="1" x14ac:dyDescent="0.25">
      <c r="A883" s="12" t="s">
        <v>1742</v>
      </c>
      <c r="B883" s="13" t="s">
        <v>1743</v>
      </c>
      <c r="C883" s="14">
        <v>45562</v>
      </c>
      <c r="D883" s="13">
        <v>2024</v>
      </c>
      <c r="E883" s="13" t="s">
        <v>21</v>
      </c>
      <c r="F883" s="13" t="s">
        <v>34</v>
      </c>
      <c r="G883" s="15">
        <v>709.03</v>
      </c>
      <c r="H883" s="15">
        <v>709.03</v>
      </c>
      <c r="I883" s="13">
        <v>4</v>
      </c>
      <c r="J883" s="13">
        <v>4</v>
      </c>
      <c r="K883" s="13" t="s">
        <v>3346</v>
      </c>
      <c r="L883" s="15">
        <v>177.25749999999999</v>
      </c>
      <c r="M883" s="16">
        <v>177.25749999999999</v>
      </c>
    </row>
    <row r="884" spans="1:13" s="5" customFormat="1" x14ac:dyDescent="0.25">
      <c r="A884" s="12" t="s">
        <v>1744</v>
      </c>
      <c r="B884" s="13" t="s">
        <v>117</v>
      </c>
      <c r="C884" s="14">
        <v>44915</v>
      </c>
      <c r="D884" s="13">
        <v>2022</v>
      </c>
      <c r="E884" s="13" t="s">
        <v>3347</v>
      </c>
      <c r="F884" s="13" t="s">
        <v>22</v>
      </c>
      <c r="G884" s="15">
        <v>1191.196943452381</v>
      </c>
      <c r="H884" s="15">
        <v>1191.196943452381</v>
      </c>
      <c r="I884" s="13">
        <v>5</v>
      </c>
      <c r="J884" s="13">
        <v>5</v>
      </c>
      <c r="K884" s="13" t="s">
        <v>35</v>
      </c>
      <c r="L884" s="15">
        <v>238.2393886904762</v>
      </c>
      <c r="M884" s="16">
        <v>238.2393886904762</v>
      </c>
    </row>
    <row r="885" spans="1:13" s="5" customFormat="1" x14ac:dyDescent="0.25">
      <c r="A885" s="12" t="s">
        <v>1745</v>
      </c>
      <c r="B885" s="13" t="s">
        <v>1746</v>
      </c>
      <c r="C885" s="14">
        <v>45694</v>
      </c>
      <c r="D885" s="13">
        <v>2025</v>
      </c>
      <c r="E885" s="13" t="s">
        <v>21</v>
      </c>
      <c r="F885" s="13" t="s">
        <v>22</v>
      </c>
      <c r="G885" s="15">
        <v>988.28</v>
      </c>
      <c r="H885" s="15">
        <v>988.28</v>
      </c>
      <c r="I885" s="13">
        <v>7</v>
      </c>
      <c r="J885" s="13">
        <v>7</v>
      </c>
      <c r="K885" s="13" t="s">
        <v>35</v>
      </c>
      <c r="L885" s="15">
        <v>141.18285714285713</v>
      </c>
      <c r="M885" s="16">
        <v>141.18285714285713</v>
      </c>
    </row>
    <row r="886" spans="1:13" s="5" customFormat="1" x14ac:dyDescent="0.25">
      <c r="A886" s="12" t="s">
        <v>1747</v>
      </c>
      <c r="B886" s="13" t="s">
        <v>1748</v>
      </c>
      <c r="C886" s="14">
        <v>45854</v>
      </c>
      <c r="D886" s="13">
        <v>2025</v>
      </c>
      <c r="E886" s="13" t="s">
        <v>10</v>
      </c>
      <c r="F886" s="13" t="s">
        <v>25</v>
      </c>
      <c r="G886" s="15">
        <v>658.42</v>
      </c>
      <c r="H886" s="15">
        <v>658.42</v>
      </c>
      <c r="I886" s="13">
        <v>3</v>
      </c>
      <c r="J886" s="13">
        <v>3</v>
      </c>
      <c r="K886" s="13" t="s">
        <v>18</v>
      </c>
      <c r="L886" s="15">
        <v>219.47333333333333</v>
      </c>
      <c r="M886" s="16">
        <v>219.47333333333333</v>
      </c>
    </row>
    <row r="887" spans="1:13" s="5" customFormat="1" x14ac:dyDescent="0.25">
      <c r="A887" s="12" t="s">
        <v>1749</v>
      </c>
      <c r="B887" s="13" t="s">
        <v>1750</v>
      </c>
      <c r="C887" s="14">
        <v>45227</v>
      </c>
      <c r="D887" s="13">
        <v>2023</v>
      </c>
      <c r="E887" s="13" t="s">
        <v>10</v>
      </c>
      <c r="F887" s="13" t="s">
        <v>22</v>
      </c>
      <c r="G887" s="15">
        <v>1484.18</v>
      </c>
      <c r="H887" s="15">
        <v>1484.18</v>
      </c>
      <c r="I887" s="13">
        <v>2</v>
      </c>
      <c r="J887" s="13">
        <v>2</v>
      </c>
      <c r="K887" s="13" t="s">
        <v>18</v>
      </c>
      <c r="L887" s="15">
        <v>742.09</v>
      </c>
      <c r="M887" s="16">
        <v>742.09</v>
      </c>
    </row>
    <row r="888" spans="1:13" s="5" customFormat="1" x14ac:dyDescent="0.25">
      <c r="A888" s="12" t="s">
        <v>1751</v>
      </c>
      <c r="B888" s="13" t="s">
        <v>1752</v>
      </c>
      <c r="C888" s="14">
        <v>44973</v>
      </c>
      <c r="D888" s="13">
        <v>2023</v>
      </c>
      <c r="E888" s="13" t="s">
        <v>14</v>
      </c>
      <c r="F888" s="13" t="s">
        <v>22</v>
      </c>
      <c r="G888" s="15">
        <v>759.25</v>
      </c>
      <c r="H888" s="15">
        <v>759.25</v>
      </c>
      <c r="I888" s="13">
        <v>3</v>
      </c>
      <c r="J888" s="13">
        <v>3</v>
      </c>
      <c r="K888" s="13" t="s">
        <v>35</v>
      </c>
      <c r="L888" s="15">
        <v>253.08333333333334</v>
      </c>
      <c r="M888" s="16">
        <v>221.71176530612249</v>
      </c>
    </row>
    <row r="889" spans="1:13" s="5" customFormat="1" x14ac:dyDescent="0.25">
      <c r="A889" s="12" t="s">
        <v>1753</v>
      </c>
      <c r="B889" s="13" t="s">
        <v>1754</v>
      </c>
      <c r="C889" s="14">
        <v>44905</v>
      </c>
      <c r="D889" s="13">
        <v>2022</v>
      </c>
      <c r="E889" s="13" t="s">
        <v>10</v>
      </c>
      <c r="F889" s="13" t="s">
        <v>11</v>
      </c>
      <c r="G889" s="15">
        <v>1186.01</v>
      </c>
      <c r="H889" s="15">
        <v>1186.01</v>
      </c>
      <c r="I889" s="13">
        <v>8</v>
      </c>
      <c r="J889" s="13">
        <v>8</v>
      </c>
      <c r="K889" s="13" t="s">
        <v>18</v>
      </c>
      <c r="L889" s="15">
        <v>148.25125</v>
      </c>
      <c r="M889" s="16">
        <v>148.25125</v>
      </c>
    </row>
    <row r="890" spans="1:13" s="5" customFormat="1" x14ac:dyDescent="0.25">
      <c r="A890" s="12" t="s">
        <v>1755</v>
      </c>
      <c r="B890" s="13" t="s">
        <v>1756</v>
      </c>
      <c r="C890" s="14">
        <v>44916</v>
      </c>
      <c r="D890" s="13">
        <v>2022</v>
      </c>
      <c r="E890" s="13" t="s">
        <v>10</v>
      </c>
      <c r="F890" s="13" t="s">
        <v>11</v>
      </c>
      <c r="G890" s="15">
        <v>1217.02</v>
      </c>
      <c r="H890" s="15">
        <v>1217.02</v>
      </c>
      <c r="I890" s="13">
        <v>1</v>
      </c>
      <c r="J890" s="13">
        <v>1</v>
      </c>
      <c r="K890" s="13" t="s">
        <v>3348</v>
      </c>
      <c r="L890" s="15">
        <v>1217.02</v>
      </c>
      <c r="M890" s="16">
        <v>1217.02</v>
      </c>
    </row>
    <row r="891" spans="1:13" s="5" customFormat="1" x14ac:dyDescent="0.25">
      <c r="A891" s="12" t="s">
        <v>1757</v>
      </c>
      <c r="B891" s="13" t="s">
        <v>1758</v>
      </c>
      <c r="C891" s="14">
        <v>45640</v>
      </c>
      <c r="D891" s="13">
        <v>2024</v>
      </c>
      <c r="E891" s="13" t="s">
        <v>14</v>
      </c>
      <c r="F891" s="13" t="s">
        <v>25</v>
      </c>
      <c r="G891" s="15">
        <v>860.98</v>
      </c>
      <c r="H891" s="15">
        <v>860.98</v>
      </c>
      <c r="I891" s="13">
        <v>7</v>
      </c>
      <c r="J891" s="13">
        <v>7</v>
      </c>
      <c r="K891" s="13" t="s">
        <v>3348</v>
      </c>
      <c r="L891" s="15">
        <v>122.99714285714286</v>
      </c>
      <c r="M891" s="16">
        <v>122.99714285714286</v>
      </c>
    </row>
    <row r="892" spans="1:13" s="5" customFormat="1" x14ac:dyDescent="0.25">
      <c r="A892" s="12" t="s">
        <v>1759</v>
      </c>
      <c r="B892" s="13" t="s">
        <v>1760</v>
      </c>
      <c r="C892" s="14">
        <v>45228</v>
      </c>
      <c r="D892" s="13">
        <v>2023</v>
      </c>
      <c r="E892" s="13" t="s">
        <v>10</v>
      </c>
      <c r="F892" s="13" t="s">
        <v>25</v>
      </c>
      <c r="G892" s="15">
        <v>945.16</v>
      </c>
      <c r="H892" s="15">
        <v>945.16</v>
      </c>
      <c r="I892" s="13">
        <v>4</v>
      </c>
      <c r="J892" s="13">
        <v>4</v>
      </c>
      <c r="K892" s="13" t="s">
        <v>15</v>
      </c>
      <c r="L892" s="15">
        <v>236.29</v>
      </c>
      <c r="M892" s="16">
        <v>236.29</v>
      </c>
    </row>
    <row r="893" spans="1:13" s="5" customFormat="1" x14ac:dyDescent="0.25">
      <c r="A893" s="12" t="s">
        <v>1761</v>
      </c>
      <c r="B893" s="13" t="s">
        <v>1762</v>
      </c>
      <c r="C893" s="14">
        <v>45282</v>
      </c>
      <c r="D893" s="13">
        <v>2023</v>
      </c>
      <c r="E893" s="13" t="s">
        <v>21</v>
      </c>
      <c r="F893" s="13" t="s">
        <v>25</v>
      </c>
      <c r="G893" s="15">
        <v>1626.69</v>
      </c>
      <c r="H893" s="15">
        <v>1626.69</v>
      </c>
      <c r="I893" s="13">
        <v>8</v>
      </c>
      <c r="J893" s="13">
        <v>8</v>
      </c>
      <c r="K893" s="13" t="s">
        <v>3346</v>
      </c>
      <c r="L893" s="15">
        <v>203.33625000000001</v>
      </c>
      <c r="M893" s="16">
        <v>203.33625000000001</v>
      </c>
    </row>
    <row r="894" spans="1:13" s="5" customFormat="1" x14ac:dyDescent="0.25">
      <c r="A894" s="12" t="s">
        <v>1763</v>
      </c>
      <c r="B894" s="13" t="s">
        <v>1764</v>
      </c>
      <c r="C894" s="14">
        <v>44981</v>
      </c>
      <c r="D894" s="13">
        <v>2023</v>
      </c>
      <c r="E894" s="13" t="s">
        <v>14</v>
      </c>
      <c r="F894" s="13" t="s">
        <v>11</v>
      </c>
      <c r="G894" s="15">
        <v>322.79416666666668</v>
      </c>
      <c r="H894" s="15">
        <v>322.79416666666668</v>
      </c>
      <c r="I894" s="13">
        <v>1</v>
      </c>
      <c r="J894" s="13">
        <v>1</v>
      </c>
      <c r="K894" s="13" t="s">
        <v>15</v>
      </c>
      <c r="L894" s="15">
        <v>322.79416666666668</v>
      </c>
      <c r="M894" s="16">
        <v>322.79416666666668</v>
      </c>
    </row>
    <row r="895" spans="1:13" s="5" customFormat="1" x14ac:dyDescent="0.25">
      <c r="A895" s="12" t="s">
        <v>1765</v>
      </c>
      <c r="B895" s="13" t="s">
        <v>1766</v>
      </c>
      <c r="C895" s="14">
        <v>45250</v>
      </c>
      <c r="D895" s="13">
        <v>2023</v>
      </c>
      <c r="E895" s="13" t="s">
        <v>3347</v>
      </c>
      <c r="F895" s="13" t="s">
        <v>25</v>
      </c>
      <c r="G895" s="15">
        <v>1918.64</v>
      </c>
      <c r="H895" s="15">
        <v>1918.64</v>
      </c>
      <c r="I895" s="13">
        <v>3</v>
      </c>
      <c r="J895" s="13">
        <v>3</v>
      </c>
      <c r="K895" s="13" t="s">
        <v>3346</v>
      </c>
      <c r="L895" s="15">
        <v>639.54666666666674</v>
      </c>
      <c r="M895" s="16">
        <v>639.54666666666674</v>
      </c>
    </row>
    <row r="896" spans="1:13" s="5" customFormat="1" x14ac:dyDescent="0.25">
      <c r="A896" s="12" t="s">
        <v>1767</v>
      </c>
      <c r="B896" s="13" t="s">
        <v>1768</v>
      </c>
      <c r="C896" s="14">
        <v>45341</v>
      </c>
      <c r="D896" s="13">
        <v>2024</v>
      </c>
      <c r="E896" s="13" t="s">
        <v>3347</v>
      </c>
      <c r="F896" s="13" t="s">
        <v>11</v>
      </c>
      <c r="G896" s="15">
        <v>597.42999999999995</v>
      </c>
      <c r="H896" s="15">
        <v>597.42999999999995</v>
      </c>
      <c r="I896" s="13">
        <v>4</v>
      </c>
      <c r="J896" s="13">
        <v>4</v>
      </c>
      <c r="K896" s="13" t="s">
        <v>3348</v>
      </c>
      <c r="L896" s="15">
        <v>149.35749999999999</v>
      </c>
      <c r="M896" s="16">
        <v>149.35749999999999</v>
      </c>
    </row>
    <row r="897" spans="1:13" s="5" customFormat="1" x14ac:dyDescent="0.25">
      <c r="A897" s="12" t="s">
        <v>1769</v>
      </c>
      <c r="B897" s="13" t="s">
        <v>1770</v>
      </c>
      <c r="C897" s="14">
        <v>45216</v>
      </c>
      <c r="D897" s="13">
        <v>2023</v>
      </c>
      <c r="E897" s="13" t="s">
        <v>3347</v>
      </c>
      <c r="F897" s="13" t="s">
        <v>25</v>
      </c>
      <c r="G897" s="15">
        <v>96.75</v>
      </c>
      <c r="H897" s="15">
        <v>96.75</v>
      </c>
      <c r="I897" s="13">
        <v>2</v>
      </c>
      <c r="J897" s="13">
        <v>2</v>
      </c>
      <c r="K897" s="13" t="s">
        <v>18</v>
      </c>
      <c r="L897" s="15">
        <v>48.375</v>
      </c>
      <c r="M897" s="16">
        <v>48.375</v>
      </c>
    </row>
    <row r="898" spans="1:13" s="5" customFormat="1" x14ac:dyDescent="0.25">
      <c r="A898" s="12" t="s">
        <v>1771</v>
      </c>
      <c r="B898" s="13" t="s">
        <v>1772</v>
      </c>
      <c r="C898" s="14">
        <v>45205</v>
      </c>
      <c r="D898" s="13">
        <v>2023</v>
      </c>
      <c r="E898" s="13" t="s">
        <v>21</v>
      </c>
      <c r="F898" s="13" t="s">
        <v>22</v>
      </c>
      <c r="G898" s="15">
        <v>1529.33</v>
      </c>
      <c r="H898" s="15">
        <v>1529.33</v>
      </c>
      <c r="I898" s="13">
        <v>7</v>
      </c>
      <c r="J898" s="13">
        <v>7</v>
      </c>
      <c r="K898" s="13" t="s">
        <v>15</v>
      </c>
      <c r="L898" s="15">
        <v>218.47571428571428</v>
      </c>
      <c r="M898" s="16">
        <v>218.47571428571428</v>
      </c>
    </row>
    <row r="899" spans="1:13" s="5" customFormat="1" x14ac:dyDescent="0.25">
      <c r="A899" s="12" t="s">
        <v>1773</v>
      </c>
      <c r="B899" s="13" t="s">
        <v>1623</v>
      </c>
      <c r="C899" s="14">
        <v>45646</v>
      </c>
      <c r="D899" s="13">
        <v>2024</v>
      </c>
      <c r="E899" s="13" t="s">
        <v>3347</v>
      </c>
      <c r="F899" s="13" t="s">
        <v>34</v>
      </c>
      <c r="G899" s="15">
        <v>889.74</v>
      </c>
      <c r="H899" s="15">
        <v>889.74</v>
      </c>
      <c r="I899" s="13">
        <v>4</v>
      </c>
      <c r="J899" s="13">
        <v>4</v>
      </c>
      <c r="K899" s="13" t="s">
        <v>3346</v>
      </c>
      <c r="L899" s="15">
        <v>222.435</v>
      </c>
      <c r="M899" s="16">
        <v>222.435</v>
      </c>
    </row>
    <row r="900" spans="1:13" s="5" customFormat="1" x14ac:dyDescent="0.25">
      <c r="A900" s="12" t="s">
        <v>1774</v>
      </c>
      <c r="B900" s="13" t="s">
        <v>1766</v>
      </c>
      <c r="C900" s="14">
        <v>45543</v>
      </c>
      <c r="D900" s="13">
        <v>2024</v>
      </c>
      <c r="E900" s="13" t="s">
        <v>3347</v>
      </c>
      <c r="F900" s="13" t="s">
        <v>22</v>
      </c>
      <c r="G900" s="15">
        <v>1551.72</v>
      </c>
      <c r="H900" s="15">
        <v>1551.72</v>
      </c>
      <c r="I900" s="13">
        <v>9</v>
      </c>
      <c r="J900" s="13">
        <v>9</v>
      </c>
      <c r="K900" s="13" t="s">
        <v>18</v>
      </c>
      <c r="L900" s="15">
        <v>172.41333333333333</v>
      </c>
      <c r="M900" s="16">
        <v>172.41333333333333</v>
      </c>
    </row>
    <row r="901" spans="1:13" s="5" customFormat="1" x14ac:dyDescent="0.25">
      <c r="A901" s="12" t="s">
        <v>1775</v>
      </c>
      <c r="B901" s="13" t="s">
        <v>1776</v>
      </c>
      <c r="C901" s="14">
        <v>45716</v>
      </c>
      <c r="D901" s="13">
        <v>2025</v>
      </c>
      <c r="E901" s="13" t="s">
        <v>21</v>
      </c>
      <c r="F901" s="13" t="s">
        <v>11</v>
      </c>
      <c r="G901" s="15">
        <v>217.59</v>
      </c>
      <c r="H901" s="15">
        <v>217.59</v>
      </c>
      <c r="I901" s="13">
        <v>4</v>
      </c>
      <c r="J901" s="13">
        <v>4</v>
      </c>
      <c r="K901" s="13" t="s">
        <v>35</v>
      </c>
      <c r="L901" s="15">
        <v>54.397500000000001</v>
      </c>
      <c r="M901" s="16">
        <v>54.397500000000001</v>
      </c>
    </row>
    <row r="902" spans="1:13" s="5" customFormat="1" x14ac:dyDescent="0.25">
      <c r="A902" s="12" t="s">
        <v>1777</v>
      </c>
      <c r="B902" s="13" t="s">
        <v>1778</v>
      </c>
      <c r="C902" s="14">
        <v>45182</v>
      </c>
      <c r="D902" s="13">
        <v>2023</v>
      </c>
      <c r="E902" s="13" t="s">
        <v>10</v>
      </c>
      <c r="F902" s="13" t="s">
        <v>34</v>
      </c>
      <c r="G902" s="15">
        <v>866.62</v>
      </c>
      <c r="H902" s="15">
        <v>866.62</v>
      </c>
      <c r="I902" s="13">
        <v>6</v>
      </c>
      <c r="J902" s="13">
        <v>6</v>
      </c>
      <c r="K902" s="13" t="s">
        <v>3348</v>
      </c>
      <c r="L902" s="15">
        <v>144.43666666666667</v>
      </c>
      <c r="M902" s="16">
        <v>144.43666666666667</v>
      </c>
    </row>
    <row r="903" spans="1:13" s="5" customFormat="1" x14ac:dyDescent="0.25">
      <c r="A903" s="12" t="s">
        <v>1779</v>
      </c>
      <c r="B903" s="13" t="s">
        <v>1780</v>
      </c>
      <c r="C903" s="14">
        <v>45083</v>
      </c>
      <c r="D903" s="13">
        <v>2023</v>
      </c>
      <c r="E903" s="13" t="s">
        <v>21</v>
      </c>
      <c r="F903" s="13" t="s">
        <v>22</v>
      </c>
      <c r="G903" s="15">
        <v>1380.5</v>
      </c>
      <c r="H903" s="15">
        <v>1380.5</v>
      </c>
      <c r="I903" s="13">
        <v>8</v>
      </c>
      <c r="J903" s="13">
        <v>8</v>
      </c>
      <c r="K903" s="13" t="s">
        <v>15</v>
      </c>
      <c r="L903" s="15">
        <v>172.5625</v>
      </c>
      <c r="M903" s="16">
        <v>172.5625</v>
      </c>
    </row>
    <row r="904" spans="1:13" s="5" customFormat="1" x14ac:dyDescent="0.25">
      <c r="A904" s="12" t="s">
        <v>1781</v>
      </c>
      <c r="B904" s="13" t="s">
        <v>1782</v>
      </c>
      <c r="C904" s="14">
        <v>45282</v>
      </c>
      <c r="D904" s="13">
        <v>2023</v>
      </c>
      <c r="E904" s="13" t="s">
        <v>3347</v>
      </c>
      <c r="F904" s="13" t="s">
        <v>25</v>
      </c>
      <c r="G904" s="15">
        <v>453.77</v>
      </c>
      <c r="H904" s="15">
        <v>453.77</v>
      </c>
      <c r="I904" s="13">
        <v>1</v>
      </c>
      <c r="J904" s="13">
        <v>1</v>
      </c>
      <c r="K904" s="13" t="s">
        <v>3348</v>
      </c>
      <c r="L904" s="15">
        <v>453.77</v>
      </c>
      <c r="M904" s="16">
        <v>453.77</v>
      </c>
    </row>
    <row r="905" spans="1:13" s="5" customFormat="1" x14ac:dyDescent="0.25">
      <c r="A905" s="12" t="s">
        <v>1783</v>
      </c>
      <c r="B905" s="13" t="s">
        <v>1784</v>
      </c>
      <c r="C905" s="14">
        <v>45938</v>
      </c>
      <c r="D905" s="13">
        <v>2025</v>
      </c>
      <c r="E905" s="13" t="s">
        <v>3347</v>
      </c>
      <c r="F905" s="13" t="s">
        <v>11</v>
      </c>
      <c r="G905" s="15">
        <v>515.86</v>
      </c>
      <c r="H905" s="15">
        <v>515.86</v>
      </c>
      <c r="I905" s="13">
        <v>8</v>
      </c>
      <c r="J905" s="13">
        <v>8</v>
      </c>
      <c r="K905" s="13" t="s">
        <v>15</v>
      </c>
      <c r="L905" s="15">
        <v>64.482500000000002</v>
      </c>
      <c r="M905" s="16">
        <v>64.482500000000002</v>
      </c>
    </row>
    <row r="906" spans="1:13" s="5" customFormat="1" x14ac:dyDescent="0.25">
      <c r="A906" s="12" t="s">
        <v>1785</v>
      </c>
      <c r="B906" s="13" t="s">
        <v>1786</v>
      </c>
      <c r="C906" s="14">
        <v>45648</v>
      </c>
      <c r="D906" s="13">
        <v>2024</v>
      </c>
      <c r="E906" s="13" t="s">
        <v>14</v>
      </c>
      <c r="F906" s="13" t="s">
        <v>22</v>
      </c>
      <c r="G906" s="15">
        <v>480.92</v>
      </c>
      <c r="H906" s="15">
        <v>480.92</v>
      </c>
      <c r="I906" s="13">
        <v>5</v>
      </c>
      <c r="J906" s="13">
        <v>5</v>
      </c>
      <c r="K906" s="13" t="s">
        <v>35</v>
      </c>
      <c r="L906" s="15">
        <v>96.183999999999997</v>
      </c>
      <c r="M906" s="16">
        <v>96.183999999999997</v>
      </c>
    </row>
    <row r="907" spans="1:13" s="5" customFormat="1" x14ac:dyDescent="0.25">
      <c r="A907" s="12" t="s">
        <v>1787</v>
      </c>
      <c r="B907" s="13" t="s">
        <v>634</v>
      </c>
      <c r="C907" s="14">
        <v>45319</v>
      </c>
      <c r="D907" s="13">
        <v>2024</v>
      </c>
      <c r="E907" s="13" t="s">
        <v>10</v>
      </c>
      <c r="F907" s="13" t="s">
        <v>25</v>
      </c>
      <c r="G907" s="15">
        <v>2579.6274999999996</v>
      </c>
      <c r="H907" s="15">
        <v>2579.6274999999996</v>
      </c>
      <c r="I907" s="13">
        <v>10</v>
      </c>
      <c r="J907" s="13">
        <v>10</v>
      </c>
      <c r="K907" s="13" t="s">
        <v>18</v>
      </c>
      <c r="L907" s="15">
        <v>257.96274999999997</v>
      </c>
      <c r="M907" s="16">
        <v>257.96274999999997</v>
      </c>
    </row>
    <row r="908" spans="1:13" s="5" customFormat="1" x14ac:dyDescent="0.25">
      <c r="A908" s="12" t="s">
        <v>1788</v>
      </c>
      <c r="B908" s="13" t="s">
        <v>1789</v>
      </c>
      <c r="C908" s="14">
        <v>45814</v>
      </c>
      <c r="D908" s="13">
        <v>2025</v>
      </c>
      <c r="E908" s="13" t="s">
        <v>21</v>
      </c>
      <c r="F908" s="13" t="s">
        <v>34</v>
      </c>
      <c r="G908" s="15">
        <v>1830.3</v>
      </c>
      <c r="H908" s="15">
        <v>1830.3</v>
      </c>
      <c r="I908" s="13">
        <v>1</v>
      </c>
      <c r="J908" s="13">
        <v>1</v>
      </c>
      <c r="K908" s="13" t="s">
        <v>35</v>
      </c>
      <c r="L908" s="15">
        <v>1830.3</v>
      </c>
      <c r="M908" s="16">
        <v>1830.3</v>
      </c>
    </row>
    <row r="909" spans="1:13" s="5" customFormat="1" x14ac:dyDescent="0.25">
      <c r="A909" s="12" t="s">
        <v>1790</v>
      </c>
      <c r="B909" s="13" t="s">
        <v>1791</v>
      </c>
      <c r="C909" s="14">
        <v>44958</v>
      </c>
      <c r="D909" s="13">
        <v>2023</v>
      </c>
      <c r="E909" s="13" t="s">
        <v>3347</v>
      </c>
      <c r="F909" s="13" t="s">
        <v>25</v>
      </c>
      <c r="G909" s="15">
        <v>1224.1400000000001</v>
      </c>
      <c r="H909" s="15">
        <v>1224.1400000000001</v>
      </c>
      <c r="I909" s="13">
        <v>10</v>
      </c>
      <c r="J909" s="13">
        <v>10</v>
      </c>
      <c r="K909" s="13" t="s">
        <v>3346</v>
      </c>
      <c r="L909" s="15">
        <v>122.41400000000002</v>
      </c>
      <c r="M909" s="16">
        <v>122.41400000000002</v>
      </c>
    </row>
    <row r="910" spans="1:13" s="5" customFormat="1" x14ac:dyDescent="0.25">
      <c r="A910" s="12" t="s">
        <v>1792</v>
      </c>
      <c r="B910" s="13" t="s">
        <v>1793</v>
      </c>
      <c r="C910" s="14">
        <v>45939</v>
      </c>
      <c r="D910" s="13">
        <v>2025</v>
      </c>
      <c r="E910" s="13" t="s">
        <v>10</v>
      </c>
      <c r="F910" s="13" t="s">
        <v>22</v>
      </c>
      <c r="G910" s="15">
        <v>1311.79</v>
      </c>
      <c r="H910" s="15">
        <v>1311.79</v>
      </c>
      <c r="I910" s="13">
        <v>5</v>
      </c>
      <c r="J910" s="13">
        <v>5</v>
      </c>
      <c r="K910" s="13" t="s">
        <v>18</v>
      </c>
      <c r="L910" s="15">
        <v>262.358</v>
      </c>
      <c r="M910" s="16">
        <v>262.358</v>
      </c>
    </row>
    <row r="911" spans="1:13" s="5" customFormat="1" x14ac:dyDescent="0.25">
      <c r="A911" s="12" t="s">
        <v>1794</v>
      </c>
      <c r="B911" s="13" t="s">
        <v>1795</v>
      </c>
      <c r="C911" s="14">
        <v>45558</v>
      </c>
      <c r="D911" s="13">
        <v>2024</v>
      </c>
      <c r="E911" s="13" t="s">
        <v>21</v>
      </c>
      <c r="F911" s="13" t="s">
        <v>22</v>
      </c>
      <c r="G911" s="15">
        <v>1056.9100000000001</v>
      </c>
      <c r="H911" s="15">
        <v>1056.9100000000001</v>
      </c>
      <c r="I911" s="13">
        <v>4</v>
      </c>
      <c r="J911" s="13">
        <v>4</v>
      </c>
      <c r="K911" s="13" t="s">
        <v>15</v>
      </c>
      <c r="L911" s="15">
        <v>264.22750000000002</v>
      </c>
      <c r="M911" s="16">
        <v>264.22750000000002</v>
      </c>
    </row>
    <row r="912" spans="1:13" s="5" customFormat="1" x14ac:dyDescent="0.25">
      <c r="A912" s="12" t="s">
        <v>1796</v>
      </c>
      <c r="B912" s="13" t="s">
        <v>1797</v>
      </c>
      <c r="C912" s="14">
        <v>45315</v>
      </c>
      <c r="D912" s="13">
        <v>2024</v>
      </c>
      <c r="E912" s="13" t="s">
        <v>10</v>
      </c>
      <c r="F912" s="13" t="s">
        <v>34</v>
      </c>
      <c r="G912" s="15">
        <v>858.61</v>
      </c>
      <c r="H912" s="15">
        <v>858.61</v>
      </c>
      <c r="I912" s="13">
        <v>4</v>
      </c>
      <c r="J912" s="13">
        <v>4</v>
      </c>
      <c r="K912" s="13" t="s">
        <v>15</v>
      </c>
      <c r="L912" s="15">
        <v>214.6525</v>
      </c>
      <c r="M912" s="16">
        <v>214.6525</v>
      </c>
    </row>
    <row r="913" spans="1:13" s="5" customFormat="1" x14ac:dyDescent="0.25">
      <c r="A913" s="12" t="s">
        <v>1798</v>
      </c>
      <c r="B913" s="13" t="s">
        <v>1799</v>
      </c>
      <c r="C913" s="14">
        <v>45353</v>
      </c>
      <c r="D913" s="13">
        <v>2024</v>
      </c>
      <c r="E913" s="13" t="s">
        <v>10</v>
      </c>
      <c r="F913" s="13" t="s">
        <v>22</v>
      </c>
      <c r="G913" s="15">
        <v>580.90060000000005</v>
      </c>
      <c r="H913" s="15">
        <v>580.90060000000005</v>
      </c>
      <c r="I913" s="13">
        <v>4</v>
      </c>
      <c r="J913" s="13">
        <v>4</v>
      </c>
      <c r="K913" s="13" t="s">
        <v>18</v>
      </c>
      <c r="L913" s="15">
        <v>145.22515000000001</v>
      </c>
      <c r="M913" s="16">
        <v>145.22515000000001</v>
      </c>
    </row>
    <row r="914" spans="1:13" s="5" customFormat="1" x14ac:dyDescent="0.25">
      <c r="A914" s="12" t="s">
        <v>1800</v>
      </c>
      <c r="B914" s="13" t="s">
        <v>1801</v>
      </c>
      <c r="C914" s="14">
        <v>44945</v>
      </c>
      <c r="D914" s="13">
        <v>2023</v>
      </c>
      <c r="E914" s="13" t="s">
        <v>10</v>
      </c>
      <c r="F914" s="13" t="s">
        <v>22</v>
      </c>
      <c r="G914" s="15">
        <v>17.850000000000001</v>
      </c>
      <c r="H914" s="15">
        <v>17.850000000000001</v>
      </c>
      <c r="I914" s="13">
        <v>9</v>
      </c>
      <c r="J914" s="13">
        <v>9</v>
      </c>
      <c r="K914" s="13" t="s">
        <v>35</v>
      </c>
      <c r="L914" s="15">
        <v>1.9833333333333334</v>
      </c>
      <c r="M914" s="16">
        <v>1.9833333333333334</v>
      </c>
    </row>
    <row r="915" spans="1:13" s="5" customFormat="1" x14ac:dyDescent="0.25">
      <c r="A915" s="12" t="s">
        <v>1802</v>
      </c>
      <c r="B915" s="13" t="s">
        <v>1803</v>
      </c>
      <c r="C915" s="14">
        <v>45434</v>
      </c>
      <c r="D915" s="13">
        <v>2024</v>
      </c>
      <c r="E915" s="13" t="s">
        <v>14</v>
      </c>
      <c r="F915" s="13" t="s">
        <v>22</v>
      </c>
      <c r="G915" s="15">
        <v>1404.93</v>
      </c>
      <c r="H915" s="15">
        <v>1404.93</v>
      </c>
      <c r="I915" s="13">
        <v>2</v>
      </c>
      <c r="J915" s="13">
        <v>2</v>
      </c>
      <c r="K915" s="13" t="s">
        <v>15</v>
      </c>
      <c r="L915" s="15">
        <v>702.46500000000003</v>
      </c>
      <c r="M915" s="16">
        <v>702.46500000000003</v>
      </c>
    </row>
    <row r="916" spans="1:13" s="5" customFormat="1" x14ac:dyDescent="0.25">
      <c r="A916" s="12" t="s">
        <v>1804</v>
      </c>
      <c r="B916" s="13" t="s">
        <v>799</v>
      </c>
      <c r="C916" s="14">
        <v>45331</v>
      </c>
      <c r="D916" s="13">
        <v>2024</v>
      </c>
      <c r="E916" s="13" t="s">
        <v>10</v>
      </c>
      <c r="F916" s="13" t="s">
        <v>22</v>
      </c>
      <c r="G916" s="15">
        <v>1564.04</v>
      </c>
      <c r="H916" s="15">
        <v>1564.04</v>
      </c>
      <c r="I916" s="13">
        <v>10</v>
      </c>
      <c r="J916" s="13">
        <v>10</v>
      </c>
      <c r="K916" s="13" t="s">
        <v>18</v>
      </c>
      <c r="L916" s="15">
        <v>156.404</v>
      </c>
      <c r="M916" s="16">
        <v>156.404</v>
      </c>
    </row>
    <row r="917" spans="1:13" s="5" customFormat="1" x14ac:dyDescent="0.25">
      <c r="A917" s="12" t="s">
        <v>1805</v>
      </c>
      <c r="B917" s="13" t="s">
        <v>1806</v>
      </c>
      <c r="C917" s="14">
        <v>45025</v>
      </c>
      <c r="D917" s="13">
        <v>2023</v>
      </c>
      <c r="E917" s="13" t="s">
        <v>3347</v>
      </c>
      <c r="F917" s="13" t="s">
        <v>34</v>
      </c>
      <c r="G917" s="15">
        <v>1846.59</v>
      </c>
      <c r="H917" s="15">
        <v>1846.59</v>
      </c>
      <c r="I917" s="13">
        <v>10</v>
      </c>
      <c r="J917" s="13">
        <v>10</v>
      </c>
      <c r="K917" s="13" t="s">
        <v>18</v>
      </c>
      <c r="L917" s="15">
        <v>184.65899999999999</v>
      </c>
      <c r="M917" s="16">
        <v>184.65899999999999</v>
      </c>
    </row>
    <row r="918" spans="1:13" s="5" customFormat="1" x14ac:dyDescent="0.25">
      <c r="A918" s="12" t="s">
        <v>1807</v>
      </c>
      <c r="B918" s="13" t="s">
        <v>1808</v>
      </c>
      <c r="C918" s="14">
        <v>45622</v>
      </c>
      <c r="D918" s="13">
        <v>2024</v>
      </c>
      <c r="E918" s="13" t="s">
        <v>21</v>
      </c>
      <c r="F918" s="13" t="s">
        <v>34</v>
      </c>
      <c r="G918" s="15">
        <v>371.79</v>
      </c>
      <c r="H918" s="15">
        <v>371.79</v>
      </c>
      <c r="I918" s="13">
        <v>2</v>
      </c>
      <c r="J918" s="13">
        <v>2</v>
      </c>
      <c r="K918" s="13" t="s">
        <v>35</v>
      </c>
      <c r="L918" s="15">
        <v>185.89500000000001</v>
      </c>
      <c r="M918" s="16">
        <v>164.04357142857143</v>
      </c>
    </row>
    <row r="919" spans="1:13" s="5" customFormat="1" x14ac:dyDescent="0.25">
      <c r="A919" s="12" t="s">
        <v>1809</v>
      </c>
      <c r="B919" s="13" t="s">
        <v>1231</v>
      </c>
      <c r="C919" s="14">
        <v>44956</v>
      </c>
      <c r="D919" s="13">
        <v>2023</v>
      </c>
      <c r="E919" s="13" t="s">
        <v>10</v>
      </c>
      <c r="F919" s="13" t="s">
        <v>22</v>
      </c>
      <c r="G919" s="15">
        <v>203.08</v>
      </c>
      <c r="H919" s="15">
        <v>203.08</v>
      </c>
      <c r="I919" s="13">
        <v>4</v>
      </c>
      <c r="J919" s="13">
        <v>4</v>
      </c>
      <c r="K919" s="13" t="s">
        <v>35</v>
      </c>
      <c r="L919" s="15">
        <v>50.77</v>
      </c>
      <c r="M919" s="16">
        <v>50.77</v>
      </c>
    </row>
    <row r="920" spans="1:13" s="5" customFormat="1" x14ac:dyDescent="0.25">
      <c r="A920" s="12" t="s">
        <v>1810</v>
      </c>
      <c r="B920" s="13" t="s">
        <v>1811</v>
      </c>
      <c r="C920" s="14">
        <v>45549</v>
      </c>
      <c r="D920" s="13">
        <v>2024</v>
      </c>
      <c r="E920" s="13" t="s">
        <v>14</v>
      </c>
      <c r="F920" s="13" t="s">
        <v>11</v>
      </c>
      <c r="G920" s="15">
        <v>322.77999999999997</v>
      </c>
      <c r="H920" s="15">
        <v>322.77999999999997</v>
      </c>
      <c r="I920" s="13">
        <v>7</v>
      </c>
      <c r="J920" s="13">
        <v>7</v>
      </c>
      <c r="K920" s="13" t="s">
        <v>3346</v>
      </c>
      <c r="L920" s="15">
        <v>46.111428571428569</v>
      </c>
      <c r="M920" s="16">
        <v>46.111428571428569</v>
      </c>
    </row>
    <row r="921" spans="1:13" s="5" customFormat="1" x14ac:dyDescent="0.25">
      <c r="A921" s="12" t="s">
        <v>1812</v>
      </c>
      <c r="B921" s="13" t="s">
        <v>1813</v>
      </c>
      <c r="C921" s="14">
        <v>45143</v>
      </c>
      <c r="D921" s="13">
        <v>2023</v>
      </c>
      <c r="E921" s="13" t="s">
        <v>3347</v>
      </c>
      <c r="F921" s="13" t="s">
        <v>34</v>
      </c>
      <c r="G921" s="15">
        <v>746.44</v>
      </c>
      <c r="H921" s="15">
        <v>746.44</v>
      </c>
      <c r="I921" s="13">
        <v>7</v>
      </c>
      <c r="J921" s="13">
        <v>7</v>
      </c>
      <c r="K921" s="13" t="s">
        <v>15</v>
      </c>
      <c r="L921" s="15">
        <v>106.63428571428572</v>
      </c>
      <c r="M921" s="16">
        <v>106.63428571428572</v>
      </c>
    </row>
    <row r="922" spans="1:13" s="5" customFormat="1" x14ac:dyDescent="0.25">
      <c r="A922" s="12" t="s">
        <v>1814</v>
      </c>
      <c r="B922" s="13" t="s">
        <v>1815</v>
      </c>
      <c r="C922" s="14">
        <v>44929</v>
      </c>
      <c r="D922" s="13">
        <v>2023</v>
      </c>
      <c r="E922" s="13" t="s">
        <v>21</v>
      </c>
      <c r="F922" s="13" t="s">
        <v>25</v>
      </c>
      <c r="G922" s="15">
        <v>1209.55</v>
      </c>
      <c r="H922" s="15">
        <v>1209.55</v>
      </c>
      <c r="I922" s="13">
        <v>5</v>
      </c>
      <c r="J922" s="13">
        <v>5</v>
      </c>
      <c r="K922" s="13" t="s">
        <v>35</v>
      </c>
      <c r="L922" s="15">
        <v>241.91</v>
      </c>
      <c r="M922" s="16">
        <v>241.91</v>
      </c>
    </row>
    <row r="923" spans="1:13" s="5" customFormat="1" x14ac:dyDescent="0.25">
      <c r="A923" s="12" t="s">
        <v>1816</v>
      </c>
      <c r="B923" s="13" t="s">
        <v>1817</v>
      </c>
      <c r="C923" s="14">
        <v>45919</v>
      </c>
      <c r="D923" s="13">
        <v>2025</v>
      </c>
      <c r="E923" s="13" t="s">
        <v>3347</v>
      </c>
      <c r="F923" s="13" t="s">
        <v>11</v>
      </c>
      <c r="G923" s="15">
        <v>485.86</v>
      </c>
      <c r="H923" s="15">
        <v>485.86</v>
      </c>
      <c r="I923" s="13">
        <v>1</v>
      </c>
      <c r="J923" s="13">
        <v>1</v>
      </c>
      <c r="K923" s="13" t="s">
        <v>18</v>
      </c>
      <c r="L923" s="15">
        <v>485.86</v>
      </c>
      <c r="M923" s="16">
        <v>366.13541666666663</v>
      </c>
    </row>
    <row r="924" spans="1:13" s="5" customFormat="1" x14ac:dyDescent="0.25">
      <c r="A924" s="12" t="s">
        <v>1818</v>
      </c>
      <c r="B924" s="13" t="s">
        <v>1819</v>
      </c>
      <c r="C924" s="14">
        <v>45081</v>
      </c>
      <c r="D924" s="13">
        <v>2023</v>
      </c>
      <c r="E924" s="13" t="s">
        <v>3347</v>
      </c>
      <c r="F924" s="13" t="s">
        <v>22</v>
      </c>
      <c r="G924" s="15">
        <v>1091.1400000000001</v>
      </c>
      <c r="H924" s="15">
        <v>1091.1400000000001</v>
      </c>
      <c r="I924" s="13">
        <v>3</v>
      </c>
      <c r="J924" s="13">
        <v>3</v>
      </c>
      <c r="K924" s="13" t="s">
        <v>3346</v>
      </c>
      <c r="L924" s="15">
        <v>363.71333333333337</v>
      </c>
      <c r="M924" s="16">
        <v>363.71333333333337</v>
      </c>
    </row>
    <row r="925" spans="1:13" s="5" customFormat="1" x14ac:dyDescent="0.25">
      <c r="A925" s="12" t="s">
        <v>1820</v>
      </c>
      <c r="B925" s="13" t="s">
        <v>1821</v>
      </c>
      <c r="C925" s="14">
        <v>45330</v>
      </c>
      <c r="D925" s="13">
        <v>2024</v>
      </c>
      <c r="E925" s="13" t="s">
        <v>14</v>
      </c>
      <c r="F925" s="13" t="s">
        <v>34</v>
      </c>
      <c r="G925" s="15">
        <v>389.87</v>
      </c>
      <c r="H925" s="15">
        <v>389.87</v>
      </c>
      <c r="I925" s="13">
        <v>2</v>
      </c>
      <c r="J925" s="13">
        <v>2</v>
      </c>
      <c r="K925" s="13" t="s">
        <v>35</v>
      </c>
      <c r="L925" s="15">
        <v>194.935</v>
      </c>
      <c r="M925" s="16">
        <v>194.935</v>
      </c>
    </row>
    <row r="926" spans="1:13" s="5" customFormat="1" x14ac:dyDescent="0.25">
      <c r="A926" s="12" t="s">
        <v>1822</v>
      </c>
      <c r="B926" s="13" t="s">
        <v>1823</v>
      </c>
      <c r="C926" s="14">
        <v>45697</v>
      </c>
      <c r="D926" s="13">
        <v>2025</v>
      </c>
      <c r="E926" s="13" t="s">
        <v>10</v>
      </c>
      <c r="F926" s="13" t="s">
        <v>11</v>
      </c>
      <c r="G926" s="15">
        <v>522.04999999999995</v>
      </c>
      <c r="H926" s="15">
        <v>522.04999999999995</v>
      </c>
      <c r="I926" s="13">
        <v>3</v>
      </c>
      <c r="J926" s="13">
        <v>3</v>
      </c>
      <c r="K926" s="13" t="s">
        <v>3348</v>
      </c>
      <c r="L926" s="15">
        <v>174.01666666666665</v>
      </c>
      <c r="M926" s="16">
        <v>174.01666666666665</v>
      </c>
    </row>
    <row r="927" spans="1:13" s="5" customFormat="1" x14ac:dyDescent="0.25">
      <c r="A927" s="12" t="s">
        <v>1824</v>
      </c>
      <c r="B927" s="13" t="s">
        <v>1825</v>
      </c>
      <c r="C927" s="14">
        <v>45732</v>
      </c>
      <c r="D927" s="13">
        <v>2025</v>
      </c>
      <c r="E927" s="13" t="s">
        <v>21</v>
      </c>
      <c r="F927" s="13" t="s">
        <v>34</v>
      </c>
      <c r="G927" s="15">
        <v>177.42493333333331</v>
      </c>
      <c r="H927" s="15">
        <v>177.42493333333331</v>
      </c>
      <c r="I927" s="13">
        <v>1</v>
      </c>
      <c r="J927" s="13">
        <v>1</v>
      </c>
      <c r="K927" s="13" t="s">
        <v>3346</v>
      </c>
      <c r="L927" s="15">
        <v>177.42493333333331</v>
      </c>
      <c r="M927" s="16">
        <v>177.42493333333331</v>
      </c>
    </row>
    <row r="928" spans="1:13" s="5" customFormat="1" x14ac:dyDescent="0.25">
      <c r="A928" s="12" t="s">
        <v>1826</v>
      </c>
      <c r="B928" s="13" t="s">
        <v>1827</v>
      </c>
      <c r="C928" s="14">
        <v>45937</v>
      </c>
      <c r="D928" s="13">
        <v>2025</v>
      </c>
      <c r="E928" s="13" t="s">
        <v>10</v>
      </c>
      <c r="F928" s="13" t="s">
        <v>22</v>
      </c>
      <c r="G928" s="15">
        <v>1528.8</v>
      </c>
      <c r="H928" s="15">
        <v>1528.8</v>
      </c>
      <c r="I928" s="13">
        <v>8</v>
      </c>
      <c r="J928" s="13">
        <v>8</v>
      </c>
      <c r="K928" s="13" t="s">
        <v>35</v>
      </c>
      <c r="L928" s="15">
        <v>191.1</v>
      </c>
      <c r="M928" s="16">
        <v>191.1</v>
      </c>
    </row>
    <row r="929" spans="1:13" s="5" customFormat="1" x14ac:dyDescent="0.25">
      <c r="A929" s="12" t="s">
        <v>1828</v>
      </c>
      <c r="B929" s="13" t="s">
        <v>726</v>
      </c>
      <c r="C929" s="14">
        <v>44857</v>
      </c>
      <c r="D929" s="13">
        <v>2022</v>
      </c>
      <c r="E929" s="13" t="s">
        <v>3347</v>
      </c>
      <c r="F929" s="13" t="s">
        <v>25</v>
      </c>
      <c r="G929" s="15">
        <v>155.52000000000001</v>
      </c>
      <c r="H929" s="15">
        <v>155.52000000000001</v>
      </c>
      <c r="I929" s="13">
        <v>1</v>
      </c>
      <c r="J929" s="13">
        <v>1</v>
      </c>
      <c r="K929" s="13" t="s">
        <v>35</v>
      </c>
      <c r="L929" s="15">
        <v>155.52000000000001</v>
      </c>
      <c r="M929" s="16">
        <v>155.52000000000001</v>
      </c>
    </row>
    <row r="930" spans="1:13" s="5" customFormat="1" x14ac:dyDescent="0.25">
      <c r="A930" s="12" t="s">
        <v>1829</v>
      </c>
      <c r="B930" s="13" t="s">
        <v>1830</v>
      </c>
      <c r="C930" s="14">
        <v>44858</v>
      </c>
      <c r="D930" s="13">
        <v>2022</v>
      </c>
      <c r="E930" s="13" t="s">
        <v>3347</v>
      </c>
      <c r="F930" s="13" t="s">
        <v>22</v>
      </c>
      <c r="G930" s="15">
        <v>1625.83</v>
      </c>
      <c r="H930" s="15">
        <v>1625.83</v>
      </c>
      <c r="I930" s="13">
        <v>2</v>
      </c>
      <c r="J930" s="13">
        <v>2</v>
      </c>
      <c r="K930" s="13" t="s">
        <v>3348</v>
      </c>
      <c r="L930" s="15">
        <v>812.91499999999996</v>
      </c>
      <c r="M930" s="16">
        <v>812.91499999999996</v>
      </c>
    </row>
    <row r="931" spans="1:13" s="5" customFormat="1" x14ac:dyDescent="0.25">
      <c r="A931" s="12" t="s">
        <v>1831</v>
      </c>
      <c r="B931" s="13" t="s">
        <v>1832</v>
      </c>
      <c r="C931" s="14">
        <v>45392</v>
      </c>
      <c r="D931" s="13">
        <v>2024</v>
      </c>
      <c r="E931" s="13" t="s">
        <v>10</v>
      </c>
      <c r="F931" s="13" t="s">
        <v>22</v>
      </c>
      <c r="G931" s="15">
        <v>382.53</v>
      </c>
      <c r="H931" s="15">
        <v>382.53</v>
      </c>
      <c r="I931" s="13">
        <v>5</v>
      </c>
      <c r="J931" s="13">
        <v>5</v>
      </c>
      <c r="K931" s="13" t="s">
        <v>3346</v>
      </c>
      <c r="L931" s="15">
        <v>76.506</v>
      </c>
      <c r="M931" s="16">
        <v>76.506</v>
      </c>
    </row>
    <row r="932" spans="1:13" s="5" customFormat="1" x14ac:dyDescent="0.25">
      <c r="A932" s="12" t="s">
        <v>1833</v>
      </c>
      <c r="B932" s="13" t="s">
        <v>1834</v>
      </c>
      <c r="C932" s="14">
        <v>45375</v>
      </c>
      <c r="D932" s="13">
        <v>2024</v>
      </c>
      <c r="E932" s="13" t="s">
        <v>3347</v>
      </c>
      <c r="F932" s="13" t="s">
        <v>11</v>
      </c>
      <c r="G932" s="15">
        <v>1299.1600000000001</v>
      </c>
      <c r="H932" s="15">
        <v>1299.1600000000001</v>
      </c>
      <c r="I932" s="13">
        <v>7</v>
      </c>
      <c r="J932" s="13">
        <v>7</v>
      </c>
      <c r="K932" s="13" t="s">
        <v>3348</v>
      </c>
      <c r="L932" s="15">
        <v>185.59428571428572</v>
      </c>
      <c r="M932" s="16">
        <v>185.59428571428572</v>
      </c>
    </row>
    <row r="933" spans="1:13" s="5" customFormat="1" x14ac:dyDescent="0.25">
      <c r="A933" s="12" t="s">
        <v>1835</v>
      </c>
      <c r="B933" s="13" t="s">
        <v>1836</v>
      </c>
      <c r="C933" s="14">
        <v>44927</v>
      </c>
      <c r="D933" s="13">
        <v>2023</v>
      </c>
      <c r="E933" s="13" t="s">
        <v>14</v>
      </c>
      <c r="F933" s="13" t="s">
        <v>11</v>
      </c>
      <c r="G933" s="15">
        <v>687.13</v>
      </c>
      <c r="H933" s="15">
        <v>687.13</v>
      </c>
      <c r="I933" s="13">
        <v>9</v>
      </c>
      <c r="J933" s="13">
        <v>9</v>
      </c>
      <c r="K933" s="13" t="s">
        <v>15</v>
      </c>
      <c r="L933" s="15">
        <v>76.347777777777779</v>
      </c>
      <c r="M933" s="16">
        <v>76.347777777777779</v>
      </c>
    </row>
    <row r="934" spans="1:13" s="5" customFormat="1" x14ac:dyDescent="0.25">
      <c r="A934" s="12" t="s">
        <v>1837</v>
      </c>
      <c r="B934" s="13" t="s">
        <v>1838</v>
      </c>
      <c r="C934" s="14">
        <v>44969</v>
      </c>
      <c r="D934" s="13">
        <v>2023</v>
      </c>
      <c r="E934" s="13" t="s">
        <v>10</v>
      </c>
      <c r="F934" s="13" t="s">
        <v>22</v>
      </c>
      <c r="G934" s="15">
        <v>975.19</v>
      </c>
      <c r="H934" s="15">
        <v>975.19</v>
      </c>
      <c r="I934" s="13">
        <v>5</v>
      </c>
      <c r="J934" s="13">
        <v>5</v>
      </c>
      <c r="K934" s="13" t="s">
        <v>3348</v>
      </c>
      <c r="L934" s="15">
        <v>195.03800000000001</v>
      </c>
      <c r="M934" s="16">
        <v>195.03800000000001</v>
      </c>
    </row>
    <row r="935" spans="1:13" s="5" customFormat="1" x14ac:dyDescent="0.25">
      <c r="A935" s="12" t="s">
        <v>1839</v>
      </c>
      <c r="B935" s="13" t="s">
        <v>1840</v>
      </c>
      <c r="C935" s="14">
        <v>45855</v>
      </c>
      <c r="D935" s="13">
        <v>2025</v>
      </c>
      <c r="E935" s="13" t="s">
        <v>3347</v>
      </c>
      <c r="F935" s="13" t="s">
        <v>34</v>
      </c>
      <c r="G935" s="15">
        <v>778.69624999999985</v>
      </c>
      <c r="H935" s="15">
        <v>778.69624999999985</v>
      </c>
      <c r="I935" s="13">
        <v>4</v>
      </c>
      <c r="J935" s="13">
        <v>4</v>
      </c>
      <c r="K935" s="13" t="s">
        <v>3348</v>
      </c>
      <c r="L935" s="15">
        <v>194.67406249999996</v>
      </c>
      <c r="M935" s="16">
        <v>194.67406249999996</v>
      </c>
    </row>
    <row r="936" spans="1:13" s="5" customFormat="1" x14ac:dyDescent="0.25">
      <c r="A936" s="12" t="s">
        <v>1841</v>
      </c>
      <c r="B936" s="13" t="s">
        <v>1842</v>
      </c>
      <c r="C936" s="14">
        <v>45321</v>
      </c>
      <c r="D936" s="13">
        <v>2024</v>
      </c>
      <c r="E936" s="13" t="s">
        <v>3347</v>
      </c>
      <c r="F936" s="13" t="s">
        <v>11</v>
      </c>
      <c r="G936" s="15">
        <v>1446.4913333333332</v>
      </c>
      <c r="H936" s="15">
        <v>1446.4913333333332</v>
      </c>
      <c r="I936" s="13">
        <v>6</v>
      </c>
      <c r="J936" s="13">
        <v>6</v>
      </c>
      <c r="K936" s="13" t="s">
        <v>18</v>
      </c>
      <c r="L936" s="15">
        <v>241.08188888888887</v>
      </c>
      <c r="M936" s="16">
        <v>241.08188888888887</v>
      </c>
    </row>
    <row r="937" spans="1:13" s="5" customFormat="1" x14ac:dyDescent="0.25">
      <c r="A937" s="12" t="s">
        <v>1843</v>
      </c>
      <c r="B937" s="13" t="s">
        <v>1844</v>
      </c>
      <c r="C937" s="14">
        <v>45006</v>
      </c>
      <c r="D937" s="13">
        <v>2023</v>
      </c>
      <c r="E937" s="13" t="s">
        <v>21</v>
      </c>
      <c r="F937" s="13" t="s">
        <v>34</v>
      </c>
      <c r="G937" s="15">
        <v>443.1</v>
      </c>
      <c r="H937" s="15">
        <v>443.1</v>
      </c>
      <c r="I937" s="13">
        <v>7</v>
      </c>
      <c r="J937" s="13">
        <v>7</v>
      </c>
      <c r="K937" s="13" t="s">
        <v>3348</v>
      </c>
      <c r="L937" s="15">
        <v>63.300000000000004</v>
      </c>
      <c r="M937" s="16">
        <v>63.300000000000004</v>
      </c>
    </row>
    <row r="938" spans="1:13" s="5" customFormat="1" x14ac:dyDescent="0.25">
      <c r="A938" s="12" t="s">
        <v>1845</v>
      </c>
      <c r="B938" s="13" t="s">
        <v>1846</v>
      </c>
      <c r="C938" s="14">
        <v>45502</v>
      </c>
      <c r="D938" s="13">
        <v>2024</v>
      </c>
      <c r="E938" s="13" t="s">
        <v>14</v>
      </c>
      <c r="F938" s="13" t="s">
        <v>11</v>
      </c>
      <c r="G938" s="15">
        <v>548.82742857142853</v>
      </c>
      <c r="H938" s="15">
        <v>548.82742857142853</v>
      </c>
      <c r="I938" s="13">
        <v>9</v>
      </c>
      <c r="J938" s="13">
        <v>9</v>
      </c>
      <c r="K938" s="13" t="s">
        <v>18</v>
      </c>
      <c r="L938" s="15">
        <v>60.980825396825395</v>
      </c>
      <c r="M938" s="16">
        <v>60.980825396825395</v>
      </c>
    </row>
    <row r="939" spans="1:13" s="5" customFormat="1" x14ac:dyDescent="0.25">
      <c r="A939" s="12" t="s">
        <v>1847</v>
      </c>
      <c r="B939" s="13" t="s">
        <v>1848</v>
      </c>
      <c r="C939" s="14">
        <v>45852</v>
      </c>
      <c r="D939" s="13">
        <v>2025</v>
      </c>
      <c r="E939" s="13" t="s">
        <v>3347</v>
      </c>
      <c r="F939" s="13" t="s">
        <v>25</v>
      </c>
      <c r="G939" s="15">
        <v>1470.47</v>
      </c>
      <c r="H939" s="15">
        <v>1470.47</v>
      </c>
      <c r="I939" s="13">
        <v>7</v>
      </c>
      <c r="J939" s="13">
        <v>7</v>
      </c>
      <c r="K939" s="13" t="s">
        <v>18</v>
      </c>
      <c r="L939" s="15">
        <v>210.06714285714287</v>
      </c>
      <c r="M939" s="16">
        <v>210.06714285714287</v>
      </c>
    </row>
    <row r="940" spans="1:13" s="5" customFormat="1" x14ac:dyDescent="0.25">
      <c r="A940" s="12" t="s">
        <v>1849</v>
      </c>
      <c r="B940" s="13" t="s">
        <v>1850</v>
      </c>
      <c r="C940" s="14">
        <v>45058</v>
      </c>
      <c r="D940" s="13">
        <v>2023</v>
      </c>
      <c r="E940" s="13" t="s">
        <v>10</v>
      </c>
      <c r="F940" s="13" t="s">
        <v>34</v>
      </c>
      <c r="G940" s="15">
        <v>242.29</v>
      </c>
      <c r="H940" s="15">
        <v>242.29</v>
      </c>
      <c r="I940" s="13">
        <v>3</v>
      </c>
      <c r="J940" s="13">
        <v>3</v>
      </c>
      <c r="K940" s="13" t="s">
        <v>15</v>
      </c>
      <c r="L940" s="15">
        <v>80.763333333333335</v>
      </c>
      <c r="M940" s="16">
        <v>80.763333333333335</v>
      </c>
    </row>
    <row r="941" spans="1:13" s="5" customFormat="1" x14ac:dyDescent="0.25">
      <c r="A941" s="12" t="s">
        <v>1851</v>
      </c>
      <c r="B941" s="13" t="s">
        <v>1852</v>
      </c>
      <c r="C941" s="14">
        <v>45797</v>
      </c>
      <c r="D941" s="13">
        <v>2025</v>
      </c>
      <c r="E941" s="13" t="s">
        <v>21</v>
      </c>
      <c r="F941" s="13" t="s">
        <v>22</v>
      </c>
      <c r="G941" s="15">
        <v>1861.59</v>
      </c>
      <c r="H941" s="15">
        <v>1861.59</v>
      </c>
      <c r="I941" s="13">
        <v>2</v>
      </c>
      <c r="J941" s="13">
        <v>2</v>
      </c>
      <c r="K941" s="13" t="s">
        <v>3346</v>
      </c>
      <c r="L941" s="15">
        <v>930.79499999999996</v>
      </c>
      <c r="M941" s="16">
        <v>930.79499999999996</v>
      </c>
    </row>
    <row r="942" spans="1:13" s="5" customFormat="1" x14ac:dyDescent="0.25">
      <c r="A942" s="12" t="s">
        <v>1853</v>
      </c>
      <c r="B942" s="13" t="s">
        <v>1854</v>
      </c>
      <c r="C942" s="14">
        <v>45898</v>
      </c>
      <c r="D942" s="13">
        <v>2025</v>
      </c>
      <c r="E942" s="13" t="s">
        <v>21</v>
      </c>
      <c r="F942" s="13" t="s">
        <v>11</v>
      </c>
      <c r="G942" s="15">
        <v>341.37267857142854</v>
      </c>
      <c r="H942" s="15">
        <v>341.37267857142854</v>
      </c>
      <c r="I942" s="13">
        <v>3</v>
      </c>
      <c r="J942" s="13">
        <v>3</v>
      </c>
      <c r="K942" s="13" t="s">
        <v>3346</v>
      </c>
      <c r="L942" s="15">
        <v>113.79089285714285</v>
      </c>
      <c r="M942" s="16">
        <v>113.79089285714285</v>
      </c>
    </row>
    <row r="943" spans="1:13" s="5" customFormat="1" x14ac:dyDescent="0.25">
      <c r="A943" s="12" t="s">
        <v>1855</v>
      </c>
      <c r="B943" s="13" t="s">
        <v>1856</v>
      </c>
      <c r="C943" s="14">
        <v>45878</v>
      </c>
      <c r="D943" s="13">
        <v>2025</v>
      </c>
      <c r="E943" s="13" t="s">
        <v>14</v>
      </c>
      <c r="F943" s="13" t="s">
        <v>22</v>
      </c>
      <c r="G943" s="15">
        <v>1040.8699999999999</v>
      </c>
      <c r="H943" s="15">
        <v>1040.8699999999999</v>
      </c>
      <c r="I943" s="13">
        <v>5</v>
      </c>
      <c r="J943" s="13">
        <v>5</v>
      </c>
      <c r="K943" s="13" t="s">
        <v>3348</v>
      </c>
      <c r="L943" s="15">
        <v>208.17399999999998</v>
      </c>
      <c r="M943" s="16">
        <v>208.17399999999998</v>
      </c>
    </row>
    <row r="944" spans="1:13" s="5" customFormat="1" x14ac:dyDescent="0.25">
      <c r="A944" s="12" t="s">
        <v>1857</v>
      </c>
      <c r="B944" s="13" t="s">
        <v>1858</v>
      </c>
      <c r="C944" s="14">
        <v>45905</v>
      </c>
      <c r="D944" s="13">
        <v>2025</v>
      </c>
      <c r="E944" s="13" t="s">
        <v>3347</v>
      </c>
      <c r="F944" s="13" t="s">
        <v>22</v>
      </c>
      <c r="G944" s="15">
        <v>1627.3</v>
      </c>
      <c r="H944" s="15">
        <v>1627.3</v>
      </c>
      <c r="I944" s="13">
        <v>5</v>
      </c>
      <c r="J944" s="13">
        <v>5</v>
      </c>
      <c r="K944" s="13" t="s">
        <v>3348</v>
      </c>
      <c r="L944" s="15">
        <v>325.45999999999998</v>
      </c>
      <c r="M944" s="16">
        <v>325.45999999999998</v>
      </c>
    </row>
    <row r="945" spans="1:13" s="5" customFormat="1" x14ac:dyDescent="0.25">
      <c r="A945" s="12" t="s">
        <v>1859</v>
      </c>
      <c r="B945" s="13" t="s">
        <v>1860</v>
      </c>
      <c r="C945" s="14">
        <v>45108</v>
      </c>
      <c r="D945" s="13">
        <v>2023</v>
      </c>
      <c r="E945" s="13" t="s">
        <v>14</v>
      </c>
      <c r="F945" s="13" t="s">
        <v>22</v>
      </c>
      <c r="G945" s="15">
        <v>493.98</v>
      </c>
      <c r="H945" s="15">
        <v>493.98</v>
      </c>
      <c r="I945" s="13">
        <v>8</v>
      </c>
      <c r="J945" s="13">
        <v>8</v>
      </c>
      <c r="K945" s="13" t="s">
        <v>3348</v>
      </c>
      <c r="L945" s="15">
        <v>61.747500000000002</v>
      </c>
      <c r="M945" s="16">
        <v>61.747500000000002</v>
      </c>
    </row>
    <row r="946" spans="1:13" s="5" customFormat="1" x14ac:dyDescent="0.25">
      <c r="A946" s="12" t="s">
        <v>1861</v>
      </c>
      <c r="B946" s="13" t="s">
        <v>1862</v>
      </c>
      <c r="C946" s="14">
        <v>45816</v>
      </c>
      <c r="D946" s="13">
        <v>2025</v>
      </c>
      <c r="E946" s="13" t="s">
        <v>14</v>
      </c>
      <c r="F946" s="13" t="s">
        <v>25</v>
      </c>
      <c r="G946" s="15">
        <v>1021.51</v>
      </c>
      <c r="H946" s="15">
        <v>1021.51</v>
      </c>
      <c r="I946" s="13">
        <v>5</v>
      </c>
      <c r="J946" s="13">
        <v>5</v>
      </c>
      <c r="K946" s="13" t="s">
        <v>15</v>
      </c>
      <c r="L946" s="15">
        <v>204.30199999999999</v>
      </c>
      <c r="M946" s="16">
        <v>204.30199999999999</v>
      </c>
    </row>
    <row r="947" spans="1:13" s="5" customFormat="1" x14ac:dyDescent="0.25">
      <c r="A947" s="12" t="s">
        <v>1863</v>
      </c>
      <c r="B947" s="13" t="s">
        <v>1864</v>
      </c>
      <c r="C947" s="14">
        <v>45050</v>
      </c>
      <c r="D947" s="13">
        <v>2023</v>
      </c>
      <c r="E947" s="13" t="s">
        <v>10</v>
      </c>
      <c r="F947" s="13" t="s">
        <v>11</v>
      </c>
      <c r="G947" s="15">
        <v>565.1</v>
      </c>
      <c r="H947" s="15">
        <v>565.1</v>
      </c>
      <c r="I947" s="13">
        <v>8</v>
      </c>
      <c r="J947" s="13">
        <v>8</v>
      </c>
      <c r="K947" s="13" t="s">
        <v>3346</v>
      </c>
      <c r="L947" s="15">
        <v>70.637500000000003</v>
      </c>
      <c r="M947" s="16">
        <v>70.637500000000003</v>
      </c>
    </row>
    <row r="948" spans="1:13" s="5" customFormat="1" x14ac:dyDescent="0.25">
      <c r="A948" s="12" t="s">
        <v>1865</v>
      </c>
      <c r="B948" s="13" t="s">
        <v>1866</v>
      </c>
      <c r="C948" s="14">
        <v>45828</v>
      </c>
      <c r="D948" s="13">
        <v>2025</v>
      </c>
      <c r="E948" s="13" t="s">
        <v>14</v>
      </c>
      <c r="F948" s="13" t="s">
        <v>11</v>
      </c>
      <c r="G948" s="15">
        <v>1988.82</v>
      </c>
      <c r="H948" s="15">
        <v>1988.82</v>
      </c>
      <c r="I948" s="13">
        <v>9</v>
      </c>
      <c r="J948" s="13">
        <v>9</v>
      </c>
      <c r="K948" s="13" t="s">
        <v>35</v>
      </c>
      <c r="L948" s="15">
        <v>220.98</v>
      </c>
      <c r="M948" s="16">
        <v>220.98</v>
      </c>
    </row>
    <row r="949" spans="1:13" s="5" customFormat="1" x14ac:dyDescent="0.25">
      <c r="A949" s="12" t="s">
        <v>1867</v>
      </c>
      <c r="B949" s="13" t="s">
        <v>1778</v>
      </c>
      <c r="C949" s="14">
        <v>45867</v>
      </c>
      <c r="D949" s="13">
        <v>2025</v>
      </c>
      <c r="E949" s="13" t="s">
        <v>10</v>
      </c>
      <c r="F949" s="13" t="s">
        <v>34</v>
      </c>
      <c r="G949" s="15">
        <v>159.55000000000001</v>
      </c>
      <c r="H949" s="15">
        <v>159.55000000000001</v>
      </c>
      <c r="I949" s="13">
        <v>1</v>
      </c>
      <c r="J949" s="13">
        <v>1</v>
      </c>
      <c r="K949" s="13" t="s">
        <v>18</v>
      </c>
      <c r="L949" s="15">
        <v>159.55000000000001</v>
      </c>
      <c r="M949" s="16">
        <v>159.55000000000001</v>
      </c>
    </row>
    <row r="950" spans="1:13" s="5" customFormat="1" x14ac:dyDescent="0.25">
      <c r="A950" s="12" t="s">
        <v>1868</v>
      </c>
      <c r="B950" s="13" t="s">
        <v>1869</v>
      </c>
      <c r="C950" s="14">
        <v>45825</v>
      </c>
      <c r="D950" s="13">
        <v>2025</v>
      </c>
      <c r="E950" s="13" t="s">
        <v>3347</v>
      </c>
      <c r="F950" s="13" t="s">
        <v>34</v>
      </c>
      <c r="G950" s="15">
        <v>1695.67</v>
      </c>
      <c r="H950" s="15">
        <v>1695.67</v>
      </c>
      <c r="I950" s="13">
        <v>2</v>
      </c>
      <c r="J950" s="13">
        <v>2</v>
      </c>
      <c r="K950" s="13" t="s">
        <v>3346</v>
      </c>
      <c r="L950" s="15">
        <v>847.83500000000004</v>
      </c>
      <c r="M950" s="16">
        <v>847.83500000000004</v>
      </c>
    </row>
    <row r="951" spans="1:13" s="5" customFormat="1" x14ac:dyDescent="0.25">
      <c r="A951" s="12" t="s">
        <v>1870</v>
      </c>
      <c r="B951" s="13" t="s">
        <v>1871</v>
      </c>
      <c r="C951" s="14">
        <v>45369</v>
      </c>
      <c r="D951" s="13">
        <v>2024</v>
      </c>
      <c r="E951" s="13" t="s">
        <v>21</v>
      </c>
      <c r="F951" s="13" t="s">
        <v>22</v>
      </c>
      <c r="G951" s="15">
        <v>626.92999999999995</v>
      </c>
      <c r="H951" s="15">
        <v>626.92999999999995</v>
      </c>
      <c r="I951" s="13">
        <v>2</v>
      </c>
      <c r="J951" s="13">
        <v>2</v>
      </c>
      <c r="K951" s="13" t="s">
        <v>15</v>
      </c>
      <c r="L951" s="15">
        <v>313.46499999999997</v>
      </c>
      <c r="M951" s="16">
        <v>313.46499999999997</v>
      </c>
    </row>
    <row r="952" spans="1:13" s="5" customFormat="1" x14ac:dyDescent="0.25">
      <c r="A952" s="12" t="s">
        <v>1872</v>
      </c>
      <c r="B952" s="13" t="s">
        <v>1873</v>
      </c>
      <c r="C952" s="14">
        <v>45395</v>
      </c>
      <c r="D952" s="13">
        <v>2024</v>
      </c>
      <c r="E952" s="13" t="s">
        <v>14</v>
      </c>
      <c r="F952" s="13" t="s">
        <v>11</v>
      </c>
      <c r="G952" s="15">
        <v>1773.39</v>
      </c>
      <c r="H952" s="15">
        <v>1773.39</v>
      </c>
      <c r="I952" s="13">
        <v>9</v>
      </c>
      <c r="J952" s="13">
        <v>9</v>
      </c>
      <c r="K952" s="13" t="s">
        <v>3346</v>
      </c>
      <c r="L952" s="15">
        <v>197.04333333333335</v>
      </c>
      <c r="M952" s="16">
        <v>197.04333333333335</v>
      </c>
    </row>
    <row r="953" spans="1:13" s="5" customFormat="1" x14ac:dyDescent="0.25">
      <c r="A953" s="12" t="s">
        <v>1874</v>
      </c>
      <c r="B953" s="13" t="s">
        <v>1875</v>
      </c>
      <c r="C953" s="14">
        <v>45818</v>
      </c>
      <c r="D953" s="13">
        <v>2025</v>
      </c>
      <c r="E953" s="13" t="s">
        <v>14</v>
      </c>
      <c r="F953" s="13" t="s">
        <v>25</v>
      </c>
      <c r="G953" s="15">
        <v>831.59</v>
      </c>
      <c r="H953" s="15">
        <v>831.59</v>
      </c>
      <c r="I953" s="13">
        <v>10</v>
      </c>
      <c r="J953" s="13">
        <v>10</v>
      </c>
      <c r="K953" s="13" t="s">
        <v>15</v>
      </c>
      <c r="L953" s="15">
        <v>83.159000000000006</v>
      </c>
      <c r="M953" s="16">
        <v>83.159000000000006</v>
      </c>
    </row>
    <row r="954" spans="1:13" s="5" customFormat="1" x14ac:dyDescent="0.25">
      <c r="A954" s="12" t="s">
        <v>1876</v>
      </c>
      <c r="B954" s="13" t="s">
        <v>1877</v>
      </c>
      <c r="C954" s="14">
        <v>45557</v>
      </c>
      <c r="D954" s="13">
        <v>2024</v>
      </c>
      <c r="E954" s="13" t="s">
        <v>10</v>
      </c>
      <c r="F954" s="13" t="s">
        <v>11</v>
      </c>
      <c r="G954" s="15">
        <v>795.89</v>
      </c>
      <c r="H954" s="15">
        <v>795.89</v>
      </c>
      <c r="I954" s="13">
        <v>2</v>
      </c>
      <c r="J954" s="13">
        <v>2</v>
      </c>
      <c r="K954" s="13" t="s">
        <v>15</v>
      </c>
      <c r="L954" s="15">
        <v>397.94499999999999</v>
      </c>
      <c r="M954" s="16">
        <v>397.94499999999999</v>
      </c>
    </row>
    <row r="955" spans="1:13" s="5" customFormat="1" x14ac:dyDescent="0.25">
      <c r="A955" s="12" t="s">
        <v>1878</v>
      </c>
      <c r="B955" s="13" t="s">
        <v>1879</v>
      </c>
      <c r="C955" s="14">
        <v>45858</v>
      </c>
      <c r="D955" s="13">
        <v>2025</v>
      </c>
      <c r="E955" s="13" t="s">
        <v>14</v>
      </c>
      <c r="F955" s="13" t="s">
        <v>22</v>
      </c>
      <c r="G955" s="15">
        <v>981.91</v>
      </c>
      <c r="H955" s="15">
        <v>981.91</v>
      </c>
      <c r="I955" s="13">
        <v>4</v>
      </c>
      <c r="J955" s="13">
        <v>4</v>
      </c>
      <c r="K955" s="13" t="s">
        <v>18</v>
      </c>
      <c r="L955" s="15">
        <v>245.47749999999999</v>
      </c>
      <c r="M955" s="16">
        <v>245.47749999999999</v>
      </c>
    </row>
    <row r="956" spans="1:13" s="5" customFormat="1" x14ac:dyDescent="0.25">
      <c r="A956" s="12" t="s">
        <v>1880</v>
      </c>
      <c r="B956" s="13" t="s">
        <v>1881</v>
      </c>
      <c r="C956" s="14">
        <v>45288</v>
      </c>
      <c r="D956" s="13">
        <v>2023</v>
      </c>
      <c r="E956" s="13" t="s">
        <v>21</v>
      </c>
      <c r="F956" s="13" t="s">
        <v>22</v>
      </c>
      <c r="G956" s="15">
        <v>889.59</v>
      </c>
      <c r="H956" s="15">
        <v>889.59</v>
      </c>
      <c r="I956" s="13">
        <v>6</v>
      </c>
      <c r="J956" s="13">
        <v>6</v>
      </c>
      <c r="K956" s="13" t="s">
        <v>15</v>
      </c>
      <c r="L956" s="15">
        <v>148.26500000000001</v>
      </c>
      <c r="M956" s="16">
        <v>148.26500000000001</v>
      </c>
    </row>
    <row r="957" spans="1:13" s="5" customFormat="1" x14ac:dyDescent="0.25">
      <c r="A957" s="12" t="s">
        <v>1882</v>
      </c>
      <c r="B957" s="13" t="s">
        <v>1883</v>
      </c>
      <c r="C957" s="14">
        <v>45493</v>
      </c>
      <c r="D957" s="13">
        <v>2024</v>
      </c>
      <c r="E957" s="13" t="s">
        <v>3347</v>
      </c>
      <c r="F957" s="13" t="s">
        <v>22</v>
      </c>
      <c r="G957" s="15">
        <v>3068.2834591836736</v>
      </c>
      <c r="H957" s="15">
        <v>3068.2834591836736</v>
      </c>
      <c r="I957" s="13">
        <v>9</v>
      </c>
      <c r="J957" s="13">
        <v>9</v>
      </c>
      <c r="K957" s="13" t="s">
        <v>3346</v>
      </c>
      <c r="L957" s="15">
        <v>340.9203843537415</v>
      </c>
      <c r="M957" s="16">
        <v>340.9203843537415</v>
      </c>
    </row>
    <row r="958" spans="1:13" s="5" customFormat="1" x14ac:dyDescent="0.25">
      <c r="A958" s="12" t="s">
        <v>1884</v>
      </c>
      <c r="B958" s="13" t="s">
        <v>1885</v>
      </c>
      <c r="C958" s="14">
        <v>45704</v>
      </c>
      <c r="D958" s="13">
        <v>2025</v>
      </c>
      <c r="E958" s="13" t="s">
        <v>21</v>
      </c>
      <c r="F958" s="13" t="s">
        <v>34</v>
      </c>
      <c r="G958" s="15">
        <v>466.55</v>
      </c>
      <c r="H958" s="15">
        <v>466.55</v>
      </c>
      <c r="I958" s="13">
        <v>9</v>
      </c>
      <c r="J958" s="13">
        <v>9</v>
      </c>
      <c r="K958" s="13" t="s">
        <v>3346</v>
      </c>
      <c r="L958" s="15">
        <v>51.838888888888889</v>
      </c>
      <c r="M958" s="16">
        <v>51.838888888888889</v>
      </c>
    </row>
    <row r="959" spans="1:13" s="5" customFormat="1" x14ac:dyDescent="0.25">
      <c r="A959" s="12" t="s">
        <v>1886</v>
      </c>
      <c r="B959" s="13" t="s">
        <v>1532</v>
      </c>
      <c r="C959" s="14">
        <v>44993</v>
      </c>
      <c r="D959" s="13">
        <v>2023</v>
      </c>
      <c r="E959" s="13" t="s">
        <v>21</v>
      </c>
      <c r="F959" s="13" t="s">
        <v>22</v>
      </c>
      <c r="G959" s="15">
        <v>756.96</v>
      </c>
      <c r="H959" s="15">
        <v>756.96</v>
      </c>
      <c r="I959" s="13">
        <v>6</v>
      </c>
      <c r="J959" s="13">
        <v>6</v>
      </c>
      <c r="K959" s="13" t="s">
        <v>35</v>
      </c>
      <c r="L959" s="15">
        <v>126.16000000000001</v>
      </c>
      <c r="M959" s="16">
        <v>126.16000000000001</v>
      </c>
    </row>
    <row r="960" spans="1:13" s="5" customFormat="1" x14ac:dyDescent="0.25">
      <c r="A960" s="12" t="s">
        <v>1887</v>
      </c>
      <c r="B960" s="13" t="s">
        <v>1888</v>
      </c>
      <c r="C960" s="14">
        <v>45750</v>
      </c>
      <c r="D960" s="13">
        <v>2025</v>
      </c>
      <c r="E960" s="13" t="s">
        <v>10</v>
      </c>
      <c r="F960" s="13" t="s">
        <v>25</v>
      </c>
      <c r="G960" s="15">
        <v>1189.42</v>
      </c>
      <c r="H960" s="15">
        <v>1189.42</v>
      </c>
      <c r="I960" s="13">
        <v>1</v>
      </c>
      <c r="J960" s="13">
        <v>1</v>
      </c>
      <c r="K960" s="13" t="s">
        <v>3348</v>
      </c>
      <c r="L960" s="15">
        <v>1189.42</v>
      </c>
      <c r="M960" s="16">
        <v>1189.42</v>
      </c>
    </row>
    <row r="961" spans="1:13" s="5" customFormat="1" x14ac:dyDescent="0.25">
      <c r="A961" s="12" t="s">
        <v>1889</v>
      </c>
      <c r="B961" s="13" t="s">
        <v>1890</v>
      </c>
      <c r="C961" s="14">
        <v>45625</v>
      </c>
      <c r="D961" s="13">
        <v>2024</v>
      </c>
      <c r="E961" s="13" t="s">
        <v>10</v>
      </c>
      <c r="F961" s="13" t="s">
        <v>11</v>
      </c>
      <c r="G961" s="15">
        <v>292.33999999999997</v>
      </c>
      <c r="H961" s="15">
        <v>292.33999999999997</v>
      </c>
      <c r="I961" s="13">
        <v>10</v>
      </c>
      <c r="J961" s="13">
        <v>10</v>
      </c>
      <c r="K961" s="13" t="s">
        <v>18</v>
      </c>
      <c r="L961" s="15">
        <v>29.233999999999998</v>
      </c>
      <c r="M961" s="16">
        <v>29.233999999999998</v>
      </c>
    </row>
    <row r="962" spans="1:13" s="5" customFormat="1" x14ac:dyDescent="0.25">
      <c r="A962" s="12" t="s">
        <v>1891</v>
      </c>
      <c r="B962" s="13" t="s">
        <v>1892</v>
      </c>
      <c r="C962" s="14">
        <v>45021</v>
      </c>
      <c r="D962" s="13">
        <v>2023</v>
      </c>
      <c r="E962" s="13" t="s">
        <v>10</v>
      </c>
      <c r="F962" s="13" t="s">
        <v>22</v>
      </c>
      <c r="G962" s="15">
        <v>1968.2</v>
      </c>
      <c r="H962" s="15">
        <v>1968.2</v>
      </c>
      <c r="I962" s="13">
        <v>3</v>
      </c>
      <c r="J962" s="13">
        <v>3</v>
      </c>
      <c r="K962" s="13" t="s">
        <v>18</v>
      </c>
      <c r="L962" s="15">
        <v>656.06666666666672</v>
      </c>
      <c r="M962" s="16">
        <v>656.06666666666672</v>
      </c>
    </row>
    <row r="963" spans="1:13" s="5" customFormat="1" x14ac:dyDescent="0.25">
      <c r="A963" s="12" t="s">
        <v>1893</v>
      </c>
      <c r="B963" s="13" t="s">
        <v>1894</v>
      </c>
      <c r="C963" s="14">
        <v>45276</v>
      </c>
      <c r="D963" s="13">
        <v>2023</v>
      </c>
      <c r="E963" s="13" t="s">
        <v>10</v>
      </c>
      <c r="F963" s="13" t="s">
        <v>22</v>
      </c>
      <c r="G963" s="15">
        <v>1158.8399999999999</v>
      </c>
      <c r="H963" s="15">
        <v>1158.8399999999999</v>
      </c>
      <c r="I963" s="13">
        <v>4</v>
      </c>
      <c r="J963" s="13">
        <v>4</v>
      </c>
      <c r="K963" s="13" t="s">
        <v>15</v>
      </c>
      <c r="L963" s="15">
        <v>289.70999999999998</v>
      </c>
      <c r="M963" s="16">
        <v>289.70999999999998</v>
      </c>
    </row>
    <row r="964" spans="1:13" s="5" customFormat="1" x14ac:dyDescent="0.25">
      <c r="A964" s="12" t="s">
        <v>1895</v>
      </c>
      <c r="B964" s="13" t="s">
        <v>1896</v>
      </c>
      <c r="C964" s="14">
        <v>45684</v>
      </c>
      <c r="D964" s="13">
        <v>2025</v>
      </c>
      <c r="E964" s="13" t="s">
        <v>14</v>
      </c>
      <c r="F964" s="13" t="s">
        <v>22</v>
      </c>
      <c r="G964" s="15">
        <v>1019.21</v>
      </c>
      <c r="H964" s="15">
        <v>1019.21</v>
      </c>
      <c r="I964" s="13">
        <v>2</v>
      </c>
      <c r="J964" s="13">
        <v>2</v>
      </c>
      <c r="K964" s="13" t="s">
        <v>18</v>
      </c>
      <c r="L964" s="15">
        <v>509.60500000000002</v>
      </c>
      <c r="M964" s="16">
        <v>554.16966825396821</v>
      </c>
    </row>
    <row r="965" spans="1:13" s="5" customFormat="1" x14ac:dyDescent="0.25">
      <c r="A965" s="12" t="s">
        <v>1897</v>
      </c>
      <c r="B965" s="13" t="s">
        <v>1898</v>
      </c>
      <c r="C965" s="14">
        <v>45504</v>
      </c>
      <c r="D965" s="13">
        <v>2024</v>
      </c>
      <c r="E965" s="13" t="s">
        <v>21</v>
      </c>
      <c r="F965" s="13" t="s">
        <v>25</v>
      </c>
      <c r="G965" s="15">
        <v>1343.95</v>
      </c>
      <c r="H965" s="15">
        <v>1343.95</v>
      </c>
      <c r="I965" s="13">
        <v>1</v>
      </c>
      <c r="J965" s="13">
        <v>1</v>
      </c>
      <c r="K965" s="13" t="s">
        <v>3348</v>
      </c>
      <c r="L965" s="15">
        <v>1343.95</v>
      </c>
      <c r="M965" s="16">
        <v>1343.95</v>
      </c>
    </row>
    <row r="966" spans="1:13" s="5" customFormat="1" x14ac:dyDescent="0.25">
      <c r="A966" s="12" t="s">
        <v>1899</v>
      </c>
      <c r="B966" s="13" t="s">
        <v>1900</v>
      </c>
      <c r="C966" s="14">
        <v>44993</v>
      </c>
      <c r="D966" s="13">
        <v>2023</v>
      </c>
      <c r="E966" s="13" t="s">
        <v>3347</v>
      </c>
      <c r="F966" s="13" t="s">
        <v>34</v>
      </c>
      <c r="G966" s="15">
        <v>4324.5754444444447</v>
      </c>
      <c r="H966" s="15">
        <v>3548.2821388888883</v>
      </c>
      <c r="I966" s="13">
        <v>8</v>
      </c>
      <c r="J966" s="13">
        <v>8</v>
      </c>
      <c r="K966" s="13" t="s">
        <v>3348</v>
      </c>
      <c r="L966" s="15">
        <v>540.57193055555558</v>
      </c>
      <c r="M966" s="16">
        <v>540.57193055555558</v>
      </c>
    </row>
    <row r="967" spans="1:13" s="5" customFormat="1" x14ac:dyDescent="0.25">
      <c r="A967" s="12" t="s">
        <v>1901</v>
      </c>
      <c r="B967" s="13" t="s">
        <v>1902</v>
      </c>
      <c r="C967" s="14">
        <v>45323</v>
      </c>
      <c r="D967" s="13">
        <v>2024</v>
      </c>
      <c r="E967" s="13" t="s">
        <v>3347</v>
      </c>
      <c r="F967" s="13" t="s">
        <v>34</v>
      </c>
      <c r="G967" s="15">
        <v>399.41</v>
      </c>
      <c r="H967" s="15">
        <v>399.41</v>
      </c>
      <c r="I967" s="13">
        <v>5</v>
      </c>
      <c r="J967" s="13">
        <v>5</v>
      </c>
      <c r="K967" s="13" t="s">
        <v>15</v>
      </c>
      <c r="L967" s="15">
        <v>79.882000000000005</v>
      </c>
      <c r="M967" s="16">
        <v>79.882000000000005</v>
      </c>
    </row>
    <row r="968" spans="1:13" s="5" customFormat="1" x14ac:dyDescent="0.25">
      <c r="A968" s="12" t="s">
        <v>1903</v>
      </c>
      <c r="B968" s="13" t="s">
        <v>1904</v>
      </c>
      <c r="C968" s="14">
        <v>45862</v>
      </c>
      <c r="D968" s="13">
        <v>2025</v>
      </c>
      <c r="E968" s="13" t="s">
        <v>3347</v>
      </c>
      <c r="F968" s="13" t="s">
        <v>11</v>
      </c>
      <c r="G968" s="15">
        <v>607.42999999999995</v>
      </c>
      <c r="H968" s="15">
        <v>607.42999999999995</v>
      </c>
      <c r="I968" s="13">
        <v>1</v>
      </c>
      <c r="J968" s="13">
        <v>1</v>
      </c>
      <c r="K968" s="13" t="s">
        <v>15</v>
      </c>
      <c r="L968" s="15">
        <v>607.42999999999995</v>
      </c>
      <c r="M968" s="16">
        <v>642.44020833333332</v>
      </c>
    </row>
    <row r="969" spans="1:13" s="5" customFormat="1" x14ac:dyDescent="0.25">
      <c r="A969" s="12" t="s">
        <v>1905</v>
      </c>
      <c r="B969" s="13" t="s">
        <v>1906</v>
      </c>
      <c r="C969" s="14">
        <v>45391</v>
      </c>
      <c r="D969" s="13">
        <v>2024</v>
      </c>
      <c r="E969" s="13" t="s">
        <v>3347</v>
      </c>
      <c r="F969" s="13" t="s">
        <v>34</v>
      </c>
      <c r="G969" s="15">
        <v>631.64</v>
      </c>
      <c r="H969" s="15">
        <v>631.64</v>
      </c>
      <c r="I969" s="13">
        <v>1</v>
      </c>
      <c r="J969" s="13">
        <v>1</v>
      </c>
      <c r="K969" s="13" t="s">
        <v>3346</v>
      </c>
      <c r="L969" s="15">
        <v>631.64</v>
      </c>
      <c r="M969" s="16">
        <v>631.64</v>
      </c>
    </row>
    <row r="970" spans="1:13" s="5" customFormat="1" x14ac:dyDescent="0.25">
      <c r="A970" s="12" t="s">
        <v>1907</v>
      </c>
      <c r="B970" s="13" t="s">
        <v>1908</v>
      </c>
      <c r="C970" s="14">
        <v>44869</v>
      </c>
      <c r="D970" s="13">
        <v>2022</v>
      </c>
      <c r="E970" s="13" t="s">
        <v>21</v>
      </c>
      <c r="F970" s="13" t="s">
        <v>22</v>
      </c>
      <c r="G970" s="15">
        <v>1545.58</v>
      </c>
      <c r="H970" s="15">
        <v>1545.58</v>
      </c>
      <c r="I970" s="13">
        <v>8</v>
      </c>
      <c r="J970" s="13">
        <v>8</v>
      </c>
      <c r="K970" s="13" t="s">
        <v>15</v>
      </c>
      <c r="L970" s="15">
        <v>193.19749999999999</v>
      </c>
      <c r="M970" s="16">
        <v>192.74857142857144</v>
      </c>
    </row>
    <row r="971" spans="1:13" s="5" customFormat="1" x14ac:dyDescent="0.25">
      <c r="A971" s="12" t="s">
        <v>1909</v>
      </c>
      <c r="B971" s="13" t="s">
        <v>1910</v>
      </c>
      <c r="C971" s="14">
        <v>45933</v>
      </c>
      <c r="D971" s="13">
        <v>2025</v>
      </c>
      <c r="E971" s="13" t="s">
        <v>21</v>
      </c>
      <c r="F971" s="13" t="s">
        <v>22</v>
      </c>
      <c r="G971" s="15">
        <v>400.61</v>
      </c>
      <c r="H971" s="15">
        <v>400.61</v>
      </c>
      <c r="I971" s="13">
        <v>10</v>
      </c>
      <c r="J971" s="13">
        <v>10</v>
      </c>
      <c r="K971" s="13" t="s">
        <v>3346</v>
      </c>
      <c r="L971" s="15">
        <v>40.061</v>
      </c>
      <c r="M971" s="16">
        <v>40.061</v>
      </c>
    </row>
    <row r="972" spans="1:13" s="5" customFormat="1" x14ac:dyDescent="0.25">
      <c r="A972" s="12" t="s">
        <v>1911</v>
      </c>
      <c r="B972" s="13" t="s">
        <v>1912</v>
      </c>
      <c r="C972" s="14">
        <v>45316</v>
      </c>
      <c r="D972" s="13">
        <v>2024</v>
      </c>
      <c r="E972" s="13" t="s">
        <v>21</v>
      </c>
      <c r="F972" s="13" t="s">
        <v>22</v>
      </c>
      <c r="G972" s="15">
        <v>1147.8</v>
      </c>
      <c r="H972" s="15">
        <v>1147.8</v>
      </c>
      <c r="I972" s="13">
        <v>1</v>
      </c>
      <c r="J972" s="13">
        <v>1</v>
      </c>
      <c r="K972" s="13" t="s">
        <v>15</v>
      </c>
      <c r="L972" s="15">
        <v>1147.8</v>
      </c>
      <c r="M972" s="16">
        <v>1147.8</v>
      </c>
    </row>
    <row r="973" spans="1:13" s="5" customFormat="1" x14ac:dyDescent="0.25">
      <c r="A973" s="12" t="s">
        <v>1913</v>
      </c>
      <c r="B973" s="13" t="s">
        <v>1914</v>
      </c>
      <c r="C973" s="14">
        <v>45659</v>
      </c>
      <c r="D973" s="13">
        <v>2025</v>
      </c>
      <c r="E973" s="13" t="s">
        <v>10</v>
      </c>
      <c r="F973" s="13" t="s">
        <v>22</v>
      </c>
      <c r="G973" s="15">
        <v>103.38</v>
      </c>
      <c r="H973" s="15">
        <v>103.38</v>
      </c>
      <c r="I973" s="13">
        <v>5</v>
      </c>
      <c r="J973" s="13">
        <v>5</v>
      </c>
      <c r="K973" s="13" t="s">
        <v>18</v>
      </c>
      <c r="L973" s="15">
        <v>20.675999999999998</v>
      </c>
      <c r="M973" s="16">
        <v>20.675999999999998</v>
      </c>
    </row>
    <row r="974" spans="1:13" s="5" customFormat="1" x14ac:dyDescent="0.25">
      <c r="A974" s="12" t="s">
        <v>1915</v>
      </c>
      <c r="B974" s="13" t="s">
        <v>1916</v>
      </c>
      <c r="C974" s="14">
        <v>44899</v>
      </c>
      <c r="D974" s="13">
        <v>2022</v>
      </c>
      <c r="E974" s="13" t="s">
        <v>10</v>
      </c>
      <c r="F974" s="13" t="s">
        <v>34</v>
      </c>
      <c r="G974" s="15">
        <v>1448.11</v>
      </c>
      <c r="H974" s="15">
        <v>1448.11</v>
      </c>
      <c r="I974" s="13">
        <v>3</v>
      </c>
      <c r="J974" s="13">
        <v>3</v>
      </c>
      <c r="K974" s="13" t="s">
        <v>35</v>
      </c>
      <c r="L974" s="15">
        <v>482.70333333333332</v>
      </c>
      <c r="M974" s="16">
        <v>570.19666666666672</v>
      </c>
    </row>
    <row r="975" spans="1:13" s="5" customFormat="1" x14ac:dyDescent="0.25">
      <c r="A975" s="12" t="s">
        <v>1917</v>
      </c>
      <c r="B975" s="13" t="s">
        <v>1918</v>
      </c>
      <c r="C975" s="14">
        <v>45587</v>
      </c>
      <c r="D975" s="13">
        <v>2024</v>
      </c>
      <c r="E975" s="13" t="s">
        <v>21</v>
      </c>
      <c r="F975" s="13" t="s">
        <v>25</v>
      </c>
      <c r="G975" s="15">
        <v>1599.89</v>
      </c>
      <c r="H975" s="15">
        <v>1599.89</v>
      </c>
      <c r="I975" s="13">
        <v>6</v>
      </c>
      <c r="J975" s="13">
        <v>6</v>
      </c>
      <c r="K975" s="13" t="s">
        <v>15</v>
      </c>
      <c r="L975" s="15">
        <v>266.64833333333337</v>
      </c>
      <c r="M975" s="16">
        <v>266.64833333333337</v>
      </c>
    </row>
    <row r="976" spans="1:13" s="5" customFormat="1" x14ac:dyDescent="0.25">
      <c r="A976" s="12" t="s">
        <v>1919</v>
      </c>
      <c r="B976" s="13" t="s">
        <v>755</v>
      </c>
      <c r="C976" s="14">
        <v>45011</v>
      </c>
      <c r="D976" s="13">
        <v>2023</v>
      </c>
      <c r="E976" s="13" t="s">
        <v>21</v>
      </c>
      <c r="F976" s="13" t="s">
        <v>25</v>
      </c>
      <c r="G976" s="15">
        <v>383.7</v>
      </c>
      <c r="H976" s="15">
        <v>383.7</v>
      </c>
      <c r="I976" s="13">
        <v>7</v>
      </c>
      <c r="J976" s="13">
        <v>7</v>
      </c>
      <c r="K976" s="13" t="s">
        <v>3348</v>
      </c>
      <c r="L976" s="15">
        <v>54.81428571428571</v>
      </c>
      <c r="M976" s="16">
        <v>54.81428571428571</v>
      </c>
    </row>
    <row r="977" spans="1:13" s="5" customFormat="1" x14ac:dyDescent="0.25">
      <c r="A977" s="12" t="s">
        <v>1920</v>
      </c>
      <c r="B977" s="13" t="s">
        <v>1921</v>
      </c>
      <c r="C977" s="14">
        <v>44858</v>
      </c>
      <c r="D977" s="13">
        <v>2022</v>
      </c>
      <c r="E977" s="13" t="s">
        <v>3347</v>
      </c>
      <c r="F977" s="13" t="s">
        <v>22</v>
      </c>
      <c r="G977" s="15">
        <v>976.08</v>
      </c>
      <c r="H977" s="15">
        <v>976.08</v>
      </c>
      <c r="I977" s="13">
        <v>3</v>
      </c>
      <c r="J977" s="13">
        <v>3</v>
      </c>
      <c r="K977" s="13" t="s">
        <v>3346</v>
      </c>
      <c r="L977" s="15">
        <v>325.36</v>
      </c>
      <c r="M977" s="16">
        <v>325.36</v>
      </c>
    </row>
    <row r="978" spans="1:13" s="5" customFormat="1" x14ac:dyDescent="0.25">
      <c r="A978" s="12" t="s">
        <v>1922</v>
      </c>
      <c r="B978" s="13" t="s">
        <v>1923</v>
      </c>
      <c r="C978" s="14">
        <v>45186</v>
      </c>
      <c r="D978" s="13">
        <v>2023</v>
      </c>
      <c r="E978" s="13" t="s">
        <v>10</v>
      </c>
      <c r="F978" s="13" t="s">
        <v>22</v>
      </c>
      <c r="G978" s="15">
        <v>965.92</v>
      </c>
      <c r="H978" s="15">
        <v>965.92</v>
      </c>
      <c r="I978" s="13">
        <v>2</v>
      </c>
      <c r="J978" s="13">
        <v>2</v>
      </c>
      <c r="K978" s="13" t="s">
        <v>15</v>
      </c>
      <c r="L978" s="15">
        <v>482.96</v>
      </c>
      <c r="M978" s="16">
        <v>482.96</v>
      </c>
    </row>
    <row r="979" spans="1:13" s="5" customFormat="1" x14ac:dyDescent="0.25">
      <c r="A979" s="12" t="s">
        <v>1924</v>
      </c>
      <c r="B979" s="13" t="s">
        <v>1925</v>
      </c>
      <c r="C979" s="14">
        <v>44987</v>
      </c>
      <c r="D979" s="13">
        <v>2023</v>
      </c>
      <c r="E979" s="13" t="s">
        <v>21</v>
      </c>
      <c r="F979" s="13" t="s">
        <v>11</v>
      </c>
      <c r="G979" s="15">
        <v>618.61</v>
      </c>
      <c r="H979" s="15">
        <v>618.61</v>
      </c>
      <c r="I979" s="13">
        <v>7</v>
      </c>
      <c r="J979" s="13">
        <v>7</v>
      </c>
      <c r="K979" s="13" t="s">
        <v>35</v>
      </c>
      <c r="L979" s="15">
        <v>88.372857142857143</v>
      </c>
      <c r="M979" s="16">
        <v>88.372857142857143</v>
      </c>
    </row>
    <row r="980" spans="1:13" s="5" customFormat="1" x14ac:dyDescent="0.25">
      <c r="A980" s="12" t="s">
        <v>1926</v>
      </c>
      <c r="B980" s="13" t="s">
        <v>1927</v>
      </c>
      <c r="C980" s="14">
        <v>45523</v>
      </c>
      <c r="D980" s="13">
        <v>2024</v>
      </c>
      <c r="E980" s="13" t="s">
        <v>14</v>
      </c>
      <c r="F980" s="13" t="s">
        <v>34</v>
      </c>
      <c r="G980" s="15">
        <v>1618.04</v>
      </c>
      <c r="H980" s="15">
        <v>1618.04</v>
      </c>
      <c r="I980" s="13">
        <v>6</v>
      </c>
      <c r="J980" s="13">
        <v>6</v>
      </c>
      <c r="K980" s="13" t="s">
        <v>15</v>
      </c>
      <c r="L980" s="15">
        <v>269.67333333333335</v>
      </c>
      <c r="M980" s="16">
        <v>252.27955555555556</v>
      </c>
    </row>
    <row r="981" spans="1:13" s="5" customFormat="1" x14ac:dyDescent="0.25">
      <c r="A981" s="12" t="s">
        <v>1928</v>
      </c>
      <c r="B981" s="13" t="s">
        <v>1929</v>
      </c>
      <c r="C981" s="14">
        <v>45514</v>
      </c>
      <c r="D981" s="13">
        <v>2024</v>
      </c>
      <c r="E981" s="13" t="s">
        <v>3347</v>
      </c>
      <c r="F981" s="13" t="s">
        <v>22</v>
      </c>
      <c r="G981" s="15">
        <v>886.56784848484858</v>
      </c>
      <c r="H981" s="15">
        <v>886.56784848484858</v>
      </c>
      <c r="I981" s="13">
        <v>3</v>
      </c>
      <c r="J981" s="13">
        <v>3</v>
      </c>
      <c r="K981" s="13" t="s">
        <v>3348</v>
      </c>
      <c r="L981" s="15">
        <v>295.52261616161621</v>
      </c>
      <c r="M981" s="16">
        <v>295.52261616161621</v>
      </c>
    </row>
    <row r="982" spans="1:13" s="5" customFormat="1" x14ac:dyDescent="0.25">
      <c r="A982" s="12" t="s">
        <v>1930</v>
      </c>
      <c r="B982" s="13" t="s">
        <v>1931</v>
      </c>
      <c r="C982" s="14">
        <v>45391</v>
      </c>
      <c r="D982" s="13">
        <v>2024</v>
      </c>
      <c r="E982" s="13" t="s">
        <v>21</v>
      </c>
      <c r="F982" s="13" t="s">
        <v>25</v>
      </c>
      <c r="G982" s="15">
        <v>1537.82</v>
      </c>
      <c r="H982" s="15">
        <v>1537.82</v>
      </c>
      <c r="I982" s="13">
        <v>4</v>
      </c>
      <c r="J982" s="13">
        <v>4</v>
      </c>
      <c r="K982" s="13" t="s">
        <v>15</v>
      </c>
      <c r="L982" s="15">
        <v>384.45499999999998</v>
      </c>
      <c r="M982" s="16">
        <v>384.45499999999998</v>
      </c>
    </row>
    <row r="983" spans="1:13" s="5" customFormat="1" x14ac:dyDescent="0.25">
      <c r="A983" s="12" t="s">
        <v>1932</v>
      </c>
      <c r="B983" s="13" t="s">
        <v>1933</v>
      </c>
      <c r="C983" s="14">
        <v>45466</v>
      </c>
      <c r="D983" s="13">
        <v>2024</v>
      </c>
      <c r="E983" s="13" t="s">
        <v>21</v>
      </c>
      <c r="F983" s="13" t="s">
        <v>34</v>
      </c>
      <c r="G983" s="15">
        <v>1392.54</v>
      </c>
      <c r="H983" s="15">
        <v>1392.54</v>
      </c>
      <c r="I983" s="13">
        <v>1</v>
      </c>
      <c r="J983" s="13">
        <v>1</v>
      </c>
      <c r="K983" s="13" t="s">
        <v>3346</v>
      </c>
      <c r="L983" s="15">
        <v>1392.54</v>
      </c>
      <c r="M983" s="16">
        <v>1392.54</v>
      </c>
    </row>
    <row r="984" spans="1:13" s="5" customFormat="1" x14ac:dyDescent="0.25">
      <c r="A984" s="12" t="s">
        <v>1934</v>
      </c>
      <c r="B984" s="13" t="s">
        <v>1935</v>
      </c>
      <c r="C984" s="14">
        <v>45907</v>
      </c>
      <c r="D984" s="13">
        <v>2025</v>
      </c>
      <c r="E984" s="13" t="s">
        <v>21</v>
      </c>
      <c r="F984" s="13" t="s">
        <v>22</v>
      </c>
      <c r="G984" s="15">
        <v>1501.28</v>
      </c>
      <c r="H984" s="15">
        <v>1501.28</v>
      </c>
      <c r="I984" s="13">
        <v>7</v>
      </c>
      <c r="J984" s="13">
        <v>7</v>
      </c>
      <c r="K984" s="13" t="s">
        <v>3348</v>
      </c>
      <c r="L984" s="15">
        <v>214.46857142857144</v>
      </c>
      <c r="M984" s="16">
        <v>214.46857142857144</v>
      </c>
    </row>
    <row r="985" spans="1:13" s="5" customFormat="1" x14ac:dyDescent="0.25">
      <c r="A985" s="12" t="s">
        <v>1936</v>
      </c>
      <c r="B985" s="13" t="s">
        <v>1025</v>
      </c>
      <c r="C985" s="14">
        <v>45471</v>
      </c>
      <c r="D985" s="13">
        <v>2024</v>
      </c>
      <c r="E985" s="13" t="s">
        <v>14</v>
      </c>
      <c r="F985" s="13" t="s">
        <v>34</v>
      </c>
      <c r="G985" s="15">
        <v>1440.77</v>
      </c>
      <c r="H985" s="15">
        <v>1440.77</v>
      </c>
      <c r="I985" s="13">
        <v>5</v>
      </c>
      <c r="J985" s="13">
        <v>5</v>
      </c>
      <c r="K985" s="13" t="s">
        <v>18</v>
      </c>
      <c r="L985" s="15">
        <v>288.154</v>
      </c>
      <c r="M985" s="16">
        <v>288.154</v>
      </c>
    </row>
    <row r="986" spans="1:13" s="5" customFormat="1" x14ac:dyDescent="0.25">
      <c r="A986" s="12" t="s">
        <v>1937</v>
      </c>
      <c r="B986" s="13" t="s">
        <v>1938</v>
      </c>
      <c r="C986" s="14">
        <v>45044</v>
      </c>
      <c r="D986" s="13">
        <v>2023</v>
      </c>
      <c r="E986" s="13" t="s">
        <v>10</v>
      </c>
      <c r="F986" s="13" t="s">
        <v>25</v>
      </c>
      <c r="G986" s="15">
        <v>669.77</v>
      </c>
      <c r="H986" s="15">
        <v>669.77</v>
      </c>
      <c r="I986" s="13">
        <v>5</v>
      </c>
      <c r="J986" s="13">
        <v>5</v>
      </c>
      <c r="K986" s="13" t="s">
        <v>15</v>
      </c>
      <c r="L986" s="15">
        <v>133.95400000000001</v>
      </c>
      <c r="M986" s="16">
        <v>133.95400000000001</v>
      </c>
    </row>
    <row r="987" spans="1:13" s="5" customFormat="1" x14ac:dyDescent="0.25">
      <c r="A987" s="12" t="s">
        <v>1939</v>
      </c>
      <c r="B987" s="13" t="s">
        <v>1575</v>
      </c>
      <c r="C987" s="14">
        <v>45952</v>
      </c>
      <c r="D987" s="13">
        <v>2025</v>
      </c>
      <c r="E987" s="13" t="s">
        <v>14</v>
      </c>
      <c r="F987" s="13" t="s">
        <v>11</v>
      </c>
      <c r="G987" s="15">
        <v>4251.7564000000002</v>
      </c>
      <c r="H987" s="15">
        <v>3548.2821388888883</v>
      </c>
      <c r="I987" s="13">
        <v>7</v>
      </c>
      <c r="J987" s="13">
        <v>7</v>
      </c>
      <c r="K987" s="13" t="s">
        <v>3346</v>
      </c>
      <c r="L987" s="15">
        <v>607.39377142857143</v>
      </c>
      <c r="M987" s="16">
        <v>607.39377142857143</v>
      </c>
    </row>
    <row r="988" spans="1:13" s="5" customFormat="1" x14ac:dyDescent="0.25">
      <c r="A988" s="12" t="s">
        <v>1940</v>
      </c>
      <c r="B988" s="13" t="s">
        <v>1941</v>
      </c>
      <c r="C988" s="14">
        <v>45735</v>
      </c>
      <c r="D988" s="13">
        <v>2025</v>
      </c>
      <c r="E988" s="13" t="s">
        <v>21</v>
      </c>
      <c r="F988" s="13" t="s">
        <v>11</v>
      </c>
      <c r="G988" s="15">
        <v>260.87</v>
      </c>
      <c r="H988" s="15">
        <v>260.87</v>
      </c>
      <c r="I988" s="13">
        <v>2</v>
      </c>
      <c r="J988" s="13">
        <v>2</v>
      </c>
      <c r="K988" s="13" t="s">
        <v>3346</v>
      </c>
      <c r="L988" s="15">
        <v>130.435</v>
      </c>
      <c r="M988" s="16">
        <v>113.79089285714285</v>
      </c>
    </row>
    <row r="989" spans="1:13" s="5" customFormat="1" x14ac:dyDescent="0.25">
      <c r="A989" s="12" t="s">
        <v>1942</v>
      </c>
      <c r="B989" s="13" t="s">
        <v>1943</v>
      </c>
      <c r="C989" s="14">
        <v>45807</v>
      </c>
      <c r="D989" s="13">
        <v>2025</v>
      </c>
      <c r="E989" s="13" t="s">
        <v>10</v>
      </c>
      <c r="F989" s="13" t="s">
        <v>22</v>
      </c>
      <c r="G989" s="15">
        <v>1776.21</v>
      </c>
      <c r="H989" s="15">
        <v>1776.21</v>
      </c>
      <c r="I989" s="13">
        <v>7</v>
      </c>
      <c r="J989" s="13">
        <v>7</v>
      </c>
      <c r="K989" s="13" t="s">
        <v>18</v>
      </c>
      <c r="L989" s="15">
        <v>253.74428571428572</v>
      </c>
      <c r="M989" s="16">
        <v>253.74428571428572</v>
      </c>
    </row>
    <row r="990" spans="1:13" s="5" customFormat="1" x14ac:dyDescent="0.25">
      <c r="A990" s="12" t="s">
        <v>1944</v>
      </c>
      <c r="B990" s="13" t="s">
        <v>1945</v>
      </c>
      <c r="C990" s="14">
        <v>45285</v>
      </c>
      <c r="D990" s="13">
        <v>2023</v>
      </c>
      <c r="E990" s="13" t="s">
        <v>10</v>
      </c>
      <c r="F990" s="13" t="s">
        <v>25</v>
      </c>
      <c r="G990" s="15">
        <v>463.96</v>
      </c>
      <c r="H990" s="15">
        <v>463.96</v>
      </c>
      <c r="I990" s="13">
        <v>4</v>
      </c>
      <c r="J990" s="13">
        <v>4</v>
      </c>
      <c r="K990" s="13" t="s">
        <v>18</v>
      </c>
      <c r="L990" s="15">
        <v>115.99</v>
      </c>
      <c r="M990" s="16">
        <v>115.99</v>
      </c>
    </row>
    <row r="991" spans="1:13" s="5" customFormat="1" x14ac:dyDescent="0.25">
      <c r="A991" s="12" t="s">
        <v>1946</v>
      </c>
      <c r="B991" s="13" t="s">
        <v>1947</v>
      </c>
      <c r="C991" s="14">
        <v>45158</v>
      </c>
      <c r="D991" s="13">
        <v>2023</v>
      </c>
      <c r="E991" s="13" t="s">
        <v>21</v>
      </c>
      <c r="F991" s="13" t="s">
        <v>34</v>
      </c>
      <c r="G991" s="15">
        <v>936.55</v>
      </c>
      <c r="H991" s="15">
        <v>936.55</v>
      </c>
      <c r="I991" s="13">
        <v>7</v>
      </c>
      <c r="J991" s="13">
        <v>7</v>
      </c>
      <c r="K991" s="13" t="s">
        <v>35</v>
      </c>
      <c r="L991" s="15">
        <v>133.79285714285714</v>
      </c>
      <c r="M991" s="16">
        <v>133.79285714285714</v>
      </c>
    </row>
    <row r="992" spans="1:13" s="5" customFormat="1" x14ac:dyDescent="0.25">
      <c r="A992" s="12" t="s">
        <v>1948</v>
      </c>
      <c r="B992" s="13" t="s">
        <v>1931</v>
      </c>
      <c r="C992" s="14">
        <v>45054</v>
      </c>
      <c r="D992" s="13">
        <v>2023</v>
      </c>
      <c r="E992" s="13" t="s">
        <v>21</v>
      </c>
      <c r="F992" s="13" t="s">
        <v>11</v>
      </c>
      <c r="G992" s="15">
        <v>1158.28</v>
      </c>
      <c r="H992" s="15">
        <v>1158.28</v>
      </c>
      <c r="I992" s="13">
        <v>3</v>
      </c>
      <c r="J992" s="13">
        <v>3</v>
      </c>
      <c r="K992" s="13" t="s">
        <v>3348</v>
      </c>
      <c r="L992" s="15">
        <v>386.09333333333331</v>
      </c>
      <c r="M992" s="16">
        <v>386.09333333333331</v>
      </c>
    </row>
    <row r="993" spans="1:13" s="5" customFormat="1" x14ac:dyDescent="0.25">
      <c r="A993" s="12" t="s">
        <v>1949</v>
      </c>
      <c r="B993" s="13" t="s">
        <v>1950</v>
      </c>
      <c r="C993" s="14">
        <v>44917</v>
      </c>
      <c r="D993" s="13">
        <v>2022</v>
      </c>
      <c r="E993" s="13" t="s">
        <v>10</v>
      </c>
      <c r="F993" s="13" t="s">
        <v>11</v>
      </c>
      <c r="G993" s="15">
        <v>1038.68</v>
      </c>
      <c r="H993" s="15">
        <v>1038.68</v>
      </c>
      <c r="I993" s="13">
        <v>3</v>
      </c>
      <c r="J993" s="13">
        <v>3</v>
      </c>
      <c r="K993" s="13" t="s">
        <v>3348</v>
      </c>
      <c r="L993" s="15">
        <v>346.22666666666669</v>
      </c>
      <c r="M993" s="16">
        <v>346.22666666666669</v>
      </c>
    </row>
    <row r="994" spans="1:13" s="5" customFormat="1" x14ac:dyDescent="0.25">
      <c r="A994" s="12" t="s">
        <v>1951</v>
      </c>
      <c r="B994" s="13" t="s">
        <v>1952</v>
      </c>
      <c r="C994" s="14">
        <v>45243</v>
      </c>
      <c r="D994" s="13">
        <v>2023</v>
      </c>
      <c r="E994" s="13" t="s">
        <v>21</v>
      </c>
      <c r="F994" s="13" t="s">
        <v>34</v>
      </c>
      <c r="G994" s="15">
        <v>1068.3</v>
      </c>
      <c r="H994" s="15">
        <v>1068.3</v>
      </c>
      <c r="I994" s="13">
        <v>5</v>
      </c>
      <c r="J994" s="13">
        <v>5</v>
      </c>
      <c r="K994" s="13" t="s">
        <v>15</v>
      </c>
      <c r="L994" s="15">
        <v>213.66</v>
      </c>
      <c r="M994" s="16">
        <v>213.66</v>
      </c>
    </row>
    <row r="995" spans="1:13" s="5" customFormat="1" x14ac:dyDescent="0.25">
      <c r="A995" s="12" t="s">
        <v>1953</v>
      </c>
      <c r="B995" s="13" t="s">
        <v>51</v>
      </c>
      <c r="C995" s="14">
        <v>44941</v>
      </c>
      <c r="D995" s="13">
        <v>2023</v>
      </c>
      <c r="E995" s="13" t="s">
        <v>3347</v>
      </c>
      <c r="F995" s="13" t="s">
        <v>25</v>
      </c>
      <c r="G995" s="15">
        <v>1628.57</v>
      </c>
      <c r="H995" s="15">
        <v>1628.57</v>
      </c>
      <c r="I995" s="13">
        <v>5</v>
      </c>
      <c r="J995" s="13">
        <v>5</v>
      </c>
      <c r="K995" s="13" t="s">
        <v>18</v>
      </c>
      <c r="L995" s="15">
        <v>325.714</v>
      </c>
      <c r="M995" s="16">
        <v>325.714</v>
      </c>
    </row>
    <row r="996" spans="1:13" s="5" customFormat="1" x14ac:dyDescent="0.25">
      <c r="A996" s="12" t="s">
        <v>1954</v>
      </c>
      <c r="B996" s="13" t="s">
        <v>1955</v>
      </c>
      <c r="C996" s="14">
        <v>45607</v>
      </c>
      <c r="D996" s="13">
        <v>2024</v>
      </c>
      <c r="E996" s="13" t="s">
        <v>14</v>
      </c>
      <c r="F996" s="13" t="s">
        <v>22</v>
      </c>
      <c r="G996" s="15">
        <v>1541.45</v>
      </c>
      <c r="H996" s="15">
        <v>1541.45</v>
      </c>
      <c r="I996" s="13">
        <v>5</v>
      </c>
      <c r="J996" s="13">
        <v>5</v>
      </c>
      <c r="K996" s="13" t="s">
        <v>3346</v>
      </c>
      <c r="L996" s="15">
        <v>308.29000000000002</v>
      </c>
      <c r="M996" s="16">
        <v>308.29000000000002</v>
      </c>
    </row>
    <row r="997" spans="1:13" s="5" customFormat="1" x14ac:dyDescent="0.25">
      <c r="A997" s="12" t="s">
        <v>1956</v>
      </c>
      <c r="B997" s="13" t="s">
        <v>1957</v>
      </c>
      <c r="C997" s="14">
        <v>45128</v>
      </c>
      <c r="D997" s="13">
        <v>2023</v>
      </c>
      <c r="E997" s="13" t="s">
        <v>10</v>
      </c>
      <c r="F997" s="13" t="s">
        <v>11</v>
      </c>
      <c r="G997" s="15">
        <v>558.92999999999995</v>
      </c>
      <c r="H997" s="15">
        <v>558.92999999999995</v>
      </c>
      <c r="I997" s="13">
        <v>1</v>
      </c>
      <c r="J997" s="13">
        <v>1</v>
      </c>
      <c r="K997" s="13" t="s">
        <v>3348</v>
      </c>
      <c r="L997" s="15">
        <v>558.92999999999995</v>
      </c>
      <c r="M997" s="16">
        <v>383.74898148148145</v>
      </c>
    </row>
    <row r="998" spans="1:13" s="5" customFormat="1" x14ac:dyDescent="0.25">
      <c r="A998" s="12" t="s">
        <v>1958</v>
      </c>
      <c r="B998" s="13" t="s">
        <v>1959</v>
      </c>
      <c r="C998" s="14">
        <v>45311</v>
      </c>
      <c r="D998" s="13">
        <v>2024</v>
      </c>
      <c r="E998" s="13" t="s">
        <v>21</v>
      </c>
      <c r="F998" s="13" t="s">
        <v>25</v>
      </c>
      <c r="G998" s="15">
        <v>1662.09</v>
      </c>
      <c r="H998" s="15">
        <v>1662.09</v>
      </c>
      <c r="I998" s="13">
        <v>7</v>
      </c>
      <c r="J998" s="13">
        <v>7</v>
      </c>
      <c r="K998" s="13" t="s">
        <v>35</v>
      </c>
      <c r="L998" s="15">
        <v>237.44142857142856</v>
      </c>
      <c r="M998" s="16">
        <v>237.44142857142856</v>
      </c>
    </row>
    <row r="999" spans="1:13" s="5" customFormat="1" x14ac:dyDescent="0.25">
      <c r="A999" s="12" t="s">
        <v>1960</v>
      </c>
      <c r="B999" s="13" t="s">
        <v>111</v>
      </c>
      <c r="C999" s="14">
        <v>45061</v>
      </c>
      <c r="D999" s="13">
        <v>2023</v>
      </c>
      <c r="E999" s="13" t="s">
        <v>3347</v>
      </c>
      <c r="F999" s="13" t="s">
        <v>34</v>
      </c>
      <c r="G999" s="15">
        <v>2110.0151111111113</v>
      </c>
      <c r="H999" s="15">
        <v>2110.0151111111113</v>
      </c>
      <c r="I999" s="13">
        <v>6</v>
      </c>
      <c r="J999" s="13">
        <v>6</v>
      </c>
      <c r="K999" s="13" t="s">
        <v>3346</v>
      </c>
      <c r="L999" s="15">
        <v>351.6691851851852</v>
      </c>
      <c r="M999" s="16">
        <v>351.6691851851852</v>
      </c>
    </row>
    <row r="1000" spans="1:13" s="5" customFormat="1" x14ac:dyDescent="0.25">
      <c r="A1000" s="12" t="s">
        <v>1961</v>
      </c>
      <c r="B1000" s="13" t="s">
        <v>1962</v>
      </c>
      <c r="C1000" s="14">
        <v>44973</v>
      </c>
      <c r="D1000" s="13">
        <v>2023</v>
      </c>
      <c r="E1000" s="13" t="s">
        <v>3347</v>
      </c>
      <c r="F1000" s="13" t="s">
        <v>34</v>
      </c>
      <c r="G1000" s="15">
        <v>524.61</v>
      </c>
      <c r="H1000" s="15">
        <v>524.61</v>
      </c>
      <c r="I1000" s="13">
        <v>8</v>
      </c>
      <c r="J1000" s="13">
        <v>8</v>
      </c>
      <c r="K1000" s="13" t="s">
        <v>18</v>
      </c>
      <c r="L1000" s="15">
        <v>65.576250000000002</v>
      </c>
      <c r="M1000" s="16">
        <v>65.576250000000002</v>
      </c>
    </row>
    <row r="1001" spans="1:13" s="5" customFormat="1" x14ac:dyDescent="0.25">
      <c r="A1001" s="12" t="s">
        <v>1963</v>
      </c>
      <c r="B1001" s="13" t="s">
        <v>1964</v>
      </c>
      <c r="C1001" s="14">
        <v>45908</v>
      </c>
      <c r="D1001" s="13">
        <v>2025</v>
      </c>
      <c r="E1001" s="13" t="s">
        <v>21</v>
      </c>
      <c r="F1001" s="13" t="s">
        <v>11</v>
      </c>
      <c r="G1001" s="15">
        <v>1181.8900000000001</v>
      </c>
      <c r="H1001" s="15">
        <v>1181.8900000000001</v>
      </c>
      <c r="I1001" s="13">
        <v>6</v>
      </c>
      <c r="J1001" s="13">
        <v>6</v>
      </c>
      <c r="K1001" s="13" t="s">
        <v>15</v>
      </c>
      <c r="L1001" s="15">
        <v>196.98166666666668</v>
      </c>
      <c r="M1001" s="16">
        <v>196.98166666666668</v>
      </c>
    </row>
    <row r="1002" spans="1:13" s="5" customFormat="1" x14ac:dyDescent="0.25">
      <c r="A1002" s="12" t="s">
        <v>1965</v>
      </c>
      <c r="B1002" s="13" t="s">
        <v>1966</v>
      </c>
      <c r="C1002" s="14">
        <v>45849</v>
      </c>
      <c r="D1002" s="13">
        <v>2025</v>
      </c>
      <c r="E1002" s="13" t="s">
        <v>10</v>
      </c>
      <c r="F1002" s="13" t="s">
        <v>11</v>
      </c>
      <c r="G1002" s="15">
        <v>574.03</v>
      </c>
      <c r="H1002" s="15">
        <v>574.03</v>
      </c>
      <c r="I1002" s="13">
        <v>9</v>
      </c>
      <c r="J1002" s="13">
        <v>9</v>
      </c>
      <c r="K1002" s="13" t="s">
        <v>18</v>
      </c>
      <c r="L1002" s="15">
        <v>63.781111111111109</v>
      </c>
      <c r="M1002" s="16">
        <v>63.781111111111109</v>
      </c>
    </row>
    <row r="1003" spans="1:13" s="5" customFormat="1" x14ac:dyDescent="0.25">
      <c r="A1003" s="12" t="s">
        <v>1967</v>
      </c>
      <c r="B1003" s="13" t="s">
        <v>1968</v>
      </c>
      <c r="C1003" s="14">
        <v>44936</v>
      </c>
      <c r="D1003" s="13">
        <v>2023</v>
      </c>
      <c r="E1003" s="13" t="s">
        <v>10</v>
      </c>
      <c r="F1003" s="13" t="s">
        <v>34</v>
      </c>
      <c r="G1003" s="15">
        <v>280.77999999999997</v>
      </c>
      <c r="H1003" s="15">
        <v>280.77999999999997</v>
      </c>
      <c r="I1003" s="13">
        <v>7</v>
      </c>
      <c r="J1003" s="13">
        <v>7</v>
      </c>
      <c r="K1003" s="13" t="s">
        <v>35</v>
      </c>
      <c r="L1003" s="15">
        <v>40.111428571428569</v>
      </c>
      <c r="M1003" s="16">
        <v>40.111428571428569</v>
      </c>
    </row>
    <row r="1004" spans="1:13" s="5" customFormat="1" x14ac:dyDescent="0.25">
      <c r="A1004" s="12" t="s">
        <v>1969</v>
      </c>
      <c r="B1004" s="13" t="s">
        <v>1970</v>
      </c>
      <c r="C1004" s="14">
        <v>45614</v>
      </c>
      <c r="D1004" s="13">
        <v>2024</v>
      </c>
      <c r="E1004" s="13" t="s">
        <v>21</v>
      </c>
      <c r="F1004" s="13" t="s">
        <v>25</v>
      </c>
      <c r="G1004" s="15">
        <v>1047.4678095238096</v>
      </c>
      <c r="H1004" s="15">
        <v>1047.4678095238096</v>
      </c>
      <c r="I1004" s="13">
        <v>8</v>
      </c>
      <c r="J1004" s="13">
        <v>8</v>
      </c>
      <c r="K1004" s="13" t="s">
        <v>35</v>
      </c>
      <c r="L1004" s="15">
        <v>130.9334761904762</v>
      </c>
      <c r="M1004" s="16">
        <v>130.9334761904762</v>
      </c>
    </row>
    <row r="1005" spans="1:13" s="5" customFormat="1" x14ac:dyDescent="0.25">
      <c r="A1005" s="12" t="s">
        <v>1971</v>
      </c>
      <c r="B1005" s="13" t="s">
        <v>1972</v>
      </c>
      <c r="C1005" s="14">
        <v>45036</v>
      </c>
      <c r="D1005" s="13">
        <v>2023</v>
      </c>
      <c r="E1005" s="13" t="s">
        <v>3347</v>
      </c>
      <c r="F1005" s="13" t="s">
        <v>34</v>
      </c>
      <c r="G1005" s="15">
        <v>1373.52</v>
      </c>
      <c r="H1005" s="15">
        <v>1373.52</v>
      </c>
      <c r="I1005" s="13">
        <v>2</v>
      </c>
      <c r="J1005" s="13">
        <v>2</v>
      </c>
      <c r="K1005" s="13" t="s">
        <v>15</v>
      </c>
      <c r="L1005" s="15">
        <v>686.76</v>
      </c>
      <c r="M1005" s="16">
        <v>686.76</v>
      </c>
    </row>
    <row r="1006" spans="1:13" s="5" customFormat="1" x14ac:dyDescent="0.25">
      <c r="A1006" s="12" t="s">
        <v>1973</v>
      </c>
      <c r="B1006" s="13" t="s">
        <v>1974</v>
      </c>
      <c r="C1006" s="14">
        <v>45364</v>
      </c>
      <c r="D1006" s="13">
        <v>2024</v>
      </c>
      <c r="E1006" s="13" t="s">
        <v>14</v>
      </c>
      <c r="F1006" s="13" t="s">
        <v>11</v>
      </c>
      <c r="G1006" s="15">
        <v>1844.44</v>
      </c>
      <c r="H1006" s="15">
        <v>1844.44</v>
      </c>
      <c r="I1006" s="13">
        <v>2</v>
      </c>
      <c r="J1006" s="13">
        <v>2</v>
      </c>
      <c r="K1006" s="13" t="s">
        <v>15</v>
      </c>
      <c r="L1006" s="15">
        <v>922.22</v>
      </c>
      <c r="M1006" s="16">
        <v>922.22</v>
      </c>
    </row>
    <row r="1007" spans="1:13" s="5" customFormat="1" x14ac:dyDescent="0.25">
      <c r="A1007" s="12" t="s">
        <v>1975</v>
      </c>
      <c r="B1007" s="13" t="s">
        <v>1976</v>
      </c>
      <c r="C1007" s="14">
        <v>45124</v>
      </c>
      <c r="D1007" s="13">
        <v>2023</v>
      </c>
      <c r="E1007" s="13" t="s">
        <v>14</v>
      </c>
      <c r="F1007" s="13" t="s">
        <v>22</v>
      </c>
      <c r="G1007" s="15">
        <v>632.22</v>
      </c>
      <c r="H1007" s="15">
        <v>632.22</v>
      </c>
      <c r="I1007" s="13">
        <v>1</v>
      </c>
      <c r="J1007" s="13">
        <v>1</v>
      </c>
      <c r="K1007" s="13" t="s">
        <v>35</v>
      </c>
      <c r="L1007" s="15">
        <v>632.22</v>
      </c>
      <c r="M1007" s="16">
        <v>632.22</v>
      </c>
    </row>
    <row r="1008" spans="1:13" s="5" customFormat="1" x14ac:dyDescent="0.25">
      <c r="A1008" s="12" t="s">
        <v>1977</v>
      </c>
      <c r="B1008" s="13" t="s">
        <v>1978</v>
      </c>
      <c r="C1008" s="14">
        <v>45421</v>
      </c>
      <c r="D1008" s="13">
        <v>2024</v>
      </c>
      <c r="E1008" s="13" t="s">
        <v>21</v>
      </c>
      <c r="F1008" s="13" t="s">
        <v>34</v>
      </c>
      <c r="G1008" s="15">
        <v>322.42</v>
      </c>
      <c r="H1008" s="15">
        <v>322.42</v>
      </c>
      <c r="I1008" s="13">
        <v>3</v>
      </c>
      <c r="J1008" s="13">
        <v>3</v>
      </c>
      <c r="K1008" s="13" t="s">
        <v>15</v>
      </c>
      <c r="L1008" s="15">
        <v>107.47333333333334</v>
      </c>
      <c r="M1008" s="16">
        <v>107.47333333333334</v>
      </c>
    </row>
    <row r="1009" spans="1:13" s="5" customFormat="1" x14ac:dyDescent="0.25">
      <c r="A1009" s="12" t="s">
        <v>1979</v>
      </c>
      <c r="B1009" s="13" t="s">
        <v>1980</v>
      </c>
      <c r="C1009" s="14">
        <v>45491</v>
      </c>
      <c r="D1009" s="13">
        <v>2024</v>
      </c>
      <c r="E1009" s="13" t="s">
        <v>10</v>
      </c>
      <c r="F1009" s="13" t="s">
        <v>22</v>
      </c>
      <c r="G1009" s="15">
        <v>39.200000000000003</v>
      </c>
      <c r="H1009" s="15">
        <v>39.200000000000003</v>
      </c>
      <c r="I1009" s="13">
        <v>4</v>
      </c>
      <c r="J1009" s="13">
        <v>4</v>
      </c>
      <c r="K1009" s="13" t="s">
        <v>18</v>
      </c>
      <c r="L1009" s="15">
        <v>9.8000000000000007</v>
      </c>
      <c r="M1009" s="16">
        <v>9.8000000000000007</v>
      </c>
    </row>
    <row r="1010" spans="1:13" s="5" customFormat="1" x14ac:dyDescent="0.25">
      <c r="A1010" s="12" t="s">
        <v>1981</v>
      </c>
      <c r="B1010" s="13" t="s">
        <v>1982</v>
      </c>
      <c r="C1010" s="14">
        <v>44995</v>
      </c>
      <c r="D1010" s="13">
        <v>2023</v>
      </c>
      <c r="E1010" s="13" t="s">
        <v>21</v>
      </c>
      <c r="F1010" s="13" t="s">
        <v>25</v>
      </c>
      <c r="G1010" s="15">
        <v>1895.69</v>
      </c>
      <c r="H1010" s="15">
        <v>1895.69</v>
      </c>
      <c r="I1010" s="13">
        <v>5</v>
      </c>
      <c r="J1010" s="13">
        <v>5</v>
      </c>
      <c r="K1010" s="13" t="s">
        <v>15</v>
      </c>
      <c r="L1010" s="15">
        <v>379.13800000000003</v>
      </c>
      <c r="M1010" s="16">
        <v>379.13800000000003</v>
      </c>
    </row>
    <row r="1011" spans="1:13" s="5" customFormat="1" x14ac:dyDescent="0.25">
      <c r="A1011" s="12" t="s">
        <v>1983</v>
      </c>
      <c r="B1011" s="13" t="s">
        <v>1984</v>
      </c>
      <c r="C1011" s="14">
        <v>45669</v>
      </c>
      <c r="D1011" s="13">
        <v>2025</v>
      </c>
      <c r="E1011" s="13" t="s">
        <v>10</v>
      </c>
      <c r="F1011" s="13" t="s">
        <v>25</v>
      </c>
      <c r="G1011" s="15">
        <v>1170.02</v>
      </c>
      <c r="H1011" s="15">
        <v>1170.02</v>
      </c>
      <c r="I1011" s="13">
        <v>6</v>
      </c>
      <c r="J1011" s="13">
        <v>6</v>
      </c>
      <c r="K1011" s="13" t="s">
        <v>3348</v>
      </c>
      <c r="L1011" s="15">
        <v>195.00333333333333</v>
      </c>
      <c r="M1011" s="16">
        <v>195.00333333333333</v>
      </c>
    </row>
    <row r="1012" spans="1:13" s="5" customFormat="1" x14ac:dyDescent="0.25">
      <c r="A1012" s="12" t="s">
        <v>1985</v>
      </c>
      <c r="B1012" s="13" t="s">
        <v>1986</v>
      </c>
      <c r="C1012" s="14">
        <v>45557</v>
      </c>
      <c r="D1012" s="13">
        <v>2024</v>
      </c>
      <c r="E1012" s="13" t="s">
        <v>14</v>
      </c>
      <c r="F1012" s="13" t="s">
        <v>22</v>
      </c>
      <c r="G1012" s="15">
        <v>1390.35</v>
      </c>
      <c r="H1012" s="15">
        <v>1390.35</v>
      </c>
      <c r="I1012" s="13">
        <v>7</v>
      </c>
      <c r="J1012" s="13">
        <v>7</v>
      </c>
      <c r="K1012" s="13" t="s">
        <v>3348</v>
      </c>
      <c r="L1012" s="15">
        <v>198.62142857142857</v>
      </c>
      <c r="M1012" s="16">
        <v>189.17411111111113</v>
      </c>
    </row>
    <row r="1013" spans="1:13" s="5" customFormat="1" x14ac:dyDescent="0.25">
      <c r="A1013" s="12" t="s">
        <v>1987</v>
      </c>
      <c r="B1013" s="13" t="s">
        <v>1988</v>
      </c>
      <c r="C1013" s="14">
        <v>45229</v>
      </c>
      <c r="D1013" s="13">
        <v>2023</v>
      </c>
      <c r="E1013" s="13" t="s">
        <v>3347</v>
      </c>
      <c r="F1013" s="13" t="s">
        <v>22</v>
      </c>
      <c r="G1013" s="15">
        <v>181.24</v>
      </c>
      <c r="H1013" s="15">
        <v>181.24</v>
      </c>
      <c r="I1013" s="13">
        <v>2</v>
      </c>
      <c r="J1013" s="13">
        <v>2</v>
      </c>
      <c r="K1013" s="13" t="s">
        <v>35</v>
      </c>
      <c r="L1013" s="15">
        <v>90.62</v>
      </c>
      <c r="M1013" s="16">
        <v>90.62</v>
      </c>
    </row>
    <row r="1014" spans="1:13" s="5" customFormat="1" x14ac:dyDescent="0.25">
      <c r="A1014" s="12" t="s">
        <v>1989</v>
      </c>
      <c r="B1014" s="13" t="s">
        <v>1076</v>
      </c>
      <c r="C1014" s="14">
        <v>45399</v>
      </c>
      <c r="D1014" s="13">
        <v>2024</v>
      </c>
      <c r="E1014" s="13" t="s">
        <v>21</v>
      </c>
      <c r="F1014" s="13" t="s">
        <v>25</v>
      </c>
      <c r="G1014" s="15">
        <v>375.96</v>
      </c>
      <c r="H1014" s="15">
        <v>375.96</v>
      </c>
      <c r="I1014" s="13">
        <v>8</v>
      </c>
      <c r="J1014" s="13">
        <v>8</v>
      </c>
      <c r="K1014" s="13" t="s">
        <v>35</v>
      </c>
      <c r="L1014" s="15">
        <v>46.994999999999997</v>
      </c>
      <c r="M1014" s="16">
        <v>46.994999999999997</v>
      </c>
    </row>
    <row r="1015" spans="1:13" s="5" customFormat="1" x14ac:dyDescent="0.25">
      <c r="A1015" s="12" t="s">
        <v>1990</v>
      </c>
      <c r="B1015" s="13" t="s">
        <v>1991</v>
      </c>
      <c r="C1015" s="14">
        <v>45914</v>
      </c>
      <c r="D1015" s="13">
        <v>2025</v>
      </c>
      <c r="E1015" s="13" t="s">
        <v>3347</v>
      </c>
      <c r="F1015" s="13" t="s">
        <v>22</v>
      </c>
      <c r="G1015" s="15">
        <v>1486.81</v>
      </c>
      <c r="H1015" s="15">
        <v>1486.81</v>
      </c>
      <c r="I1015" s="13">
        <v>2</v>
      </c>
      <c r="J1015" s="13">
        <v>2</v>
      </c>
      <c r="K1015" s="13" t="s">
        <v>3348</v>
      </c>
      <c r="L1015" s="15">
        <v>743.40499999999997</v>
      </c>
      <c r="M1015" s="16">
        <v>743.40499999999997</v>
      </c>
    </row>
    <row r="1016" spans="1:13" s="5" customFormat="1" x14ac:dyDescent="0.25">
      <c r="A1016" s="12" t="s">
        <v>1992</v>
      </c>
      <c r="B1016" s="13" t="s">
        <v>1993</v>
      </c>
      <c r="C1016" s="14">
        <v>45860</v>
      </c>
      <c r="D1016" s="13">
        <v>2025</v>
      </c>
      <c r="E1016" s="13" t="s">
        <v>3347</v>
      </c>
      <c r="F1016" s="13" t="s">
        <v>22</v>
      </c>
      <c r="G1016" s="15">
        <v>504.11</v>
      </c>
      <c r="H1016" s="15">
        <v>504.11</v>
      </c>
      <c r="I1016" s="13">
        <v>1</v>
      </c>
      <c r="J1016" s="13">
        <v>1</v>
      </c>
      <c r="K1016" s="13" t="s">
        <v>3346</v>
      </c>
      <c r="L1016" s="15">
        <v>504.11</v>
      </c>
      <c r="M1016" s="16">
        <v>504.11</v>
      </c>
    </row>
    <row r="1017" spans="1:13" s="5" customFormat="1" x14ac:dyDescent="0.25">
      <c r="A1017" s="12" t="s">
        <v>1994</v>
      </c>
      <c r="B1017" s="13" t="s">
        <v>1995</v>
      </c>
      <c r="C1017" s="14">
        <v>45023</v>
      </c>
      <c r="D1017" s="13">
        <v>2023</v>
      </c>
      <c r="E1017" s="13" t="s">
        <v>21</v>
      </c>
      <c r="F1017" s="13" t="s">
        <v>22</v>
      </c>
      <c r="G1017" s="15">
        <v>151.47</v>
      </c>
      <c r="H1017" s="15">
        <v>151.47</v>
      </c>
      <c r="I1017" s="13">
        <v>5</v>
      </c>
      <c r="J1017" s="13">
        <v>5</v>
      </c>
      <c r="K1017" s="13" t="s">
        <v>3346</v>
      </c>
      <c r="L1017" s="15">
        <v>30.294</v>
      </c>
      <c r="M1017" s="16">
        <v>30.294</v>
      </c>
    </row>
    <row r="1018" spans="1:13" s="5" customFormat="1" x14ac:dyDescent="0.25">
      <c r="A1018" s="12" t="s">
        <v>1996</v>
      </c>
      <c r="B1018" s="13" t="s">
        <v>1997</v>
      </c>
      <c r="C1018" s="14">
        <v>44933</v>
      </c>
      <c r="D1018" s="13">
        <v>2023</v>
      </c>
      <c r="E1018" s="13" t="s">
        <v>21</v>
      </c>
      <c r="F1018" s="13" t="s">
        <v>11</v>
      </c>
      <c r="G1018" s="15">
        <v>1823.39</v>
      </c>
      <c r="H1018" s="15">
        <v>1823.39</v>
      </c>
      <c r="I1018" s="13">
        <v>8</v>
      </c>
      <c r="J1018" s="13">
        <v>8</v>
      </c>
      <c r="K1018" s="13" t="s">
        <v>18</v>
      </c>
      <c r="L1018" s="15">
        <v>227.92375000000001</v>
      </c>
      <c r="M1018" s="16">
        <v>227.92375000000001</v>
      </c>
    </row>
    <row r="1019" spans="1:13" s="5" customFormat="1" x14ac:dyDescent="0.25">
      <c r="A1019" s="12" t="s">
        <v>1998</v>
      </c>
      <c r="B1019" s="13" t="s">
        <v>1999</v>
      </c>
      <c r="C1019" s="14">
        <v>45014</v>
      </c>
      <c r="D1019" s="13">
        <v>2023</v>
      </c>
      <c r="E1019" s="13" t="s">
        <v>3347</v>
      </c>
      <c r="F1019" s="13" t="s">
        <v>11</v>
      </c>
      <c r="G1019" s="15">
        <v>1871.97</v>
      </c>
      <c r="H1019" s="15">
        <v>1871.97</v>
      </c>
      <c r="I1019" s="13">
        <v>9</v>
      </c>
      <c r="J1019" s="13">
        <v>9</v>
      </c>
      <c r="K1019" s="13" t="s">
        <v>3346</v>
      </c>
      <c r="L1019" s="15">
        <v>207.99666666666667</v>
      </c>
      <c r="M1019" s="16">
        <v>215.67104166666664</v>
      </c>
    </row>
    <row r="1020" spans="1:13" s="5" customFormat="1" x14ac:dyDescent="0.25">
      <c r="A1020" s="12" t="s">
        <v>2000</v>
      </c>
      <c r="B1020" s="13" t="s">
        <v>2001</v>
      </c>
      <c r="C1020" s="14">
        <v>45861</v>
      </c>
      <c r="D1020" s="13">
        <v>2025</v>
      </c>
      <c r="E1020" s="13" t="s">
        <v>3347</v>
      </c>
      <c r="F1020" s="13" t="s">
        <v>34</v>
      </c>
      <c r="G1020" s="15">
        <v>800.45</v>
      </c>
      <c r="H1020" s="15">
        <v>800.45</v>
      </c>
      <c r="I1020" s="13">
        <v>2</v>
      </c>
      <c r="J1020" s="13">
        <v>2</v>
      </c>
      <c r="K1020" s="13" t="s">
        <v>3346</v>
      </c>
      <c r="L1020" s="15">
        <v>400.22500000000002</v>
      </c>
      <c r="M1020" s="16">
        <v>400.22500000000002</v>
      </c>
    </row>
    <row r="1021" spans="1:13" s="5" customFormat="1" x14ac:dyDescent="0.25">
      <c r="A1021" s="12" t="s">
        <v>2002</v>
      </c>
      <c r="B1021" s="13" t="s">
        <v>2003</v>
      </c>
      <c r="C1021" s="14">
        <v>45671</v>
      </c>
      <c r="D1021" s="13">
        <v>2025</v>
      </c>
      <c r="E1021" s="13" t="s">
        <v>3347</v>
      </c>
      <c r="F1021" s="13" t="s">
        <v>22</v>
      </c>
      <c r="G1021" s="15">
        <v>1344.01</v>
      </c>
      <c r="H1021" s="15">
        <v>1344.01</v>
      </c>
      <c r="I1021" s="13">
        <v>1</v>
      </c>
      <c r="J1021" s="13">
        <v>1</v>
      </c>
      <c r="K1021" s="13" t="s">
        <v>3346</v>
      </c>
      <c r="L1021" s="15">
        <v>1344.01</v>
      </c>
      <c r="M1021" s="16">
        <v>1344.01</v>
      </c>
    </row>
    <row r="1022" spans="1:13" s="5" customFormat="1" x14ac:dyDescent="0.25">
      <c r="A1022" s="12" t="s">
        <v>2004</v>
      </c>
      <c r="B1022" s="13" t="s">
        <v>1209</v>
      </c>
      <c r="C1022" s="14">
        <v>45935</v>
      </c>
      <c r="D1022" s="13">
        <v>2025</v>
      </c>
      <c r="E1022" s="13" t="s">
        <v>3347</v>
      </c>
      <c r="F1022" s="13" t="s">
        <v>25</v>
      </c>
      <c r="G1022" s="15">
        <v>1403.89</v>
      </c>
      <c r="H1022" s="15">
        <v>1403.89</v>
      </c>
      <c r="I1022" s="13">
        <v>8</v>
      </c>
      <c r="J1022" s="13">
        <v>8</v>
      </c>
      <c r="K1022" s="13" t="s">
        <v>3346</v>
      </c>
      <c r="L1022" s="15">
        <v>175.48625000000001</v>
      </c>
      <c r="M1022" s="16">
        <v>175.48625000000001</v>
      </c>
    </row>
    <row r="1023" spans="1:13" s="5" customFormat="1" x14ac:dyDescent="0.25">
      <c r="A1023" s="12" t="s">
        <v>2005</v>
      </c>
      <c r="B1023" s="13" t="s">
        <v>2006</v>
      </c>
      <c r="C1023" s="14">
        <v>45324</v>
      </c>
      <c r="D1023" s="13">
        <v>2024</v>
      </c>
      <c r="E1023" s="13" t="s">
        <v>10</v>
      </c>
      <c r="F1023" s="13" t="s">
        <v>34</v>
      </c>
      <c r="G1023" s="15">
        <v>1246.32</v>
      </c>
      <c r="H1023" s="15">
        <v>1246.32</v>
      </c>
      <c r="I1023" s="13">
        <v>9</v>
      </c>
      <c r="J1023" s="13">
        <v>9</v>
      </c>
      <c r="K1023" s="13" t="s">
        <v>3346</v>
      </c>
      <c r="L1023" s="15">
        <v>138.47999999999999</v>
      </c>
      <c r="M1023" s="16">
        <v>138.47999999999999</v>
      </c>
    </row>
    <row r="1024" spans="1:13" s="5" customFormat="1" x14ac:dyDescent="0.25">
      <c r="A1024" s="12" t="s">
        <v>2007</v>
      </c>
      <c r="B1024" s="13" t="s">
        <v>2008</v>
      </c>
      <c r="C1024" s="14">
        <v>45647</v>
      </c>
      <c r="D1024" s="13">
        <v>2024</v>
      </c>
      <c r="E1024" s="13" t="s">
        <v>10</v>
      </c>
      <c r="F1024" s="13" t="s">
        <v>22</v>
      </c>
      <c r="G1024" s="15">
        <v>1131.46</v>
      </c>
      <c r="H1024" s="15">
        <v>1131.46</v>
      </c>
      <c r="I1024" s="13">
        <v>10</v>
      </c>
      <c r="J1024" s="13">
        <v>10</v>
      </c>
      <c r="K1024" s="13" t="s">
        <v>15</v>
      </c>
      <c r="L1024" s="15">
        <v>113.146</v>
      </c>
      <c r="M1024" s="16">
        <v>113.146</v>
      </c>
    </row>
    <row r="1025" spans="1:13" s="5" customFormat="1" x14ac:dyDescent="0.25">
      <c r="A1025" s="12" t="s">
        <v>2009</v>
      </c>
      <c r="B1025" s="13" t="s">
        <v>2010</v>
      </c>
      <c r="C1025" s="14">
        <v>45273</v>
      </c>
      <c r="D1025" s="13">
        <v>2023</v>
      </c>
      <c r="E1025" s="13" t="s">
        <v>14</v>
      </c>
      <c r="F1025" s="13" t="s">
        <v>34</v>
      </c>
      <c r="G1025" s="15">
        <v>1637.65</v>
      </c>
      <c r="H1025" s="15">
        <v>1637.65</v>
      </c>
      <c r="I1025" s="13">
        <v>1</v>
      </c>
      <c r="J1025" s="13">
        <v>1</v>
      </c>
      <c r="K1025" s="13" t="s">
        <v>35</v>
      </c>
      <c r="L1025" s="15">
        <v>1637.65</v>
      </c>
      <c r="M1025" s="16">
        <v>1637.65</v>
      </c>
    </row>
    <row r="1026" spans="1:13" s="5" customFormat="1" x14ac:dyDescent="0.25">
      <c r="A1026" s="12" t="s">
        <v>2011</v>
      </c>
      <c r="B1026" s="13" t="s">
        <v>2012</v>
      </c>
      <c r="C1026" s="14">
        <v>44984</v>
      </c>
      <c r="D1026" s="13">
        <v>2023</v>
      </c>
      <c r="E1026" s="13" t="s">
        <v>21</v>
      </c>
      <c r="F1026" s="13" t="s">
        <v>34</v>
      </c>
      <c r="G1026" s="15">
        <v>472.08</v>
      </c>
      <c r="H1026" s="15">
        <v>472.08</v>
      </c>
      <c r="I1026" s="13">
        <v>8</v>
      </c>
      <c r="J1026" s="13">
        <v>8</v>
      </c>
      <c r="K1026" s="13" t="s">
        <v>15</v>
      </c>
      <c r="L1026" s="15">
        <v>59.01</v>
      </c>
      <c r="M1026" s="16">
        <v>59.01</v>
      </c>
    </row>
    <row r="1027" spans="1:13" s="5" customFormat="1" x14ac:dyDescent="0.25">
      <c r="A1027" s="12" t="s">
        <v>2013</v>
      </c>
      <c r="B1027" s="13" t="s">
        <v>2014</v>
      </c>
      <c r="C1027" s="14">
        <v>45065</v>
      </c>
      <c r="D1027" s="13">
        <v>2023</v>
      </c>
      <c r="E1027" s="13" t="s">
        <v>10</v>
      </c>
      <c r="F1027" s="13" t="s">
        <v>25</v>
      </c>
      <c r="G1027" s="15">
        <v>904.53666666666675</v>
      </c>
      <c r="H1027" s="15">
        <v>904.53666666666675</v>
      </c>
      <c r="I1027" s="13">
        <v>6</v>
      </c>
      <c r="J1027" s="13">
        <v>6</v>
      </c>
      <c r="K1027" s="13" t="s">
        <v>35</v>
      </c>
      <c r="L1027" s="15">
        <v>150.75611111111112</v>
      </c>
      <c r="M1027" s="16">
        <v>150.75611111111112</v>
      </c>
    </row>
    <row r="1028" spans="1:13" s="5" customFormat="1" x14ac:dyDescent="0.25">
      <c r="A1028" s="12" t="s">
        <v>2015</v>
      </c>
      <c r="B1028" s="13" t="s">
        <v>2016</v>
      </c>
      <c r="C1028" s="14">
        <v>44972</v>
      </c>
      <c r="D1028" s="13">
        <v>2023</v>
      </c>
      <c r="E1028" s="13" t="s">
        <v>14</v>
      </c>
      <c r="F1028" s="13" t="s">
        <v>34</v>
      </c>
      <c r="G1028" s="15">
        <v>1090.1400000000001</v>
      </c>
      <c r="H1028" s="15">
        <v>1090.1400000000001</v>
      </c>
      <c r="I1028" s="13">
        <v>4</v>
      </c>
      <c r="J1028" s="13">
        <v>4</v>
      </c>
      <c r="K1028" s="13" t="s">
        <v>18</v>
      </c>
      <c r="L1028" s="15">
        <v>272.53500000000003</v>
      </c>
      <c r="M1028" s="16">
        <v>272.53500000000003</v>
      </c>
    </row>
    <row r="1029" spans="1:13" s="5" customFormat="1" x14ac:dyDescent="0.25">
      <c r="A1029" s="12" t="s">
        <v>2017</v>
      </c>
      <c r="B1029" s="13" t="s">
        <v>2018</v>
      </c>
      <c r="C1029" s="14">
        <v>45690</v>
      </c>
      <c r="D1029" s="13">
        <v>2025</v>
      </c>
      <c r="E1029" s="13" t="s">
        <v>14</v>
      </c>
      <c r="F1029" s="13" t="s">
        <v>34</v>
      </c>
      <c r="G1029" s="15">
        <v>1037.79</v>
      </c>
      <c r="H1029" s="15">
        <v>1037.79</v>
      </c>
      <c r="I1029" s="13">
        <v>4</v>
      </c>
      <c r="J1029" s="13">
        <v>4</v>
      </c>
      <c r="K1029" s="13" t="s">
        <v>15</v>
      </c>
      <c r="L1029" s="15">
        <v>259.44749999999999</v>
      </c>
      <c r="M1029" s="16">
        <v>259.44749999999999</v>
      </c>
    </row>
    <row r="1030" spans="1:13" s="5" customFormat="1" x14ac:dyDescent="0.25">
      <c r="A1030" s="12" t="s">
        <v>2019</v>
      </c>
      <c r="B1030" s="13" t="s">
        <v>2020</v>
      </c>
      <c r="C1030" s="14">
        <v>45635</v>
      </c>
      <c r="D1030" s="13">
        <v>2024</v>
      </c>
      <c r="E1030" s="13" t="s">
        <v>3347</v>
      </c>
      <c r="F1030" s="13" t="s">
        <v>22</v>
      </c>
      <c r="G1030" s="15">
        <v>529.30999999999995</v>
      </c>
      <c r="H1030" s="15">
        <v>529.30999999999995</v>
      </c>
      <c r="I1030" s="13">
        <v>10</v>
      </c>
      <c r="J1030" s="13">
        <v>10</v>
      </c>
      <c r="K1030" s="13" t="s">
        <v>3348</v>
      </c>
      <c r="L1030" s="15">
        <v>52.930999999999997</v>
      </c>
      <c r="M1030" s="16">
        <v>52.930999999999997</v>
      </c>
    </row>
    <row r="1031" spans="1:13" s="5" customFormat="1" x14ac:dyDescent="0.25">
      <c r="A1031" s="12" t="s">
        <v>2021</v>
      </c>
      <c r="B1031" s="13" t="s">
        <v>2022</v>
      </c>
      <c r="C1031" s="14">
        <v>45715</v>
      </c>
      <c r="D1031" s="13">
        <v>2025</v>
      </c>
      <c r="E1031" s="13" t="s">
        <v>10</v>
      </c>
      <c r="F1031" s="13" t="s">
        <v>22</v>
      </c>
      <c r="G1031" s="15">
        <v>1181.72</v>
      </c>
      <c r="H1031" s="15">
        <v>1181.72</v>
      </c>
      <c r="I1031" s="13">
        <v>5</v>
      </c>
      <c r="J1031" s="13">
        <v>5</v>
      </c>
      <c r="K1031" s="13" t="s">
        <v>15</v>
      </c>
      <c r="L1031" s="15">
        <v>236.34399999999999</v>
      </c>
      <c r="M1031" s="16">
        <v>236.34399999999999</v>
      </c>
    </row>
    <row r="1032" spans="1:13" s="5" customFormat="1" x14ac:dyDescent="0.25">
      <c r="A1032" s="12" t="s">
        <v>2023</v>
      </c>
      <c r="B1032" s="13" t="s">
        <v>441</v>
      </c>
      <c r="C1032" s="14">
        <v>45744</v>
      </c>
      <c r="D1032" s="13">
        <v>2025</v>
      </c>
      <c r="E1032" s="13" t="s">
        <v>3347</v>
      </c>
      <c r="F1032" s="13" t="s">
        <v>11</v>
      </c>
      <c r="G1032" s="15">
        <v>1787.37</v>
      </c>
      <c r="H1032" s="15">
        <v>1787.37</v>
      </c>
      <c r="I1032" s="13">
        <v>4</v>
      </c>
      <c r="J1032" s="13">
        <v>4</v>
      </c>
      <c r="K1032" s="13" t="s">
        <v>18</v>
      </c>
      <c r="L1032" s="15">
        <v>446.84249999999997</v>
      </c>
      <c r="M1032" s="16">
        <v>446.84249999999997</v>
      </c>
    </row>
    <row r="1033" spans="1:13" s="5" customFormat="1" x14ac:dyDescent="0.25">
      <c r="A1033" s="12" t="s">
        <v>2024</v>
      </c>
      <c r="B1033" s="13" t="s">
        <v>2025</v>
      </c>
      <c r="C1033" s="14">
        <v>45651</v>
      </c>
      <c r="D1033" s="13">
        <v>2024</v>
      </c>
      <c r="E1033" s="13" t="s">
        <v>10</v>
      </c>
      <c r="F1033" s="13" t="s">
        <v>22</v>
      </c>
      <c r="G1033" s="15">
        <v>1552.09</v>
      </c>
      <c r="H1033" s="15">
        <v>1552.09</v>
      </c>
      <c r="I1033" s="13">
        <v>5</v>
      </c>
      <c r="J1033" s="13">
        <v>5</v>
      </c>
      <c r="K1033" s="13" t="s">
        <v>3348</v>
      </c>
      <c r="L1033" s="15">
        <v>310.41800000000001</v>
      </c>
      <c r="M1033" s="16">
        <v>299.63095238095235</v>
      </c>
    </row>
    <row r="1034" spans="1:13" s="5" customFormat="1" x14ac:dyDescent="0.25">
      <c r="A1034" s="12" t="s">
        <v>2026</v>
      </c>
      <c r="B1034" s="13" t="s">
        <v>2027</v>
      </c>
      <c r="C1034" s="14">
        <v>45165</v>
      </c>
      <c r="D1034" s="13">
        <v>2023</v>
      </c>
      <c r="E1034" s="13" t="s">
        <v>10</v>
      </c>
      <c r="F1034" s="13" t="s">
        <v>34</v>
      </c>
      <c r="G1034" s="15">
        <v>1579.23</v>
      </c>
      <c r="H1034" s="15">
        <v>1579.23</v>
      </c>
      <c r="I1034" s="13">
        <v>8</v>
      </c>
      <c r="J1034" s="13">
        <v>8</v>
      </c>
      <c r="K1034" s="13" t="s">
        <v>35</v>
      </c>
      <c r="L1034" s="15">
        <v>197.40375</v>
      </c>
      <c r="M1034" s="16">
        <v>197.40375</v>
      </c>
    </row>
    <row r="1035" spans="1:13" s="5" customFormat="1" x14ac:dyDescent="0.25">
      <c r="A1035" s="12" t="s">
        <v>2028</v>
      </c>
      <c r="B1035" s="13" t="s">
        <v>2029</v>
      </c>
      <c r="C1035" s="14">
        <v>45361</v>
      </c>
      <c r="D1035" s="13">
        <v>2024</v>
      </c>
      <c r="E1035" s="13" t="s">
        <v>10</v>
      </c>
      <c r="F1035" s="13" t="s">
        <v>34</v>
      </c>
      <c r="G1035" s="15">
        <v>1755.23</v>
      </c>
      <c r="H1035" s="15">
        <v>1755.23</v>
      </c>
      <c r="I1035" s="13">
        <v>5</v>
      </c>
      <c r="J1035" s="13">
        <v>5</v>
      </c>
      <c r="K1035" s="13" t="s">
        <v>15</v>
      </c>
      <c r="L1035" s="15">
        <v>351.04599999999999</v>
      </c>
      <c r="M1035" s="16">
        <v>351.04599999999999</v>
      </c>
    </row>
    <row r="1036" spans="1:13" s="5" customFormat="1" x14ac:dyDescent="0.25">
      <c r="A1036" s="12" t="s">
        <v>2030</v>
      </c>
      <c r="B1036" s="13" t="s">
        <v>2031</v>
      </c>
      <c r="C1036" s="14">
        <v>45660</v>
      </c>
      <c r="D1036" s="13">
        <v>2025</v>
      </c>
      <c r="E1036" s="13" t="s">
        <v>10</v>
      </c>
      <c r="F1036" s="13" t="s">
        <v>22</v>
      </c>
      <c r="G1036" s="15">
        <v>643.80700000000002</v>
      </c>
      <c r="H1036" s="15">
        <v>643.80700000000002</v>
      </c>
      <c r="I1036" s="13">
        <v>6</v>
      </c>
      <c r="J1036" s="13">
        <v>6</v>
      </c>
      <c r="K1036" s="13" t="s">
        <v>3346</v>
      </c>
      <c r="L1036" s="15">
        <v>107.30116666666667</v>
      </c>
      <c r="M1036" s="16">
        <v>107.30116666666667</v>
      </c>
    </row>
    <row r="1037" spans="1:13" s="5" customFormat="1" x14ac:dyDescent="0.25">
      <c r="A1037" s="12" t="s">
        <v>2032</v>
      </c>
      <c r="B1037" s="13" t="s">
        <v>2033</v>
      </c>
      <c r="C1037" s="14">
        <v>45812</v>
      </c>
      <c r="D1037" s="13">
        <v>2025</v>
      </c>
      <c r="E1037" s="13" t="s">
        <v>3347</v>
      </c>
      <c r="F1037" s="13" t="s">
        <v>11</v>
      </c>
      <c r="G1037" s="15">
        <v>6424.4020833333334</v>
      </c>
      <c r="H1037" s="15">
        <v>3548.2821388888883</v>
      </c>
      <c r="I1037" s="13">
        <v>10</v>
      </c>
      <c r="J1037" s="13">
        <v>10</v>
      </c>
      <c r="K1037" s="13" t="s">
        <v>15</v>
      </c>
      <c r="L1037" s="15">
        <v>642.44020833333332</v>
      </c>
      <c r="M1037" s="16">
        <v>642.44020833333332</v>
      </c>
    </row>
    <row r="1038" spans="1:13" s="5" customFormat="1" x14ac:dyDescent="0.25">
      <c r="A1038" s="12" t="s">
        <v>2034</v>
      </c>
      <c r="B1038" s="13" t="s">
        <v>2035</v>
      </c>
      <c r="C1038" s="14">
        <v>45152</v>
      </c>
      <c r="D1038" s="13">
        <v>2023</v>
      </c>
      <c r="E1038" s="13" t="s">
        <v>21</v>
      </c>
      <c r="F1038" s="13" t="s">
        <v>11</v>
      </c>
      <c r="G1038" s="15">
        <v>1299.2</v>
      </c>
      <c r="H1038" s="15">
        <v>1299.2</v>
      </c>
      <c r="I1038" s="13">
        <v>4</v>
      </c>
      <c r="J1038" s="13">
        <v>4</v>
      </c>
      <c r="K1038" s="13" t="s">
        <v>3348</v>
      </c>
      <c r="L1038" s="15">
        <v>324.8</v>
      </c>
      <c r="M1038" s="16">
        <v>324.8</v>
      </c>
    </row>
    <row r="1039" spans="1:13" s="5" customFormat="1" x14ac:dyDescent="0.25">
      <c r="A1039" s="12" t="s">
        <v>2036</v>
      </c>
      <c r="B1039" s="13" t="s">
        <v>2037</v>
      </c>
      <c r="C1039" s="14">
        <v>45626</v>
      </c>
      <c r="D1039" s="13">
        <v>2024</v>
      </c>
      <c r="E1039" s="13" t="s">
        <v>21</v>
      </c>
      <c r="F1039" s="13" t="s">
        <v>22</v>
      </c>
      <c r="G1039" s="15">
        <v>954.11</v>
      </c>
      <c r="H1039" s="15">
        <v>954.11</v>
      </c>
      <c r="I1039" s="13">
        <v>7</v>
      </c>
      <c r="J1039" s="13">
        <v>7</v>
      </c>
      <c r="K1039" s="13" t="s">
        <v>15</v>
      </c>
      <c r="L1039" s="15">
        <v>136.30142857142857</v>
      </c>
      <c r="M1039" s="16">
        <v>136.30142857142857</v>
      </c>
    </row>
    <row r="1040" spans="1:13" s="5" customFormat="1" x14ac:dyDescent="0.25">
      <c r="A1040" s="12" t="s">
        <v>2038</v>
      </c>
      <c r="B1040" s="13" t="s">
        <v>2039</v>
      </c>
      <c r="C1040" s="14">
        <v>45424</v>
      </c>
      <c r="D1040" s="13">
        <v>2024</v>
      </c>
      <c r="E1040" s="13" t="s">
        <v>10</v>
      </c>
      <c r="F1040" s="13" t="s">
        <v>25</v>
      </c>
      <c r="G1040" s="15">
        <v>1807.96</v>
      </c>
      <c r="H1040" s="15">
        <v>1807.96</v>
      </c>
      <c r="I1040" s="13">
        <v>7</v>
      </c>
      <c r="J1040" s="13">
        <v>7</v>
      </c>
      <c r="K1040" s="13" t="s">
        <v>3348</v>
      </c>
      <c r="L1040" s="15">
        <v>258.28000000000003</v>
      </c>
      <c r="M1040" s="16">
        <v>258.28000000000003</v>
      </c>
    </row>
    <row r="1041" spans="1:13" s="5" customFormat="1" x14ac:dyDescent="0.25">
      <c r="A1041" s="12" t="s">
        <v>2040</v>
      </c>
      <c r="B1041" s="13" t="s">
        <v>2041</v>
      </c>
      <c r="C1041" s="14">
        <v>45282</v>
      </c>
      <c r="D1041" s="13">
        <v>2023</v>
      </c>
      <c r="E1041" s="13" t="s">
        <v>3347</v>
      </c>
      <c r="F1041" s="13" t="s">
        <v>11</v>
      </c>
      <c r="G1041" s="15">
        <v>216.78</v>
      </c>
      <c r="H1041" s="15">
        <v>216.78</v>
      </c>
      <c r="I1041" s="13">
        <v>3</v>
      </c>
      <c r="J1041" s="13">
        <v>3</v>
      </c>
      <c r="K1041" s="13" t="s">
        <v>3348</v>
      </c>
      <c r="L1041" s="15">
        <v>72.260000000000005</v>
      </c>
      <c r="M1041" s="16">
        <v>72.260000000000005</v>
      </c>
    </row>
    <row r="1042" spans="1:13" s="5" customFormat="1" x14ac:dyDescent="0.25">
      <c r="A1042" s="12" t="s">
        <v>2042</v>
      </c>
      <c r="B1042" s="13" t="s">
        <v>2043</v>
      </c>
      <c r="C1042" s="14">
        <v>45635</v>
      </c>
      <c r="D1042" s="13">
        <v>2024</v>
      </c>
      <c r="E1042" s="13" t="s">
        <v>21</v>
      </c>
      <c r="F1042" s="13" t="s">
        <v>22</v>
      </c>
      <c r="G1042" s="15">
        <v>1042.49</v>
      </c>
      <c r="H1042" s="15">
        <v>1042.49</v>
      </c>
      <c r="I1042" s="13">
        <v>3</v>
      </c>
      <c r="J1042" s="13">
        <v>3</v>
      </c>
      <c r="K1042" s="13" t="s">
        <v>15</v>
      </c>
      <c r="L1042" s="15">
        <v>347.49666666666667</v>
      </c>
      <c r="M1042" s="16">
        <v>347.49666666666667</v>
      </c>
    </row>
    <row r="1043" spans="1:13" s="5" customFormat="1" x14ac:dyDescent="0.25">
      <c r="A1043" s="12" t="s">
        <v>2044</v>
      </c>
      <c r="B1043" s="13" t="s">
        <v>767</v>
      </c>
      <c r="C1043" s="14">
        <v>45246</v>
      </c>
      <c r="D1043" s="13">
        <v>2023</v>
      </c>
      <c r="E1043" s="13" t="s">
        <v>14</v>
      </c>
      <c r="F1043" s="13" t="s">
        <v>34</v>
      </c>
      <c r="G1043" s="15">
        <v>1533.56</v>
      </c>
      <c r="H1043" s="15">
        <v>1533.56</v>
      </c>
      <c r="I1043" s="13">
        <v>4</v>
      </c>
      <c r="J1043" s="13">
        <v>4</v>
      </c>
      <c r="K1043" s="13" t="s">
        <v>35</v>
      </c>
      <c r="L1043" s="15">
        <v>383.39</v>
      </c>
      <c r="M1043" s="16">
        <v>383.39</v>
      </c>
    </row>
    <row r="1044" spans="1:13" s="5" customFormat="1" x14ac:dyDescent="0.25">
      <c r="A1044" s="12" t="s">
        <v>2045</v>
      </c>
      <c r="B1044" s="13" t="s">
        <v>2046</v>
      </c>
      <c r="C1044" s="14">
        <v>45651</v>
      </c>
      <c r="D1044" s="13">
        <v>2024</v>
      </c>
      <c r="E1044" s="13" t="s">
        <v>14</v>
      </c>
      <c r="F1044" s="13" t="s">
        <v>11</v>
      </c>
      <c r="G1044" s="15">
        <v>289.60000000000002</v>
      </c>
      <c r="H1044" s="15">
        <v>289.60000000000002</v>
      </c>
      <c r="I1044" s="13">
        <v>4</v>
      </c>
      <c r="J1044" s="13">
        <v>4</v>
      </c>
      <c r="K1044" s="13" t="s">
        <v>15</v>
      </c>
      <c r="L1044" s="15">
        <v>72.400000000000006</v>
      </c>
      <c r="M1044" s="16">
        <v>72.400000000000006</v>
      </c>
    </row>
    <row r="1045" spans="1:13" s="5" customFormat="1" x14ac:dyDescent="0.25">
      <c r="A1045" s="12" t="s">
        <v>2047</v>
      </c>
      <c r="B1045" s="13" t="s">
        <v>2048</v>
      </c>
      <c r="C1045" s="14">
        <v>44998</v>
      </c>
      <c r="D1045" s="13">
        <v>2023</v>
      </c>
      <c r="E1045" s="13" t="s">
        <v>10</v>
      </c>
      <c r="F1045" s="13" t="s">
        <v>25</v>
      </c>
      <c r="G1045" s="15">
        <v>1783.9476190476191</v>
      </c>
      <c r="H1045" s="15">
        <v>1783.9476190476191</v>
      </c>
      <c r="I1045" s="13">
        <v>10</v>
      </c>
      <c r="J1045" s="13">
        <v>10</v>
      </c>
      <c r="K1045" s="13" t="s">
        <v>18</v>
      </c>
      <c r="L1045" s="15">
        <v>178.39476190476191</v>
      </c>
      <c r="M1045" s="16">
        <v>178.39476190476191</v>
      </c>
    </row>
    <row r="1046" spans="1:13" s="5" customFormat="1" x14ac:dyDescent="0.25">
      <c r="A1046" s="12" t="s">
        <v>2049</v>
      </c>
      <c r="B1046" s="13" t="s">
        <v>2050</v>
      </c>
      <c r="C1046" s="14">
        <v>45731</v>
      </c>
      <c r="D1046" s="13">
        <v>2025</v>
      </c>
      <c r="E1046" s="13" t="s">
        <v>21</v>
      </c>
      <c r="F1046" s="13" t="s">
        <v>34</v>
      </c>
      <c r="G1046" s="15">
        <v>37.5</v>
      </c>
      <c r="H1046" s="15">
        <v>37.5</v>
      </c>
      <c r="I1046" s="13">
        <v>1</v>
      </c>
      <c r="J1046" s="13">
        <v>1</v>
      </c>
      <c r="K1046" s="13" t="s">
        <v>3348</v>
      </c>
      <c r="L1046" s="15">
        <v>37.5</v>
      </c>
      <c r="M1046" s="16">
        <v>37.5</v>
      </c>
    </row>
    <row r="1047" spans="1:13" s="5" customFormat="1" x14ac:dyDescent="0.25">
      <c r="A1047" s="12" t="s">
        <v>2051</v>
      </c>
      <c r="B1047" s="13" t="s">
        <v>2052</v>
      </c>
      <c r="C1047" s="14">
        <v>45558</v>
      </c>
      <c r="D1047" s="13">
        <v>2024</v>
      </c>
      <c r="E1047" s="13" t="s">
        <v>21</v>
      </c>
      <c r="F1047" s="13" t="s">
        <v>34</v>
      </c>
      <c r="G1047" s="15">
        <v>3543.0938624338623</v>
      </c>
      <c r="H1047" s="15">
        <v>3543.0938624338623</v>
      </c>
      <c r="I1047" s="13">
        <v>8</v>
      </c>
      <c r="J1047" s="13">
        <v>8</v>
      </c>
      <c r="K1047" s="13" t="s">
        <v>3346</v>
      </c>
      <c r="L1047" s="15">
        <v>442.88673280423279</v>
      </c>
      <c r="M1047" s="16">
        <v>442.88673280423279</v>
      </c>
    </row>
    <row r="1048" spans="1:13" s="5" customFormat="1" x14ac:dyDescent="0.25">
      <c r="A1048" s="12" t="s">
        <v>2053</v>
      </c>
      <c r="B1048" s="13" t="s">
        <v>2054</v>
      </c>
      <c r="C1048" s="14">
        <v>45079</v>
      </c>
      <c r="D1048" s="13">
        <v>2023</v>
      </c>
      <c r="E1048" s="13" t="s">
        <v>14</v>
      </c>
      <c r="F1048" s="13" t="s">
        <v>11</v>
      </c>
      <c r="G1048" s="15">
        <v>1256.6500000000001</v>
      </c>
      <c r="H1048" s="15">
        <v>1256.6500000000001</v>
      </c>
      <c r="I1048" s="13">
        <v>4</v>
      </c>
      <c r="J1048" s="13">
        <v>4</v>
      </c>
      <c r="K1048" s="13" t="s">
        <v>18</v>
      </c>
      <c r="L1048" s="15">
        <v>314.16250000000002</v>
      </c>
      <c r="M1048" s="16">
        <v>343.38708333333335</v>
      </c>
    </row>
    <row r="1049" spans="1:13" s="5" customFormat="1" x14ac:dyDescent="0.25">
      <c r="A1049" s="12" t="s">
        <v>2055</v>
      </c>
      <c r="B1049" s="13" t="s">
        <v>2056</v>
      </c>
      <c r="C1049" s="14">
        <v>45579</v>
      </c>
      <c r="D1049" s="13">
        <v>2024</v>
      </c>
      <c r="E1049" s="13" t="s">
        <v>21</v>
      </c>
      <c r="F1049" s="13" t="s">
        <v>22</v>
      </c>
      <c r="G1049" s="15">
        <v>1561.57</v>
      </c>
      <c r="H1049" s="15">
        <v>1561.57</v>
      </c>
      <c r="I1049" s="13">
        <v>4</v>
      </c>
      <c r="J1049" s="13">
        <v>4</v>
      </c>
      <c r="K1049" s="13" t="s">
        <v>3346</v>
      </c>
      <c r="L1049" s="15">
        <v>390.39249999999998</v>
      </c>
      <c r="M1049" s="16">
        <v>390.39249999999998</v>
      </c>
    </row>
    <row r="1050" spans="1:13" s="5" customFormat="1" x14ac:dyDescent="0.25">
      <c r="A1050" s="12" t="s">
        <v>2057</v>
      </c>
      <c r="B1050" s="13" t="s">
        <v>2058</v>
      </c>
      <c r="C1050" s="14">
        <v>44877</v>
      </c>
      <c r="D1050" s="13">
        <v>2022</v>
      </c>
      <c r="E1050" s="13" t="s">
        <v>14</v>
      </c>
      <c r="F1050" s="13" t="s">
        <v>22</v>
      </c>
      <c r="G1050" s="15">
        <v>1551.26</v>
      </c>
      <c r="H1050" s="15">
        <v>1551.26</v>
      </c>
      <c r="I1050" s="13">
        <v>10</v>
      </c>
      <c r="J1050" s="13">
        <v>10</v>
      </c>
      <c r="K1050" s="13" t="s">
        <v>3346</v>
      </c>
      <c r="L1050" s="15">
        <v>155.126</v>
      </c>
      <c r="M1050" s="16">
        <v>155.126</v>
      </c>
    </row>
    <row r="1051" spans="1:13" s="5" customFormat="1" x14ac:dyDescent="0.25">
      <c r="A1051" s="12" t="s">
        <v>2059</v>
      </c>
      <c r="B1051" s="13" t="s">
        <v>2060</v>
      </c>
      <c r="C1051" s="14">
        <v>45370</v>
      </c>
      <c r="D1051" s="13">
        <v>2024</v>
      </c>
      <c r="E1051" s="13" t="s">
        <v>3347</v>
      </c>
      <c r="F1051" s="13" t="s">
        <v>22</v>
      </c>
      <c r="G1051" s="15">
        <v>1285.53</v>
      </c>
      <c r="H1051" s="15">
        <v>1285.53</v>
      </c>
      <c r="I1051" s="13">
        <v>6</v>
      </c>
      <c r="J1051" s="13">
        <v>6</v>
      </c>
      <c r="K1051" s="13" t="s">
        <v>15</v>
      </c>
      <c r="L1051" s="15">
        <v>214.255</v>
      </c>
      <c r="M1051" s="16">
        <v>214.255</v>
      </c>
    </row>
    <row r="1052" spans="1:13" s="5" customFormat="1" x14ac:dyDescent="0.25">
      <c r="A1052" s="12" t="s">
        <v>2061</v>
      </c>
      <c r="B1052" s="13" t="s">
        <v>2062</v>
      </c>
      <c r="C1052" s="14">
        <v>45141</v>
      </c>
      <c r="D1052" s="13">
        <v>2023</v>
      </c>
      <c r="E1052" s="13" t="s">
        <v>10</v>
      </c>
      <c r="F1052" s="13" t="s">
        <v>22</v>
      </c>
      <c r="G1052" s="15">
        <v>395.61</v>
      </c>
      <c r="H1052" s="15">
        <v>395.61</v>
      </c>
      <c r="I1052" s="13">
        <v>10</v>
      </c>
      <c r="J1052" s="13">
        <v>10</v>
      </c>
      <c r="K1052" s="13" t="s">
        <v>3348</v>
      </c>
      <c r="L1052" s="15">
        <v>39.561</v>
      </c>
      <c r="M1052" s="16">
        <v>39.561</v>
      </c>
    </row>
    <row r="1053" spans="1:13" s="5" customFormat="1" x14ac:dyDescent="0.25">
      <c r="A1053" s="12" t="s">
        <v>2063</v>
      </c>
      <c r="B1053" s="13" t="s">
        <v>2064</v>
      </c>
      <c r="C1053" s="14">
        <v>45238</v>
      </c>
      <c r="D1053" s="13">
        <v>2023</v>
      </c>
      <c r="E1053" s="13" t="s">
        <v>10</v>
      </c>
      <c r="F1053" s="13" t="s">
        <v>22</v>
      </c>
      <c r="G1053" s="15">
        <v>2204.9461666666666</v>
      </c>
      <c r="H1053" s="15">
        <v>2204.9461666666666</v>
      </c>
      <c r="I1053" s="13">
        <v>7</v>
      </c>
      <c r="J1053" s="13">
        <v>7</v>
      </c>
      <c r="K1053" s="13" t="s">
        <v>3346</v>
      </c>
      <c r="L1053" s="15">
        <v>314.99230952380952</v>
      </c>
      <c r="M1053" s="16">
        <v>314.99230952380952</v>
      </c>
    </row>
    <row r="1054" spans="1:13" s="5" customFormat="1" x14ac:dyDescent="0.25">
      <c r="A1054" s="12" t="s">
        <v>2065</v>
      </c>
      <c r="B1054" s="13" t="s">
        <v>2066</v>
      </c>
      <c r="C1054" s="14">
        <v>45520</v>
      </c>
      <c r="D1054" s="13">
        <v>2024</v>
      </c>
      <c r="E1054" s="13" t="s">
        <v>21</v>
      </c>
      <c r="F1054" s="13" t="s">
        <v>22</v>
      </c>
      <c r="G1054" s="15">
        <v>3431.5901904761904</v>
      </c>
      <c r="H1054" s="15">
        <v>3431.5901904761904</v>
      </c>
      <c r="I1054" s="13">
        <v>8</v>
      </c>
      <c r="J1054" s="13">
        <v>8</v>
      </c>
      <c r="K1054" s="13" t="s">
        <v>3348</v>
      </c>
      <c r="L1054" s="15">
        <v>428.9487738095238</v>
      </c>
      <c r="M1054" s="16">
        <v>428.9487738095238</v>
      </c>
    </row>
    <row r="1055" spans="1:13" s="5" customFormat="1" x14ac:dyDescent="0.25">
      <c r="A1055" s="12" t="s">
        <v>2067</v>
      </c>
      <c r="B1055" s="13" t="s">
        <v>2068</v>
      </c>
      <c r="C1055" s="14">
        <v>45871</v>
      </c>
      <c r="D1055" s="13">
        <v>2025</v>
      </c>
      <c r="E1055" s="13" t="s">
        <v>10</v>
      </c>
      <c r="F1055" s="13" t="s">
        <v>11</v>
      </c>
      <c r="G1055" s="15">
        <v>411.81</v>
      </c>
      <c r="H1055" s="15">
        <v>411.81</v>
      </c>
      <c r="I1055" s="13">
        <v>3</v>
      </c>
      <c r="J1055" s="13">
        <v>3</v>
      </c>
      <c r="K1055" s="13" t="s">
        <v>3348</v>
      </c>
      <c r="L1055" s="15">
        <v>137.27000000000001</v>
      </c>
      <c r="M1055" s="16">
        <v>137.27000000000001</v>
      </c>
    </row>
    <row r="1056" spans="1:13" s="5" customFormat="1" x14ac:dyDescent="0.25">
      <c r="A1056" s="12" t="s">
        <v>2069</v>
      </c>
      <c r="B1056" s="13" t="s">
        <v>2070</v>
      </c>
      <c r="C1056" s="14">
        <v>45379</v>
      </c>
      <c r="D1056" s="13">
        <v>2024</v>
      </c>
      <c r="E1056" s="13" t="s">
        <v>3347</v>
      </c>
      <c r="F1056" s="13" t="s">
        <v>11</v>
      </c>
      <c r="G1056" s="15">
        <v>1664.88</v>
      </c>
      <c r="H1056" s="15">
        <v>1664.88</v>
      </c>
      <c r="I1056" s="13">
        <v>1</v>
      </c>
      <c r="J1056" s="13">
        <v>1</v>
      </c>
      <c r="K1056" s="13" t="s">
        <v>3348</v>
      </c>
      <c r="L1056" s="15">
        <v>1664.88</v>
      </c>
      <c r="M1056" s="16">
        <v>1664.88</v>
      </c>
    </row>
    <row r="1057" spans="1:13" s="5" customFormat="1" x14ac:dyDescent="0.25">
      <c r="A1057" s="12" t="s">
        <v>2071</v>
      </c>
      <c r="B1057" s="13" t="s">
        <v>2072</v>
      </c>
      <c r="C1057" s="14">
        <v>45388</v>
      </c>
      <c r="D1057" s="13">
        <v>2024</v>
      </c>
      <c r="E1057" s="13" t="s">
        <v>3347</v>
      </c>
      <c r="F1057" s="13" t="s">
        <v>34</v>
      </c>
      <c r="G1057" s="15">
        <v>238.49</v>
      </c>
      <c r="H1057" s="15">
        <v>238.49</v>
      </c>
      <c r="I1057" s="13">
        <v>6</v>
      </c>
      <c r="J1057" s="13">
        <v>6</v>
      </c>
      <c r="K1057" s="13" t="s">
        <v>3346</v>
      </c>
      <c r="L1057" s="15">
        <v>39.748333333333335</v>
      </c>
      <c r="M1057" s="16">
        <v>39.748333333333335</v>
      </c>
    </row>
    <row r="1058" spans="1:13" s="5" customFormat="1" x14ac:dyDescent="0.25">
      <c r="A1058" s="12" t="s">
        <v>2073</v>
      </c>
      <c r="B1058" s="13" t="s">
        <v>2074</v>
      </c>
      <c r="C1058" s="14">
        <v>45945</v>
      </c>
      <c r="D1058" s="13">
        <v>2025</v>
      </c>
      <c r="E1058" s="13" t="s">
        <v>14</v>
      </c>
      <c r="F1058" s="13" t="s">
        <v>11</v>
      </c>
      <c r="G1058" s="15">
        <v>1482.77</v>
      </c>
      <c r="H1058" s="15">
        <v>1482.77</v>
      </c>
      <c r="I1058" s="13">
        <v>9</v>
      </c>
      <c r="J1058" s="13">
        <v>9</v>
      </c>
      <c r="K1058" s="13" t="s">
        <v>35</v>
      </c>
      <c r="L1058" s="15">
        <v>164.75222222222223</v>
      </c>
      <c r="M1058" s="16">
        <v>164.75222222222223</v>
      </c>
    </row>
    <row r="1059" spans="1:13" s="5" customFormat="1" x14ac:dyDescent="0.25">
      <c r="A1059" s="12" t="s">
        <v>2075</v>
      </c>
      <c r="B1059" s="13" t="s">
        <v>2076</v>
      </c>
      <c r="C1059" s="14">
        <v>45860</v>
      </c>
      <c r="D1059" s="13">
        <v>2025</v>
      </c>
      <c r="E1059" s="13" t="s">
        <v>21</v>
      </c>
      <c r="F1059" s="13" t="s">
        <v>34</v>
      </c>
      <c r="G1059" s="15">
        <v>1771.01</v>
      </c>
      <c r="H1059" s="15">
        <v>1771.01</v>
      </c>
      <c r="I1059" s="13">
        <v>4</v>
      </c>
      <c r="J1059" s="13">
        <v>4</v>
      </c>
      <c r="K1059" s="13" t="s">
        <v>18</v>
      </c>
      <c r="L1059" s="15">
        <v>442.7525</v>
      </c>
      <c r="M1059" s="16">
        <v>442.7525</v>
      </c>
    </row>
    <row r="1060" spans="1:13" s="5" customFormat="1" x14ac:dyDescent="0.25">
      <c r="A1060" s="12" t="s">
        <v>2077</v>
      </c>
      <c r="B1060" s="13" t="s">
        <v>2078</v>
      </c>
      <c r="C1060" s="14">
        <v>45592</v>
      </c>
      <c r="D1060" s="13">
        <v>2024</v>
      </c>
      <c r="E1060" s="13" t="s">
        <v>21</v>
      </c>
      <c r="F1060" s="13" t="s">
        <v>22</v>
      </c>
      <c r="G1060" s="15">
        <v>617.27</v>
      </c>
      <c r="H1060" s="15">
        <v>617.27</v>
      </c>
      <c r="I1060" s="13">
        <v>3</v>
      </c>
      <c r="J1060" s="13">
        <v>3</v>
      </c>
      <c r="K1060" s="13" t="s">
        <v>3348</v>
      </c>
      <c r="L1060" s="15">
        <v>205.75666666666666</v>
      </c>
      <c r="M1060" s="16">
        <v>205.75666666666666</v>
      </c>
    </row>
    <row r="1061" spans="1:13" s="5" customFormat="1" x14ac:dyDescent="0.25">
      <c r="A1061" s="12" t="s">
        <v>2079</v>
      </c>
      <c r="B1061" s="13" t="s">
        <v>2080</v>
      </c>
      <c r="C1061" s="14">
        <v>45682</v>
      </c>
      <c r="D1061" s="13">
        <v>2025</v>
      </c>
      <c r="E1061" s="13" t="s">
        <v>10</v>
      </c>
      <c r="F1061" s="13" t="s">
        <v>22</v>
      </c>
      <c r="G1061" s="15">
        <v>1874.96</v>
      </c>
      <c r="H1061" s="15">
        <v>1874.96</v>
      </c>
      <c r="I1061" s="13">
        <v>15</v>
      </c>
      <c r="J1061" s="13">
        <v>10</v>
      </c>
      <c r="K1061" s="13" t="s">
        <v>15</v>
      </c>
      <c r="L1061" s="15">
        <v>124.99733333333333</v>
      </c>
      <c r="M1061" s="16">
        <v>122.94596296296295</v>
      </c>
    </row>
    <row r="1062" spans="1:13" s="5" customFormat="1" x14ac:dyDescent="0.25">
      <c r="A1062" s="12" t="s">
        <v>2081</v>
      </c>
      <c r="B1062" s="13" t="s">
        <v>2082</v>
      </c>
      <c r="C1062" s="14">
        <v>44947</v>
      </c>
      <c r="D1062" s="13">
        <v>2023</v>
      </c>
      <c r="E1062" s="13" t="s">
        <v>3347</v>
      </c>
      <c r="F1062" s="13" t="s">
        <v>25</v>
      </c>
      <c r="G1062" s="15">
        <v>1210.58</v>
      </c>
      <c r="H1062" s="15">
        <v>1210.58</v>
      </c>
      <c r="I1062" s="13">
        <v>9</v>
      </c>
      <c r="J1062" s="13">
        <v>9</v>
      </c>
      <c r="K1062" s="13" t="s">
        <v>18</v>
      </c>
      <c r="L1062" s="15">
        <v>134.50888888888889</v>
      </c>
      <c r="M1062" s="16">
        <v>134.50888888888889</v>
      </c>
    </row>
    <row r="1063" spans="1:13" s="5" customFormat="1" x14ac:dyDescent="0.25">
      <c r="A1063" s="12" t="s">
        <v>2083</v>
      </c>
      <c r="B1063" s="13" t="s">
        <v>2084</v>
      </c>
      <c r="C1063" s="14">
        <v>45348</v>
      </c>
      <c r="D1063" s="13">
        <v>2024</v>
      </c>
      <c r="E1063" s="13" t="s">
        <v>10</v>
      </c>
      <c r="F1063" s="13" t="s">
        <v>25</v>
      </c>
      <c r="G1063" s="15">
        <v>2636.34</v>
      </c>
      <c r="H1063" s="15">
        <v>2636.34</v>
      </c>
      <c r="I1063" s="13">
        <v>8</v>
      </c>
      <c r="J1063" s="13">
        <v>8</v>
      </c>
      <c r="K1063" s="13" t="s">
        <v>3348</v>
      </c>
      <c r="L1063" s="15">
        <v>329.54250000000002</v>
      </c>
      <c r="M1063" s="16">
        <v>329.54250000000002</v>
      </c>
    </row>
    <row r="1064" spans="1:13" s="5" customFormat="1" x14ac:dyDescent="0.25">
      <c r="A1064" s="12" t="s">
        <v>2085</v>
      </c>
      <c r="B1064" s="13" t="s">
        <v>2086</v>
      </c>
      <c r="C1064" s="14">
        <v>45564</v>
      </c>
      <c r="D1064" s="13">
        <v>2024</v>
      </c>
      <c r="E1064" s="13" t="s">
        <v>21</v>
      </c>
      <c r="F1064" s="13" t="s">
        <v>34</v>
      </c>
      <c r="G1064" s="15">
        <v>755.55</v>
      </c>
      <c r="H1064" s="15">
        <v>755.55</v>
      </c>
      <c r="I1064" s="13">
        <v>5</v>
      </c>
      <c r="J1064" s="13">
        <v>5</v>
      </c>
      <c r="K1064" s="13" t="s">
        <v>3348</v>
      </c>
      <c r="L1064" s="15">
        <v>151.10999999999999</v>
      </c>
      <c r="M1064" s="16">
        <v>151.10999999999999</v>
      </c>
    </row>
    <row r="1065" spans="1:13" s="5" customFormat="1" x14ac:dyDescent="0.25">
      <c r="A1065" s="12" t="s">
        <v>2087</v>
      </c>
      <c r="B1065" s="13" t="s">
        <v>2088</v>
      </c>
      <c r="C1065" s="14">
        <v>44950</v>
      </c>
      <c r="D1065" s="13">
        <v>2023</v>
      </c>
      <c r="E1065" s="13" t="s">
        <v>3347</v>
      </c>
      <c r="F1065" s="13" t="s">
        <v>11</v>
      </c>
      <c r="G1065" s="15">
        <v>317.94428571428574</v>
      </c>
      <c r="H1065" s="15">
        <v>317.94428571428574</v>
      </c>
      <c r="I1065" s="13">
        <v>3</v>
      </c>
      <c r="J1065" s="13">
        <v>3</v>
      </c>
      <c r="K1065" s="13" t="s">
        <v>3348</v>
      </c>
      <c r="L1065" s="15">
        <v>105.98142857142858</v>
      </c>
      <c r="M1065" s="16">
        <v>105.98142857142858</v>
      </c>
    </row>
    <row r="1066" spans="1:13" s="5" customFormat="1" x14ac:dyDescent="0.25">
      <c r="A1066" s="12" t="s">
        <v>2089</v>
      </c>
      <c r="B1066" s="13" t="s">
        <v>1360</v>
      </c>
      <c r="C1066" s="14">
        <v>44868</v>
      </c>
      <c r="D1066" s="13">
        <v>2022</v>
      </c>
      <c r="E1066" s="13" t="s">
        <v>10</v>
      </c>
      <c r="F1066" s="13" t="s">
        <v>34</v>
      </c>
      <c r="G1066" s="15">
        <v>52.5</v>
      </c>
      <c r="H1066" s="15">
        <v>52.5</v>
      </c>
      <c r="I1066" s="13">
        <v>2</v>
      </c>
      <c r="J1066" s="13">
        <v>2</v>
      </c>
      <c r="K1066" s="13" t="s">
        <v>35</v>
      </c>
      <c r="L1066" s="15">
        <v>26.25</v>
      </c>
      <c r="M1066" s="16">
        <v>26.25</v>
      </c>
    </row>
    <row r="1067" spans="1:13" s="5" customFormat="1" x14ac:dyDescent="0.25">
      <c r="A1067" s="12" t="s">
        <v>2090</v>
      </c>
      <c r="B1067" s="13" t="s">
        <v>2091</v>
      </c>
      <c r="C1067" s="14">
        <v>45734</v>
      </c>
      <c r="D1067" s="13">
        <v>2025</v>
      </c>
      <c r="E1067" s="13" t="s">
        <v>10</v>
      </c>
      <c r="F1067" s="13" t="s">
        <v>25</v>
      </c>
      <c r="G1067" s="15">
        <v>503.77</v>
      </c>
      <c r="H1067" s="15">
        <v>503.77</v>
      </c>
      <c r="I1067" s="13">
        <v>3</v>
      </c>
      <c r="J1067" s="13">
        <v>3</v>
      </c>
      <c r="K1067" s="13" t="s">
        <v>3346</v>
      </c>
      <c r="L1067" s="15">
        <v>167.92333333333332</v>
      </c>
      <c r="M1067" s="16">
        <v>167.92333333333332</v>
      </c>
    </row>
    <row r="1068" spans="1:13" s="5" customFormat="1" x14ac:dyDescent="0.25">
      <c r="A1068" s="12" t="s">
        <v>2092</v>
      </c>
      <c r="B1068" s="13" t="s">
        <v>804</v>
      </c>
      <c r="C1068" s="14">
        <v>45464</v>
      </c>
      <c r="D1068" s="13">
        <v>2024</v>
      </c>
      <c r="E1068" s="13" t="s">
        <v>21</v>
      </c>
      <c r="F1068" s="13" t="s">
        <v>25</v>
      </c>
      <c r="G1068" s="15">
        <v>261.8669523809524</v>
      </c>
      <c r="H1068" s="15">
        <v>261.8669523809524</v>
      </c>
      <c r="I1068" s="13">
        <v>2</v>
      </c>
      <c r="J1068" s="13">
        <v>2</v>
      </c>
      <c r="K1068" s="13" t="s">
        <v>35</v>
      </c>
      <c r="L1068" s="15">
        <v>130.9334761904762</v>
      </c>
      <c r="M1068" s="16">
        <v>130.9334761904762</v>
      </c>
    </row>
    <row r="1069" spans="1:13" s="5" customFormat="1" x14ac:dyDescent="0.25">
      <c r="A1069" s="12" t="s">
        <v>2093</v>
      </c>
      <c r="B1069" s="13" t="s">
        <v>2094</v>
      </c>
      <c r="C1069" s="14">
        <v>44896</v>
      </c>
      <c r="D1069" s="13">
        <v>2022</v>
      </c>
      <c r="E1069" s="13" t="s">
        <v>14</v>
      </c>
      <c r="F1069" s="13" t="s">
        <v>25</v>
      </c>
      <c r="G1069" s="15">
        <v>1242.82</v>
      </c>
      <c r="H1069" s="15">
        <v>1242.82</v>
      </c>
      <c r="I1069" s="13">
        <v>48</v>
      </c>
      <c r="J1069" s="13">
        <v>10</v>
      </c>
      <c r="K1069" s="13" t="s">
        <v>3346</v>
      </c>
      <c r="L1069" s="15">
        <v>25.892083333333332</v>
      </c>
      <c r="M1069" s="16">
        <v>25.735714285714288</v>
      </c>
    </row>
    <row r="1070" spans="1:13" s="5" customFormat="1" x14ac:dyDescent="0.25">
      <c r="A1070" s="12" t="s">
        <v>2095</v>
      </c>
      <c r="B1070" s="13" t="s">
        <v>2096</v>
      </c>
      <c r="C1070" s="14">
        <v>45024</v>
      </c>
      <c r="D1070" s="13">
        <v>2023</v>
      </c>
      <c r="E1070" s="13" t="s">
        <v>14</v>
      </c>
      <c r="F1070" s="13" t="s">
        <v>25</v>
      </c>
      <c r="G1070" s="15">
        <v>3947.7228571428559</v>
      </c>
      <c r="H1070" s="15">
        <v>3548.2821388888883</v>
      </c>
      <c r="I1070" s="13">
        <v>6</v>
      </c>
      <c r="J1070" s="13">
        <v>6</v>
      </c>
      <c r="K1070" s="13" t="s">
        <v>15</v>
      </c>
      <c r="L1070" s="15">
        <v>657.95380952380935</v>
      </c>
      <c r="M1070" s="16">
        <v>657.95380952380935</v>
      </c>
    </row>
    <row r="1071" spans="1:13" s="5" customFormat="1" x14ac:dyDescent="0.25">
      <c r="A1071" s="12" t="s">
        <v>2097</v>
      </c>
      <c r="B1071" s="13" t="s">
        <v>2098</v>
      </c>
      <c r="C1071" s="14">
        <v>45202</v>
      </c>
      <c r="D1071" s="13">
        <v>2023</v>
      </c>
      <c r="E1071" s="13" t="s">
        <v>10</v>
      </c>
      <c r="F1071" s="13" t="s">
        <v>25</v>
      </c>
      <c r="G1071" s="15">
        <v>426.54</v>
      </c>
      <c r="H1071" s="15">
        <v>426.54</v>
      </c>
      <c r="I1071" s="13">
        <v>4</v>
      </c>
      <c r="J1071" s="13">
        <v>4</v>
      </c>
      <c r="K1071" s="13" t="s">
        <v>3346</v>
      </c>
      <c r="L1071" s="15">
        <v>106.63500000000001</v>
      </c>
      <c r="M1071" s="16">
        <v>106.63500000000001</v>
      </c>
    </row>
    <row r="1072" spans="1:13" s="5" customFormat="1" x14ac:dyDescent="0.25">
      <c r="A1072" s="12" t="s">
        <v>2099</v>
      </c>
      <c r="B1072" s="13" t="s">
        <v>2100</v>
      </c>
      <c r="C1072" s="14">
        <v>45726</v>
      </c>
      <c r="D1072" s="13">
        <v>2025</v>
      </c>
      <c r="E1072" s="13" t="s">
        <v>14</v>
      </c>
      <c r="F1072" s="13" t="s">
        <v>22</v>
      </c>
      <c r="G1072" s="15">
        <v>824.98</v>
      </c>
      <c r="H1072" s="15">
        <v>824.98</v>
      </c>
      <c r="I1072" s="13">
        <v>7</v>
      </c>
      <c r="J1072" s="13">
        <v>7</v>
      </c>
      <c r="K1072" s="13" t="s">
        <v>3346</v>
      </c>
      <c r="L1072" s="15">
        <v>117.85428571428572</v>
      </c>
      <c r="M1072" s="16">
        <v>117.85428571428572</v>
      </c>
    </row>
    <row r="1073" spans="1:13" s="5" customFormat="1" x14ac:dyDescent="0.25">
      <c r="A1073" s="12" t="s">
        <v>2101</v>
      </c>
      <c r="B1073" s="13" t="s">
        <v>2102</v>
      </c>
      <c r="C1073" s="14">
        <v>45138</v>
      </c>
      <c r="D1073" s="13">
        <v>2023</v>
      </c>
      <c r="E1073" s="13" t="s">
        <v>3347</v>
      </c>
      <c r="F1073" s="13" t="s">
        <v>34</v>
      </c>
      <c r="G1073" s="15">
        <v>442.05</v>
      </c>
      <c r="H1073" s="15">
        <v>442.05</v>
      </c>
      <c r="I1073" s="13">
        <v>2</v>
      </c>
      <c r="J1073" s="13">
        <v>2</v>
      </c>
      <c r="K1073" s="13" t="s">
        <v>18</v>
      </c>
      <c r="L1073" s="15">
        <v>221.02500000000001</v>
      </c>
      <c r="M1073" s="16">
        <v>214.34435648148147</v>
      </c>
    </row>
    <row r="1074" spans="1:13" s="5" customFormat="1" x14ac:dyDescent="0.25">
      <c r="A1074" s="12" t="s">
        <v>2103</v>
      </c>
      <c r="B1074" s="13" t="s">
        <v>2104</v>
      </c>
      <c r="C1074" s="14">
        <v>44957</v>
      </c>
      <c r="D1074" s="13">
        <v>2023</v>
      </c>
      <c r="E1074" s="13" t="s">
        <v>21</v>
      </c>
      <c r="F1074" s="13" t="s">
        <v>11</v>
      </c>
      <c r="G1074" s="15">
        <v>1795.33375</v>
      </c>
      <c r="H1074" s="15">
        <v>1795.33375</v>
      </c>
      <c r="I1074" s="13">
        <v>2</v>
      </c>
      <c r="J1074" s="13">
        <v>2</v>
      </c>
      <c r="K1074" s="13" t="s">
        <v>18</v>
      </c>
      <c r="L1074" s="15">
        <v>897.666875</v>
      </c>
      <c r="M1074" s="16">
        <v>897.666875</v>
      </c>
    </row>
    <row r="1075" spans="1:13" s="5" customFormat="1" x14ac:dyDescent="0.25">
      <c r="A1075" s="12" t="s">
        <v>2105</v>
      </c>
      <c r="B1075" s="13" t="s">
        <v>1588</v>
      </c>
      <c r="C1075" s="14">
        <v>45480</v>
      </c>
      <c r="D1075" s="13">
        <v>2024</v>
      </c>
      <c r="E1075" s="13" t="s">
        <v>3347</v>
      </c>
      <c r="F1075" s="13" t="s">
        <v>11</v>
      </c>
      <c r="G1075" s="15">
        <v>1845.77</v>
      </c>
      <c r="H1075" s="15">
        <v>1845.77</v>
      </c>
      <c r="I1075" s="13">
        <v>12</v>
      </c>
      <c r="J1075" s="13">
        <v>10</v>
      </c>
      <c r="K1075" s="13" t="s">
        <v>15</v>
      </c>
      <c r="L1075" s="15">
        <v>153.81416666666667</v>
      </c>
      <c r="M1075" s="16">
        <v>152.94691534391535</v>
      </c>
    </row>
    <row r="1076" spans="1:13" s="5" customFormat="1" x14ac:dyDescent="0.25">
      <c r="A1076" s="12" t="s">
        <v>2106</v>
      </c>
      <c r="B1076" s="13" t="s">
        <v>2107</v>
      </c>
      <c r="C1076" s="14">
        <v>45118</v>
      </c>
      <c r="D1076" s="13">
        <v>2023</v>
      </c>
      <c r="E1076" s="13" t="s">
        <v>14</v>
      </c>
      <c r="F1076" s="13" t="s">
        <v>22</v>
      </c>
      <c r="G1076" s="15">
        <v>1392.1</v>
      </c>
      <c r="H1076" s="15">
        <v>1392.1</v>
      </c>
      <c r="I1076" s="13">
        <v>7</v>
      </c>
      <c r="J1076" s="13">
        <v>7</v>
      </c>
      <c r="K1076" s="13" t="s">
        <v>35</v>
      </c>
      <c r="L1076" s="15">
        <v>198.87142857142857</v>
      </c>
      <c r="M1076" s="16">
        <v>198.87142857142857</v>
      </c>
    </row>
    <row r="1077" spans="1:13" s="5" customFormat="1" x14ac:dyDescent="0.25">
      <c r="A1077" s="12" t="s">
        <v>2108</v>
      </c>
      <c r="B1077" s="13" t="s">
        <v>2109</v>
      </c>
      <c r="C1077" s="14">
        <v>45894</v>
      </c>
      <c r="D1077" s="13">
        <v>2025</v>
      </c>
      <c r="E1077" s="13" t="s">
        <v>10</v>
      </c>
      <c r="F1077" s="13" t="s">
        <v>11</v>
      </c>
      <c r="G1077" s="15">
        <v>1030.82</v>
      </c>
      <c r="H1077" s="15">
        <v>1030.82</v>
      </c>
      <c r="I1077" s="13">
        <v>9</v>
      </c>
      <c r="J1077" s="13">
        <v>9</v>
      </c>
      <c r="K1077" s="13" t="s">
        <v>18</v>
      </c>
      <c r="L1077" s="15">
        <v>114.53555555555555</v>
      </c>
      <c r="M1077" s="16">
        <v>115.62282208994709</v>
      </c>
    </row>
    <row r="1078" spans="1:13" s="5" customFormat="1" x14ac:dyDescent="0.25">
      <c r="A1078" s="12" t="s">
        <v>2110</v>
      </c>
      <c r="B1078" s="13" t="s">
        <v>2111</v>
      </c>
      <c r="C1078" s="14">
        <v>45513</v>
      </c>
      <c r="D1078" s="13">
        <v>2024</v>
      </c>
      <c r="E1078" s="13" t="s">
        <v>21</v>
      </c>
      <c r="F1078" s="13" t="s">
        <v>25</v>
      </c>
      <c r="G1078" s="15">
        <v>1163.22</v>
      </c>
      <c r="H1078" s="15">
        <v>1163.22</v>
      </c>
      <c r="I1078" s="13">
        <v>6</v>
      </c>
      <c r="J1078" s="13">
        <v>6</v>
      </c>
      <c r="K1078" s="13" t="s">
        <v>15</v>
      </c>
      <c r="L1078" s="15">
        <v>193.87</v>
      </c>
      <c r="M1078" s="16">
        <v>193.87</v>
      </c>
    </row>
    <row r="1079" spans="1:13" s="5" customFormat="1" x14ac:dyDescent="0.25">
      <c r="A1079" s="12" t="s">
        <v>2112</v>
      </c>
      <c r="B1079" s="13" t="s">
        <v>2113</v>
      </c>
      <c r="C1079" s="14">
        <v>45809</v>
      </c>
      <c r="D1079" s="13">
        <v>2025</v>
      </c>
      <c r="E1079" s="13" t="s">
        <v>14</v>
      </c>
      <c r="F1079" s="13" t="s">
        <v>34</v>
      </c>
      <c r="G1079" s="15">
        <v>1502.06</v>
      </c>
      <c r="H1079" s="15">
        <v>1502.06</v>
      </c>
      <c r="I1079" s="13">
        <v>8</v>
      </c>
      <c r="J1079" s="13">
        <v>8</v>
      </c>
      <c r="K1079" s="13" t="s">
        <v>3348</v>
      </c>
      <c r="L1079" s="15">
        <v>187.75749999999999</v>
      </c>
      <c r="M1079" s="16">
        <v>187.75749999999999</v>
      </c>
    </row>
    <row r="1080" spans="1:13" s="5" customFormat="1" x14ac:dyDescent="0.25">
      <c r="A1080" s="12" t="s">
        <v>2114</v>
      </c>
      <c r="B1080" s="13" t="s">
        <v>2115</v>
      </c>
      <c r="C1080" s="14">
        <v>44925</v>
      </c>
      <c r="D1080" s="13">
        <v>2022</v>
      </c>
      <c r="E1080" s="13" t="s">
        <v>10</v>
      </c>
      <c r="F1080" s="13" t="s">
        <v>34</v>
      </c>
      <c r="G1080" s="15">
        <v>1435.88</v>
      </c>
      <c r="H1080" s="15">
        <v>1435.88</v>
      </c>
      <c r="I1080" s="13">
        <v>9</v>
      </c>
      <c r="J1080" s="13">
        <v>9</v>
      </c>
      <c r="K1080" s="13" t="s">
        <v>3346</v>
      </c>
      <c r="L1080" s="15">
        <v>159.54222222222222</v>
      </c>
      <c r="M1080" s="16">
        <v>159.54222222222222</v>
      </c>
    </row>
    <row r="1081" spans="1:13" s="5" customFormat="1" x14ac:dyDescent="0.25">
      <c r="A1081" s="12" t="s">
        <v>2116</v>
      </c>
      <c r="B1081" s="13" t="s">
        <v>2117</v>
      </c>
      <c r="C1081" s="14">
        <v>44999</v>
      </c>
      <c r="D1081" s="13">
        <v>2023</v>
      </c>
      <c r="E1081" s="13" t="s">
        <v>21</v>
      </c>
      <c r="F1081" s="13" t="s">
        <v>34</v>
      </c>
      <c r="G1081" s="15">
        <v>35.19</v>
      </c>
      <c r="H1081" s="15">
        <v>35.19</v>
      </c>
      <c r="I1081" s="13">
        <v>2</v>
      </c>
      <c r="J1081" s="13">
        <v>2</v>
      </c>
      <c r="K1081" s="13" t="s">
        <v>15</v>
      </c>
      <c r="L1081" s="15">
        <v>17.594999999999999</v>
      </c>
      <c r="M1081" s="16">
        <v>17.594999999999999</v>
      </c>
    </row>
    <row r="1082" spans="1:13" s="5" customFormat="1" x14ac:dyDescent="0.25">
      <c r="A1082" s="12" t="s">
        <v>2118</v>
      </c>
      <c r="B1082" s="13" t="s">
        <v>2119</v>
      </c>
      <c r="C1082" s="14">
        <v>45381</v>
      </c>
      <c r="D1082" s="13">
        <v>2024</v>
      </c>
      <c r="E1082" s="13" t="s">
        <v>3347</v>
      </c>
      <c r="F1082" s="13" t="s">
        <v>22</v>
      </c>
      <c r="G1082" s="15">
        <v>164.27017777777775</v>
      </c>
      <c r="H1082" s="15">
        <v>164.27017777777775</v>
      </c>
      <c r="I1082" s="13">
        <v>1</v>
      </c>
      <c r="J1082" s="13">
        <v>1</v>
      </c>
      <c r="K1082" s="13" t="s">
        <v>18</v>
      </c>
      <c r="L1082" s="15">
        <v>164.27017777777775</v>
      </c>
      <c r="M1082" s="16">
        <v>164.27017777777775</v>
      </c>
    </row>
    <row r="1083" spans="1:13" s="5" customFormat="1" x14ac:dyDescent="0.25">
      <c r="A1083" s="12" t="s">
        <v>2120</v>
      </c>
      <c r="B1083" s="13" t="s">
        <v>2121</v>
      </c>
      <c r="C1083" s="14">
        <v>45639</v>
      </c>
      <c r="D1083" s="13">
        <v>2024</v>
      </c>
      <c r="E1083" s="13" t="s">
        <v>3347</v>
      </c>
      <c r="F1083" s="13" t="s">
        <v>34</v>
      </c>
      <c r="G1083" s="15">
        <v>1082.54</v>
      </c>
      <c r="H1083" s="15">
        <v>1082.54</v>
      </c>
      <c r="I1083" s="13">
        <v>4</v>
      </c>
      <c r="J1083" s="13">
        <v>4</v>
      </c>
      <c r="K1083" s="13" t="s">
        <v>3348</v>
      </c>
      <c r="L1083" s="15">
        <v>270.63499999999999</v>
      </c>
      <c r="M1083" s="16">
        <v>270.63499999999999</v>
      </c>
    </row>
    <row r="1084" spans="1:13" s="5" customFormat="1" x14ac:dyDescent="0.25">
      <c r="A1084" s="12" t="s">
        <v>2122</v>
      </c>
      <c r="B1084" s="13" t="s">
        <v>2123</v>
      </c>
      <c r="C1084" s="14">
        <v>45502</v>
      </c>
      <c r="D1084" s="13">
        <v>2024</v>
      </c>
      <c r="E1084" s="13" t="s">
        <v>10</v>
      </c>
      <c r="F1084" s="13" t="s">
        <v>22</v>
      </c>
      <c r="G1084" s="15">
        <v>923.88</v>
      </c>
      <c r="H1084" s="15">
        <v>923.88</v>
      </c>
      <c r="I1084" s="13">
        <v>5</v>
      </c>
      <c r="J1084" s="13">
        <v>5</v>
      </c>
      <c r="K1084" s="13" t="s">
        <v>35</v>
      </c>
      <c r="L1084" s="15">
        <v>184.77600000000001</v>
      </c>
      <c r="M1084" s="16">
        <v>184.77600000000001</v>
      </c>
    </row>
    <row r="1085" spans="1:13" s="5" customFormat="1" x14ac:dyDescent="0.25">
      <c r="A1085" s="12" t="s">
        <v>2124</v>
      </c>
      <c r="B1085" s="13" t="s">
        <v>2125</v>
      </c>
      <c r="C1085" s="14">
        <v>45290</v>
      </c>
      <c r="D1085" s="13">
        <v>2023</v>
      </c>
      <c r="E1085" s="13" t="s">
        <v>3347</v>
      </c>
      <c r="F1085" s="13" t="s">
        <v>34</v>
      </c>
      <c r="G1085" s="15">
        <v>1820.06</v>
      </c>
      <c r="H1085" s="15">
        <v>1820.06</v>
      </c>
      <c r="I1085" s="13">
        <v>5</v>
      </c>
      <c r="J1085" s="13">
        <v>5</v>
      </c>
      <c r="K1085" s="13" t="s">
        <v>3348</v>
      </c>
      <c r="L1085" s="15">
        <v>364.012</v>
      </c>
      <c r="M1085" s="16">
        <v>364.012</v>
      </c>
    </row>
    <row r="1086" spans="1:13" s="5" customFormat="1" x14ac:dyDescent="0.25">
      <c r="A1086" s="12" t="s">
        <v>2126</v>
      </c>
      <c r="B1086" s="13" t="s">
        <v>2127</v>
      </c>
      <c r="C1086" s="14">
        <v>45743</v>
      </c>
      <c r="D1086" s="13">
        <v>2025</v>
      </c>
      <c r="E1086" s="13" t="s">
        <v>14</v>
      </c>
      <c r="F1086" s="13" t="s">
        <v>34</v>
      </c>
      <c r="G1086" s="15">
        <v>848.68</v>
      </c>
      <c r="H1086" s="15">
        <v>848.68</v>
      </c>
      <c r="I1086" s="13">
        <v>5</v>
      </c>
      <c r="J1086" s="13">
        <v>5</v>
      </c>
      <c r="K1086" s="13" t="s">
        <v>3346</v>
      </c>
      <c r="L1086" s="15">
        <v>169.73599999999999</v>
      </c>
      <c r="M1086" s="16">
        <v>169.73599999999999</v>
      </c>
    </row>
    <row r="1087" spans="1:13" s="5" customFormat="1" x14ac:dyDescent="0.25">
      <c r="A1087" s="12" t="s">
        <v>2128</v>
      </c>
      <c r="B1087" s="13" t="s">
        <v>2129</v>
      </c>
      <c r="C1087" s="14">
        <v>45572</v>
      </c>
      <c r="D1087" s="13">
        <v>2024</v>
      </c>
      <c r="E1087" s="13" t="s">
        <v>14</v>
      </c>
      <c r="F1087" s="13" t="s">
        <v>34</v>
      </c>
      <c r="G1087" s="15">
        <v>479.34</v>
      </c>
      <c r="H1087" s="15">
        <v>479.34</v>
      </c>
      <c r="I1087" s="13">
        <v>8</v>
      </c>
      <c r="J1087" s="13">
        <v>8</v>
      </c>
      <c r="K1087" s="13" t="s">
        <v>18</v>
      </c>
      <c r="L1087" s="15">
        <v>59.917499999999997</v>
      </c>
      <c r="M1087" s="16">
        <v>59.917499999999997</v>
      </c>
    </row>
    <row r="1088" spans="1:13" s="5" customFormat="1" x14ac:dyDescent="0.25">
      <c r="A1088" s="12" t="s">
        <v>2130</v>
      </c>
      <c r="B1088" s="13" t="s">
        <v>2131</v>
      </c>
      <c r="C1088" s="14">
        <v>45184</v>
      </c>
      <c r="D1088" s="13">
        <v>2023</v>
      </c>
      <c r="E1088" s="13" t="s">
        <v>10</v>
      </c>
      <c r="F1088" s="13" t="s">
        <v>25</v>
      </c>
      <c r="G1088" s="15">
        <v>1327.69</v>
      </c>
      <c r="H1088" s="15">
        <v>1327.69</v>
      </c>
      <c r="I1088" s="13">
        <v>7</v>
      </c>
      <c r="J1088" s="13">
        <v>7</v>
      </c>
      <c r="K1088" s="13" t="s">
        <v>35</v>
      </c>
      <c r="L1088" s="15">
        <v>189.67000000000002</v>
      </c>
      <c r="M1088" s="16">
        <v>189.67000000000002</v>
      </c>
    </row>
    <row r="1089" spans="1:13" s="5" customFormat="1" x14ac:dyDescent="0.25">
      <c r="A1089" s="12" t="s">
        <v>2132</v>
      </c>
      <c r="B1089" s="13" t="s">
        <v>2133</v>
      </c>
      <c r="C1089" s="14">
        <v>45875</v>
      </c>
      <c r="D1089" s="13">
        <v>2025</v>
      </c>
      <c r="E1089" s="13" t="s">
        <v>10</v>
      </c>
      <c r="F1089" s="13" t="s">
        <v>34</v>
      </c>
      <c r="G1089" s="15">
        <v>1640.02</v>
      </c>
      <c r="H1089" s="15">
        <v>1640.02</v>
      </c>
      <c r="I1089" s="13">
        <v>4</v>
      </c>
      <c r="J1089" s="13">
        <v>4</v>
      </c>
      <c r="K1089" s="13" t="s">
        <v>35</v>
      </c>
      <c r="L1089" s="15">
        <v>410.005</v>
      </c>
      <c r="M1089" s="16">
        <v>410.005</v>
      </c>
    </row>
    <row r="1090" spans="1:13" s="5" customFormat="1" x14ac:dyDescent="0.25">
      <c r="A1090" s="12" t="s">
        <v>2134</v>
      </c>
      <c r="B1090" s="13" t="s">
        <v>2135</v>
      </c>
      <c r="C1090" s="14">
        <v>44877</v>
      </c>
      <c r="D1090" s="13">
        <v>2022</v>
      </c>
      <c r="E1090" s="13" t="s">
        <v>21</v>
      </c>
      <c r="F1090" s="13" t="s">
        <v>22</v>
      </c>
      <c r="G1090" s="15">
        <v>648.8416666666667</v>
      </c>
      <c r="H1090" s="15">
        <v>648.8416666666667</v>
      </c>
      <c r="I1090" s="13">
        <v>7</v>
      </c>
      <c r="J1090" s="13">
        <v>7</v>
      </c>
      <c r="K1090" s="13" t="s">
        <v>3348</v>
      </c>
      <c r="L1090" s="15">
        <v>92.691666666666677</v>
      </c>
      <c r="M1090" s="16">
        <v>92.691666666666663</v>
      </c>
    </row>
    <row r="1091" spans="1:13" s="5" customFormat="1" x14ac:dyDescent="0.25">
      <c r="A1091" s="12" t="s">
        <v>2136</v>
      </c>
      <c r="B1091" s="13" t="s">
        <v>2137</v>
      </c>
      <c r="C1091" s="14">
        <v>45692</v>
      </c>
      <c r="D1091" s="13">
        <v>2025</v>
      </c>
      <c r="E1091" s="13" t="s">
        <v>10</v>
      </c>
      <c r="F1091" s="13" t="s">
        <v>11</v>
      </c>
      <c r="G1091" s="15">
        <v>1731.49</v>
      </c>
      <c r="H1091" s="15">
        <v>1731.49</v>
      </c>
      <c r="I1091" s="13">
        <v>1</v>
      </c>
      <c r="J1091" s="13">
        <v>1</v>
      </c>
      <c r="K1091" s="13" t="s">
        <v>3346</v>
      </c>
      <c r="L1091" s="15">
        <v>1731.49</v>
      </c>
      <c r="M1091" s="16">
        <v>1731.49</v>
      </c>
    </row>
    <row r="1092" spans="1:13" s="5" customFormat="1" x14ac:dyDescent="0.25">
      <c r="A1092" s="12" t="s">
        <v>2138</v>
      </c>
      <c r="B1092" s="13" t="s">
        <v>1338</v>
      </c>
      <c r="C1092" s="14">
        <v>44934</v>
      </c>
      <c r="D1092" s="13">
        <v>2023</v>
      </c>
      <c r="E1092" s="13" t="s">
        <v>21</v>
      </c>
      <c r="F1092" s="13" t="s">
        <v>25</v>
      </c>
      <c r="G1092" s="15">
        <v>193.89933333333337</v>
      </c>
      <c r="H1092" s="15">
        <v>193.89933333333337</v>
      </c>
      <c r="I1092" s="13">
        <v>2</v>
      </c>
      <c r="J1092" s="13">
        <v>2</v>
      </c>
      <c r="K1092" s="13" t="s">
        <v>18</v>
      </c>
      <c r="L1092" s="15">
        <v>96.949666666666687</v>
      </c>
      <c r="M1092" s="16">
        <v>96.949666666666687</v>
      </c>
    </row>
    <row r="1093" spans="1:13" s="5" customFormat="1" x14ac:dyDescent="0.25">
      <c r="A1093" s="12" t="s">
        <v>2139</v>
      </c>
      <c r="B1093" s="13" t="s">
        <v>2140</v>
      </c>
      <c r="C1093" s="14">
        <v>45873</v>
      </c>
      <c r="D1093" s="13">
        <v>2025</v>
      </c>
      <c r="E1093" s="13" t="s">
        <v>21</v>
      </c>
      <c r="F1093" s="13" t="s">
        <v>34</v>
      </c>
      <c r="G1093" s="15">
        <v>581.13</v>
      </c>
      <c r="H1093" s="15">
        <v>581.13</v>
      </c>
      <c r="I1093" s="13">
        <v>2</v>
      </c>
      <c r="J1093" s="13">
        <v>2</v>
      </c>
      <c r="K1093" s="13" t="s">
        <v>3348</v>
      </c>
      <c r="L1093" s="15">
        <v>290.565</v>
      </c>
      <c r="M1093" s="16">
        <v>290.565</v>
      </c>
    </row>
    <row r="1094" spans="1:13" s="5" customFormat="1" x14ac:dyDescent="0.25">
      <c r="A1094" s="12" t="s">
        <v>2141</v>
      </c>
      <c r="B1094" s="13" t="s">
        <v>2142</v>
      </c>
      <c r="C1094" s="14">
        <v>45256</v>
      </c>
      <c r="D1094" s="13">
        <v>2023</v>
      </c>
      <c r="E1094" s="13" t="s">
        <v>10</v>
      </c>
      <c r="F1094" s="13" t="s">
        <v>25</v>
      </c>
      <c r="G1094" s="15">
        <v>1003.8087857142857</v>
      </c>
      <c r="H1094" s="15">
        <v>1003.8087857142857</v>
      </c>
      <c r="I1094" s="13">
        <v>3</v>
      </c>
      <c r="J1094" s="13">
        <v>3</v>
      </c>
      <c r="K1094" s="13" t="s">
        <v>3348</v>
      </c>
      <c r="L1094" s="15">
        <v>334.60292857142855</v>
      </c>
      <c r="M1094" s="16">
        <v>334.60292857142855</v>
      </c>
    </row>
    <row r="1095" spans="1:13" s="5" customFormat="1" x14ac:dyDescent="0.25">
      <c r="A1095" s="12" t="s">
        <v>2143</v>
      </c>
      <c r="B1095" s="13" t="s">
        <v>2144</v>
      </c>
      <c r="C1095" s="14">
        <v>45168</v>
      </c>
      <c r="D1095" s="13">
        <v>2023</v>
      </c>
      <c r="E1095" s="13" t="s">
        <v>10</v>
      </c>
      <c r="F1095" s="13" t="s">
        <v>34</v>
      </c>
      <c r="G1095" s="15">
        <v>1190.1300000000001</v>
      </c>
      <c r="H1095" s="15">
        <v>1190.1300000000001</v>
      </c>
      <c r="I1095" s="13">
        <v>2</v>
      </c>
      <c r="J1095" s="13">
        <v>2</v>
      </c>
      <c r="K1095" s="13" t="s">
        <v>3346</v>
      </c>
      <c r="L1095" s="15">
        <v>595.06500000000005</v>
      </c>
      <c r="M1095" s="16">
        <v>595.06500000000005</v>
      </c>
    </row>
    <row r="1096" spans="1:13" s="5" customFormat="1" x14ac:dyDescent="0.25">
      <c r="A1096" s="12" t="s">
        <v>2145</v>
      </c>
      <c r="B1096" s="13" t="s">
        <v>73</v>
      </c>
      <c r="C1096" s="14">
        <v>45529</v>
      </c>
      <c r="D1096" s="13">
        <v>2024</v>
      </c>
      <c r="E1096" s="13" t="s">
        <v>21</v>
      </c>
      <c r="F1096" s="13" t="s">
        <v>22</v>
      </c>
      <c r="G1096" s="15">
        <v>689.31</v>
      </c>
      <c r="H1096" s="15">
        <v>689.31</v>
      </c>
      <c r="I1096" s="13">
        <v>5</v>
      </c>
      <c r="J1096" s="13">
        <v>5</v>
      </c>
      <c r="K1096" s="13" t="s">
        <v>3346</v>
      </c>
      <c r="L1096" s="15">
        <v>137.86199999999999</v>
      </c>
      <c r="M1096" s="16">
        <v>137.86199999999999</v>
      </c>
    </row>
    <row r="1097" spans="1:13" s="5" customFormat="1" x14ac:dyDescent="0.25">
      <c r="A1097" s="12" t="s">
        <v>2146</v>
      </c>
      <c r="B1097" s="13" t="s">
        <v>307</v>
      </c>
      <c r="C1097" s="14">
        <v>45009</v>
      </c>
      <c r="D1097" s="13">
        <v>2023</v>
      </c>
      <c r="E1097" s="13" t="s">
        <v>21</v>
      </c>
      <c r="F1097" s="13" t="s">
        <v>11</v>
      </c>
      <c r="G1097" s="15">
        <v>534.1</v>
      </c>
      <c r="H1097" s="15">
        <v>534.1</v>
      </c>
      <c r="I1097" s="13">
        <v>4</v>
      </c>
      <c r="J1097" s="13">
        <v>4</v>
      </c>
      <c r="K1097" s="13" t="s">
        <v>35</v>
      </c>
      <c r="L1097" s="15">
        <v>133.52500000000001</v>
      </c>
      <c r="M1097" s="16">
        <v>133.52500000000001</v>
      </c>
    </row>
    <row r="1098" spans="1:13" s="5" customFormat="1" x14ac:dyDescent="0.25">
      <c r="A1098" s="12" t="s">
        <v>2147</v>
      </c>
      <c r="B1098" s="13" t="s">
        <v>2148</v>
      </c>
      <c r="C1098" s="14">
        <v>45726</v>
      </c>
      <c r="D1098" s="13">
        <v>2025</v>
      </c>
      <c r="E1098" s="13" t="s">
        <v>21</v>
      </c>
      <c r="F1098" s="13" t="s">
        <v>34</v>
      </c>
      <c r="G1098" s="15">
        <v>177.42493333333331</v>
      </c>
      <c r="H1098" s="15">
        <v>177.42493333333331</v>
      </c>
      <c r="I1098" s="13">
        <v>1</v>
      </c>
      <c r="J1098" s="13">
        <v>1</v>
      </c>
      <c r="K1098" s="13" t="s">
        <v>3346</v>
      </c>
      <c r="L1098" s="15">
        <v>177.42493333333331</v>
      </c>
      <c r="M1098" s="16">
        <v>177.42493333333331</v>
      </c>
    </row>
    <row r="1099" spans="1:13" s="5" customFormat="1" x14ac:dyDescent="0.25">
      <c r="A1099" s="12" t="s">
        <v>2149</v>
      </c>
      <c r="B1099" s="13" t="s">
        <v>2150</v>
      </c>
      <c r="C1099" s="14">
        <v>45467</v>
      </c>
      <c r="D1099" s="13">
        <v>2024</v>
      </c>
      <c r="E1099" s="13" t="s">
        <v>14</v>
      </c>
      <c r="F1099" s="13" t="s">
        <v>34</v>
      </c>
      <c r="G1099" s="15">
        <v>1621.45</v>
      </c>
      <c r="H1099" s="15">
        <v>1621.45</v>
      </c>
      <c r="I1099" s="13">
        <v>4</v>
      </c>
      <c r="J1099" s="13">
        <v>4</v>
      </c>
      <c r="K1099" s="13" t="s">
        <v>15</v>
      </c>
      <c r="L1099" s="15">
        <v>405.36250000000001</v>
      </c>
      <c r="M1099" s="16">
        <v>405.36250000000001</v>
      </c>
    </row>
    <row r="1100" spans="1:13" s="5" customFormat="1" x14ac:dyDescent="0.25">
      <c r="A1100" s="12" t="s">
        <v>2151</v>
      </c>
      <c r="B1100" s="13" t="s">
        <v>2152</v>
      </c>
      <c r="C1100" s="14">
        <v>45134</v>
      </c>
      <c r="D1100" s="13">
        <v>2023</v>
      </c>
      <c r="E1100" s="13" t="s">
        <v>10</v>
      </c>
      <c r="F1100" s="13" t="s">
        <v>25</v>
      </c>
      <c r="G1100" s="15">
        <v>634.84</v>
      </c>
      <c r="H1100" s="15">
        <v>634.84</v>
      </c>
      <c r="I1100" s="13">
        <v>7</v>
      </c>
      <c r="J1100" s="13">
        <v>7</v>
      </c>
      <c r="K1100" s="13" t="s">
        <v>3346</v>
      </c>
      <c r="L1100" s="15">
        <v>90.691428571428574</v>
      </c>
      <c r="M1100" s="16">
        <v>90.691428571428574</v>
      </c>
    </row>
    <row r="1101" spans="1:13" s="5" customFormat="1" x14ac:dyDescent="0.25">
      <c r="A1101" s="12" t="s">
        <v>2153</v>
      </c>
      <c r="B1101" s="13" t="s">
        <v>2154</v>
      </c>
      <c r="C1101" s="14">
        <v>45405</v>
      </c>
      <c r="D1101" s="13">
        <v>2024</v>
      </c>
      <c r="E1101" s="13" t="s">
        <v>21</v>
      </c>
      <c r="F1101" s="13" t="s">
        <v>25</v>
      </c>
      <c r="G1101" s="15">
        <v>1083.6400000000001</v>
      </c>
      <c r="H1101" s="15">
        <v>1083.6400000000001</v>
      </c>
      <c r="I1101" s="13">
        <v>10</v>
      </c>
      <c r="J1101" s="13">
        <v>10</v>
      </c>
      <c r="K1101" s="13" t="s">
        <v>35</v>
      </c>
      <c r="L1101" s="15">
        <v>108.364</v>
      </c>
      <c r="M1101" s="16">
        <v>108.364</v>
      </c>
    </row>
    <row r="1102" spans="1:13" s="5" customFormat="1" x14ac:dyDescent="0.25">
      <c r="A1102" s="12" t="s">
        <v>2155</v>
      </c>
      <c r="B1102" s="13" t="s">
        <v>2156</v>
      </c>
      <c r="C1102" s="14">
        <v>45912</v>
      </c>
      <c r="D1102" s="13">
        <v>2025</v>
      </c>
      <c r="E1102" s="13" t="s">
        <v>10</v>
      </c>
      <c r="F1102" s="13" t="s">
        <v>22</v>
      </c>
      <c r="G1102" s="15">
        <v>1249.8599999999999</v>
      </c>
      <c r="H1102" s="15">
        <v>1249.8599999999999</v>
      </c>
      <c r="I1102" s="13">
        <v>8</v>
      </c>
      <c r="J1102" s="13">
        <v>8</v>
      </c>
      <c r="K1102" s="13" t="s">
        <v>3346</v>
      </c>
      <c r="L1102" s="15">
        <v>156.23249999999999</v>
      </c>
      <c r="M1102" s="16">
        <v>156.23249999999999</v>
      </c>
    </row>
    <row r="1103" spans="1:13" s="5" customFormat="1" x14ac:dyDescent="0.25">
      <c r="A1103" s="12" t="s">
        <v>2157</v>
      </c>
      <c r="B1103" s="13" t="s">
        <v>2158</v>
      </c>
      <c r="C1103" s="14">
        <v>45198</v>
      </c>
      <c r="D1103" s="13">
        <v>2023</v>
      </c>
      <c r="E1103" s="13" t="s">
        <v>3347</v>
      </c>
      <c r="F1103" s="13" t="s">
        <v>22</v>
      </c>
      <c r="G1103" s="15">
        <v>305.32</v>
      </c>
      <c r="H1103" s="15">
        <v>305.32</v>
      </c>
      <c r="I1103" s="13">
        <v>7</v>
      </c>
      <c r="J1103" s="13">
        <v>7</v>
      </c>
      <c r="K1103" s="13" t="s">
        <v>3346</v>
      </c>
      <c r="L1103" s="15">
        <v>43.617142857142859</v>
      </c>
      <c r="M1103" s="16">
        <v>43.617142857142859</v>
      </c>
    </row>
    <row r="1104" spans="1:13" s="5" customFormat="1" x14ac:dyDescent="0.25">
      <c r="A1104" s="12" t="s">
        <v>2159</v>
      </c>
      <c r="B1104" s="13" t="s">
        <v>2160</v>
      </c>
      <c r="C1104" s="14">
        <v>45528</v>
      </c>
      <c r="D1104" s="13">
        <v>2024</v>
      </c>
      <c r="E1104" s="13" t="s">
        <v>14</v>
      </c>
      <c r="F1104" s="13" t="s">
        <v>34</v>
      </c>
      <c r="G1104" s="15">
        <v>355.03</v>
      </c>
      <c r="H1104" s="15">
        <v>355.03</v>
      </c>
      <c r="I1104" s="13">
        <v>8</v>
      </c>
      <c r="J1104" s="13">
        <v>8</v>
      </c>
      <c r="K1104" s="13" t="s">
        <v>18</v>
      </c>
      <c r="L1104" s="15">
        <v>44.378749999999997</v>
      </c>
      <c r="M1104" s="16">
        <v>44.378749999999997</v>
      </c>
    </row>
    <row r="1105" spans="1:13" s="5" customFormat="1" x14ac:dyDescent="0.25">
      <c r="A1105" s="12" t="s">
        <v>2161</v>
      </c>
      <c r="B1105" s="13" t="s">
        <v>395</v>
      </c>
      <c r="C1105" s="14">
        <v>45067</v>
      </c>
      <c r="D1105" s="13">
        <v>2023</v>
      </c>
      <c r="E1105" s="13" t="s">
        <v>3347</v>
      </c>
      <c r="F1105" s="13" t="s">
        <v>22</v>
      </c>
      <c r="G1105" s="15">
        <v>1625.64</v>
      </c>
      <c r="H1105" s="15">
        <v>1625.64</v>
      </c>
      <c r="I1105" s="13">
        <v>5</v>
      </c>
      <c r="J1105" s="13">
        <v>5</v>
      </c>
      <c r="K1105" s="13" t="s">
        <v>3348</v>
      </c>
      <c r="L1105" s="15">
        <v>325.12800000000004</v>
      </c>
      <c r="M1105" s="16">
        <v>325.12800000000004</v>
      </c>
    </row>
    <row r="1106" spans="1:13" s="5" customFormat="1" x14ac:dyDescent="0.25">
      <c r="A1106" s="12" t="s">
        <v>2162</v>
      </c>
      <c r="B1106" s="13" t="s">
        <v>2163</v>
      </c>
      <c r="C1106" s="14">
        <v>44868</v>
      </c>
      <c r="D1106" s="13">
        <v>2022</v>
      </c>
      <c r="E1106" s="13" t="s">
        <v>21</v>
      </c>
      <c r="F1106" s="13" t="s">
        <v>34</v>
      </c>
      <c r="G1106" s="15">
        <v>223.35</v>
      </c>
      <c r="H1106" s="15">
        <v>223.35</v>
      </c>
      <c r="I1106" s="13">
        <v>6</v>
      </c>
      <c r="J1106" s="13">
        <v>6</v>
      </c>
      <c r="K1106" s="13" t="s">
        <v>35</v>
      </c>
      <c r="L1106" s="15">
        <v>37.225000000000001</v>
      </c>
      <c r="M1106" s="16">
        <v>37.225000000000001</v>
      </c>
    </row>
    <row r="1107" spans="1:13" s="5" customFormat="1" x14ac:dyDescent="0.25">
      <c r="A1107" s="12" t="s">
        <v>2164</v>
      </c>
      <c r="B1107" s="13" t="s">
        <v>2165</v>
      </c>
      <c r="C1107" s="14">
        <v>45331</v>
      </c>
      <c r="D1107" s="13">
        <v>2024</v>
      </c>
      <c r="E1107" s="13" t="s">
        <v>21</v>
      </c>
      <c r="F1107" s="13" t="s">
        <v>22</v>
      </c>
      <c r="G1107" s="15">
        <v>1375.48</v>
      </c>
      <c r="H1107" s="15">
        <v>1375.48</v>
      </c>
      <c r="I1107" s="13">
        <v>10</v>
      </c>
      <c r="J1107" s="13">
        <v>10</v>
      </c>
      <c r="K1107" s="13" t="s">
        <v>35</v>
      </c>
      <c r="L1107" s="15">
        <v>137.548</v>
      </c>
      <c r="M1107" s="16">
        <v>137.548</v>
      </c>
    </row>
    <row r="1108" spans="1:13" s="5" customFormat="1" x14ac:dyDescent="0.25">
      <c r="A1108" s="12" t="s">
        <v>2166</v>
      </c>
      <c r="B1108" s="13" t="s">
        <v>2167</v>
      </c>
      <c r="C1108" s="14">
        <v>45228</v>
      </c>
      <c r="D1108" s="13">
        <v>2023</v>
      </c>
      <c r="E1108" s="13" t="s">
        <v>10</v>
      </c>
      <c r="F1108" s="13" t="s">
        <v>25</v>
      </c>
      <c r="G1108" s="15">
        <v>508.98</v>
      </c>
      <c r="H1108" s="15">
        <v>508.98</v>
      </c>
      <c r="I1108" s="13">
        <v>4</v>
      </c>
      <c r="J1108" s="13">
        <v>4</v>
      </c>
      <c r="K1108" s="13" t="s">
        <v>3346</v>
      </c>
      <c r="L1108" s="15">
        <v>127.245</v>
      </c>
      <c r="M1108" s="16">
        <v>127.245</v>
      </c>
    </row>
    <row r="1109" spans="1:13" s="5" customFormat="1" x14ac:dyDescent="0.25">
      <c r="A1109" s="12" t="s">
        <v>2168</v>
      </c>
      <c r="B1109" s="13" t="s">
        <v>2169</v>
      </c>
      <c r="C1109" s="14">
        <v>45080</v>
      </c>
      <c r="D1109" s="13">
        <v>2023</v>
      </c>
      <c r="E1109" s="13" t="s">
        <v>3347</v>
      </c>
      <c r="F1109" s="13" t="s">
        <v>25</v>
      </c>
      <c r="G1109" s="15">
        <v>797.54</v>
      </c>
      <c r="H1109" s="15">
        <v>797.54</v>
      </c>
      <c r="I1109" s="13">
        <v>6</v>
      </c>
      <c r="J1109" s="13">
        <v>6</v>
      </c>
      <c r="K1109" s="13" t="s">
        <v>3348</v>
      </c>
      <c r="L1109" s="15">
        <v>132.92333333333332</v>
      </c>
      <c r="M1109" s="16">
        <v>132.92333333333332</v>
      </c>
    </row>
    <row r="1110" spans="1:13" s="5" customFormat="1" x14ac:dyDescent="0.25">
      <c r="A1110" s="12" t="s">
        <v>2170</v>
      </c>
      <c r="B1110" s="13" t="s">
        <v>2171</v>
      </c>
      <c r="C1110" s="14">
        <v>45095</v>
      </c>
      <c r="D1110" s="13">
        <v>2023</v>
      </c>
      <c r="E1110" s="13" t="s">
        <v>3347</v>
      </c>
      <c r="F1110" s="13" t="s">
        <v>22</v>
      </c>
      <c r="G1110" s="15">
        <v>1648.43</v>
      </c>
      <c r="H1110" s="15">
        <v>1648.43</v>
      </c>
      <c r="I1110" s="13">
        <v>4</v>
      </c>
      <c r="J1110" s="13">
        <v>4</v>
      </c>
      <c r="K1110" s="13" t="s">
        <v>3346</v>
      </c>
      <c r="L1110" s="15">
        <v>412.10750000000002</v>
      </c>
      <c r="M1110" s="16">
        <v>378.24253439153443</v>
      </c>
    </row>
    <row r="1111" spans="1:13" s="5" customFormat="1" x14ac:dyDescent="0.25">
      <c r="A1111" s="12" t="s">
        <v>2172</v>
      </c>
      <c r="B1111" s="13" t="s">
        <v>2173</v>
      </c>
      <c r="C1111" s="14">
        <v>44964</v>
      </c>
      <c r="D1111" s="13">
        <v>2023</v>
      </c>
      <c r="E1111" s="13" t="s">
        <v>14</v>
      </c>
      <c r="F1111" s="13" t="s">
        <v>34</v>
      </c>
      <c r="G1111" s="15">
        <v>1753.6</v>
      </c>
      <c r="H1111" s="15">
        <v>1753.6</v>
      </c>
      <c r="I1111" s="13">
        <v>10</v>
      </c>
      <c r="J1111" s="13">
        <v>10</v>
      </c>
      <c r="K1111" s="13" t="s">
        <v>35</v>
      </c>
      <c r="L1111" s="15">
        <v>175.35999999999999</v>
      </c>
      <c r="M1111" s="16">
        <v>175.35999999999999</v>
      </c>
    </row>
    <row r="1112" spans="1:13" s="5" customFormat="1" x14ac:dyDescent="0.25">
      <c r="A1112" s="12" t="s">
        <v>2174</v>
      </c>
      <c r="B1112" s="13" t="s">
        <v>368</v>
      </c>
      <c r="C1112" s="14">
        <v>44936</v>
      </c>
      <c r="D1112" s="13">
        <v>2023</v>
      </c>
      <c r="E1112" s="13" t="s">
        <v>14</v>
      </c>
      <c r="F1112" s="13" t="s">
        <v>11</v>
      </c>
      <c r="G1112" s="15">
        <v>510.72</v>
      </c>
      <c r="H1112" s="15">
        <v>510.72</v>
      </c>
      <c r="I1112" s="13">
        <v>4</v>
      </c>
      <c r="J1112" s="13">
        <v>4</v>
      </c>
      <c r="K1112" s="13" t="s">
        <v>35</v>
      </c>
      <c r="L1112" s="15">
        <v>127.68</v>
      </c>
      <c r="M1112" s="16">
        <v>127.68</v>
      </c>
    </row>
    <row r="1113" spans="1:13" s="5" customFormat="1" x14ac:dyDescent="0.25">
      <c r="A1113" s="12" t="s">
        <v>2175</v>
      </c>
      <c r="B1113" s="13" t="s">
        <v>2176</v>
      </c>
      <c r="C1113" s="14">
        <v>45448</v>
      </c>
      <c r="D1113" s="13">
        <v>2024</v>
      </c>
      <c r="E1113" s="13" t="s">
        <v>21</v>
      </c>
      <c r="F1113" s="13" t="s">
        <v>25</v>
      </c>
      <c r="G1113" s="15">
        <v>428.13</v>
      </c>
      <c r="H1113" s="15">
        <v>428.13</v>
      </c>
      <c r="I1113" s="13">
        <v>2</v>
      </c>
      <c r="J1113" s="13">
        <v>2</v>
      </c>
      <c r="K1113" s="13" t="s">
        <v>3348</v>
      </c>
      <c r="L1113" s="15">
        <v>214.065</v>
      </c>
      <c r="M1113" s="16">
        <v>214.065</v>
      </c>
    </row>
    <row r="1114" spans="1:13" s="5" customFormat="1" x14ac:dyDescent="0.25">
      <c r="A1114" s="12" t="s">
        <v>2177</v>
      </c>
      <c r="B1114" s="13" t="s">
        <v>2178</v>
      </c>
      <c r="C1114" s="14">
        <v>45554</v>
      </c>
      <c r="D1114" s="13">
        <v>2024</v>
      </c>
      <c r="E1114" s="13" t="s">
        <v>3347</v>
      </c>
      <c r="F1114" s="13" t="s">
        <v>22</v>
      </c>
      <c r="G1114" s="15">
        <v>1200.7</v>
      </c>
      <c r="H1114" s="15">
        <v>1200.7</v>
      </c>
      <c r="I1114" s="13">
        <v>4</v>
      </c>
      <c r="J1114" s="13">
        <v>4</v>
      </c>
      <c r="K1114" s="13" t="s">
        <v>3346</v>
      </c>
      <c r="L1114" s="15">
        <v>300.17500000000001</v>
      </c>
      <c r="M1114" s="16">
        <v>300.17500000000001</v>
      </c>
    </row>
    <row r="1115" spans="1:13" s="5" customFormat="1" x14ac:dyDescent="0.25">
      <c r="A1115" s="12" t="s">
        <v>2179</v>
      </c>
      <c r="B1115" s="13" t="s">
        <v>2180</v>
      </c>
      <c r="C1115" s="14">
        <v>44921</v>
      </c>
      <c r="D1115" s="13">
        <v>2022</v>
      </c>
      <c r="E1115" s="13" t="s">
        <v>21</v>
      </c>
      <c r="F1115" s="13" t="s">
        <v>11</v>
      </c>
      <c r="G1115" s="15">
        <v>1482.35</v>
      </c>
      <c r="H1115" s="15">
        <v>1482.35</v>
      </c>
      <c r="I1115" s="13">
        <v>7</v>
      </c>
      <c r="J1115" s="13">
        <v>7</v>
      </c>
      <c r="K1115" s="13" t="s">
        <v>18</v>
      </c>
      <c r="L1115" s="15">
        <v>211.76428571428571</v>
      </c>
      <c r="M1115" s="16">
        <v>211.76428571428571</v>
      </c>
    </row>
    <row r="1116" spans="1:13" s="5" customFormat="1" x14ac:dyDescent="0.25">
      <c r="A1116" s="12" t="s">
        <v>2181</v>
      </c>
      <c r="B1116" s="13" t="s">
        <v>2182</v>
      </c>
      <c r="C1116" s="14">
        <v>45042</v>
      </c>
      <c r="D1116" s="13">
        <v>2023</v>
      </c>
      <c r="E1116" s="13" t="s">
        <v>10</v>
      </c>
      <c r="F1116" s="13" t="s">
        <v>22</v>
      </c>
      <c r="G1116" s="15">
        <v>844.03</v>
      </c>
      <c r="H1116" s="15">
        <v>844.03</v>
      </c>
      <c r="I1116" s="13">
        <v>5</v>
      </c>
      <c r="J1116" s="13">
        <v>5</v>
      </c>
      <c r="K1116" s="13" t="s">
        <v>3348</v>
      </c>
      <c r="L1116" s="15">
        <v>168.80599999999998</v>
      </c>
      <c r="M1116" s="16">
        <v>168.80599999999998</v>
      </c>
    </row>
    <row r="1117" spans="1:13" s="5" customFormat="1" x14ac:dyDescent="0.25">
      <c r="A1117" s="12" t="s">
        <v>2183</v>
      </c>
      <c r="B1117" s="13" t="s">
        <v>2184</v>
      </c>
      <c r="C1117" s="14">
        <v>45415</v>
      </c>
      <c r="D1117" s="13">
        <v>2024</v>
      </c>
      <c r="E1117" s="13" t="s">
        <v>10</v>
      </c>
      <c r="F1117" s="13" t="s">
        <v>22</v>
      </c>
      <c r="G1117" s="15">
        <v>728.09</v>
      </c>
      <c r="H1117" s="15">
        <v>728.09</v>
      </c>
      <c r="I1117" s="13">
        <v>7</v>
      </c>
      <c r="J1117" s="13">
        <v>7</v>
      </c>
      <c r="K1117" s="13" t="s">
        <v>3348</v>
      </c>
      <c r="L1117" s="15">
        <v>104.01285714285714</v>
      </c>
      <c r="M1117" s="16">
        <v>104.01285714285714</v>
      </c>
    </row>
    <row r="1118" spans="1:13" s="5" customFormat="1" x14ac:dyDescent="0.25">
      <c r="A1118" s="12" t="s">
        <v>2185</v>
      </c>
      <c r="B1118" s="13" t="s">
        <v>2186</v>
      </c>
      <c r="C1118" s="14">
        <v>45206</v>
      </c>
      <c r="D1118" s="13">
        <v>2023</v>
      </c>
      <c r="E1118" s="13" t="s">
        <v>10</v>
      </c>
      <c r="F1118" s="13" t="s">
        <v>34</v>
      </c>
      <c r="G1118" s="15">
        <v>1697.35</v>
      </c>
      <c r="H1118" s="15">
        <v>1697.35</v>
      </c>
      <c r="I1118" s="13">
        <v>10</v>
      </c>
      <c r="J1118" s="13">
        <v>10</v>
      </c>
      <c r="K1118" s="13" t="s">
        <v>15</v>
      </c>
      <c r="L1118" s="15">
        <v>169.73499999999999</v>
      </c>
      <c r="M1118" s="16">
        <v>162.767875</v>
      </c>
    </row>
    <row r="1119" spans="1:13" s="5" customFormat="1" x14ac:dyDescent="0.25">
      <c r="A1119" s="12" t="s">
        <v>2187</v>
      </c>
      <c r="B1119" s="13" t="s">
        <v>2188</v>
      </c>
      <c r="C1119" s="14">
        <v>45583</v>
      </c>
      <c r="D1119" s="13">
        <v>2024</v>
      </c>
      <c r="E1119" s="13" t="s">
        <v>14</v>
      </c>
      <c r="F1119" s="13" t="s">
        <v>11</v>
      </c>
      <c r="G1119" s="15">
        <v>1351.39</v>
      </c>
      <c r="H1119" s="15">
        <v>1351.39</v>
      </c>
      <c r="I1119" s="13">
        <v>9</v>
      </c>
      <c r="J1119" s="13">
        <v>9</v>
      </c>
      <c r="K1119" s="13" t="s">
        <v>15</v>
      </c>
      <c r="L1119" s="15">
        <v>150.15444444444447</v>
      </c>
      <c r="M1119" s="16">
        <v>150.15444444444447</v>
      </c>
    </row>
    <row r="1120" spans="1:13" s="5" customFormat="1" x14ac:dyDescent="0.25">
      <c r="A1120" s="12" t="s">
        <v>2189</v>
      </c>
      <c r="B1120" s="13" t="s">
        <v>2190</v>
      </c>
      <c r="C1120" s="14">
        <v>45352</v>
      </c>
      <c r="D1120" s="13">
        <v>2024</v>
      </c>
      <c r="E1120" s="13" t="s">
        <v>14</v>
      </c>
      <c r="F1120" s="13" t="s">
        <v>25</v>
      </c>
      <c r="G1120" s="15">
        <v>956.02</v>
      </c>
      <c r="H1120" s="15">
        <v>956.02</v>
      </c>
      <c r="I1120" s="13">
        <v>6</v>
      </c>
      <c r="J1120" s="13">
        <v>6</v>
      </c>
      <c r="K1120" s="13" t="s">
        <v>3348</v>
      </c>
      <c r="L1120" s="15">
        <v>159.33666666666667</v>
      </c>
      <c r="M1120" s="16">
        <v>159.33666666666667</v>
      </c>
    </row>
    <row r="1121" spans="1:13" s="5" customFormat="1" x14ac:dyDescent="0.25">
      <c r="A1121" s="12" t="s">
        <v>2191</v>
      </c>
      <c r="B1121" s="13" t="s">
        <v>2192</v>
      </c>
      <c r="C1121" s="14">
        <v>45128</v>
      </c>
      <c r="D1121" s="13">
        <v>2023</v>
      </c>
      <c r="E1121" s="13" t="s">
        <v>14</v>
      </c>
      <c r="F1121" s="13" t="s">
        <v>34</v>
      </c>
      <c r="G1121" s="15">
        <v>998.95</v>
      </c>
      <c r="H1121" s="15">
        <v>998.95</v>
      </c>
      <c r="I1121" s="13">
        <v>4</v>
      </c>
      <c r="J1121" s="13">
        <v>4</v>
      </c>
      <c r="K1121" s="13" t="s">
        <v>18</v>
      </c>
      <c r="L1121" s="15">
        <v>249.73750000000001</v>
      </c>
      <c r="M1121" s="16">
        <v>249.73750000000001</v>
      </c>
    </row>
    <row r="1122" spans="1:13" s="5" customFormat="1" x14ac:dyDescent="0.25">
      <c r="A1122" s="12" t="s">
        <v>2193</v>
      </c>
      <c r="B1122" s="13" t="s">
        <v>2194</v>
      </c>
      <c r="C1122" s="14">
        <v>45771</v>
      </c>
      <c r="D1122" s="13">
        <v>2025</v>
      </c>
      <c r="E1122" s="13" t="s">
        <v>21</v>
      </c>
      <c r="F1122" s="13" t="s">
        <v>22</v>
      </c>
      <c r="G1122" s="15">
        <v>5095.2539999999999</v>
      </c>
      <c r="H1122" s="15">
        <v>3548.2821388888883</v>
      </c>
      <c r="I1122" s="13">
        <v>9</v>
      </c>
      <c r="J1122" s="13">
        <v>9</v>
      </c>
      <c r="K1122" s="13" t="s">
        <v>15</v>
      </c>
      <c r="L1122" s="15">
        <v>566.1393333333333</v>
      </c>
      <c r="M1122" s="16">
        <v>566.1393333333333</v>
      </c>
    </row>
    <row r="1123" spans="1:13" s="5" customFormat="1" x14ac:dyDescent="0.25">
      <c r="A1123" s="12" t="s">
        <v>2195</v>
      </c>
      <c r="B1123" s="13" t="s">
        <v>2196</v>
      </c>
      <c r="C1123" s="14">
        <v>45823</v>
      </c>
      <c r="D1123" s="13">
        <v>2025</v>
      </c>
      <c r="E1123" s="13" t="s">
        <v>21</v>
      </c>
      <c r="F1123" s="13" t="s">
        <v>34</v>
      </c>
      <c r="G1123" s="15">
        <v>1636.925892857143</v>
      </c>
      <c r="H1123" s="15">
        <v>1636.925892857143</v>
      </c>
      <c r="I1123" s="13">
        <v>10</v>
      </c>
      <c r="J1123" s="13">
        <v>10</v>
      </c>
      <c r="K1123" s="13" t="s">
        <v>18</v>
      </c>
      <c r="L1123" s="15">
        <v>163.69258928571429</v>
      </c>
      <c r="M1123" s="16">
        <v>163.69258928571429</v>
      </c>
    </row>
    <row r="1124" spans="1:13" s="5" customFormat="1" x14ac:dyDescent="0.25">
      <c r="A1124" s="12" t="s">
        <v>2197</v>
      </c>
      <c r="B1124" s="13" t="s">
        <v>2198</v>
      </c>
      <c r="C1124" s="14">
        <v>45775</v>
      </c>
      <c r="D1124" s="13">
        <v>2025</v>
      </c>
      <c r="E1124" s="13" t="s">
        <v>21</v>
      </c>
      <c r="F1124" s="13" t="s">
        <v>22</v>
      </c>
      <c r="G1124" s="15">
        <v>374.06</v>
      </c>
      <c r="H1124" s="15">
        <v>374.06</v>
      </c>
      <c r="I1124" s="13">
        <v>1</v>
      </c>
      <c r="J1124" s="13">
        <v>1</v>
      </c>
      <c r="K1124" s="13" t="s">
        <v>18</v>
      </c>
      <c r="L1124" s="15">
        <v>374.06</v>
      </c>
      <c r="M1124" s="16">
        <v>374.06</v>
      </c>
    </row>
    <row r="1125" spans="1:13" s="5" customFormat="1" x14ac:dyDescent="0.25">
      <c r="A1125" s="12" t="s">
        <v>2199</v>
      </c>
      <c r="B1125" s="13" t="s">
        <v>2200</v>
      </c>
      <c r="C1125" s="14">
        <v>45125</v>
      </c>
      <c r="D1125" s="13">
        <v>2023</v>
      </c>
      <c r="E1125" s="13" t="s">
        <v>10</v>
      </c>
      <c r="F1125" s="13" t="s">
        <v>25</v>
      </c>
      <c r="G1125" s="15">
        <v>1690.19</v>
      </c>
      <c r="H1125" s="15">
        <v>1690.19</v>
      </c>
      <c r="I1125" s="13">
        <v>11</v>
      </c>
      <c r="J1125" s="13">
        <v>10</v>
      </c>
      <c r="K1125" s="13" t="s">
        <v>35</v>
      </c>
      <c r="L1125" s="15">
        <v>153.65363636363637</v>
      </c>
      <c r="M1125" s="16">
        <v>150.75611111111112</v>
      </c>
    </row>
    <row r="1126" spans="1:13" s="5" customFormat="1" x14ac:dyDescent="0.25">
      <c r="A1126" s="12" t="s">
        <v>2201</v>
      </c>
      <c r="B1126" s="13" t="s">
        <v>2202</v>
      </c>
      <c r="C1126" s="14">
        <v>45069</v>
      </c>
      <c r="D1126" s="13">
        <v>2023</v>
      </c>
      <c r="E1126" s="13" t="s">
        <v>21</v>
      </c>
      <c r="F1126" s="13" t="s">
        <v>25</v>
      </c>
      <c r="G1126" s="15">
        <v>1040.58</v>
      </c>
      <c r="H1126" s="15">
        <v>1040.58</v>
      </c>
      <c r="I1126" s="13">
        <v>6</v>
      </c>
      <c r="J1126" s="13">
        <v>6</v>
      </c>
      <c r="K1126" s="13" t="s">
        <v>3346</v>
      </c>
      <c r="L1126" s="15">
        <v>173.42999999999998</v>
      </c>
      <c r="M1126" s="16">
        <v>183.67878472222225</v>
      </c>
    </row>
    <row r="1127" spans="1:13" s="5" customFormat="1" x14ac:dyDescent="0.25">
      <c r="A1127" s="12" t="s">
        <v>2203</v>
      </c>
      <c r="B1127" s="13" t="s">
        <v>2204</v>
      </c>
      <c r="C1127" s="14">
        <v>45010</v>
      </c>
      <c r="D1127" s="13">
        <v>2023</v>
      </c>
      <c r="E1127" s="13" t="s">
        <v>21</v>
      </c>
      <c r="F1127" s="13" t="s">
        <v>22</v>
      </c>
      <c r="G1127" s="15">
        <v>335.57</v>
      </c>
      <c r="H1127" s="15">
        <v>335.57</v>
      </c>
      <c r="I1127" s="13">
        <v>1</v>
      </c>
      <c r="J1127" s="13">
        <v>1</v>
      </c>
      <c r="K1127" s="13" t="s">
        <v>15</v>
      </c>
      <c r="L1127" s="15">
        <v>335.57</v>
      </c>
      <c r="M1127" s="16">
        <v>272.82067893217896</v>
      </c>
    </row>
    <row r="1128" spans="1:13" s="5" customFormat="1" x14ac:dyDescent="0.25">
      <c r="A1128" s="12" t="s">
        <v>2205</v>
      </c>
      <c r="B1128" s="13" t="s">
        <v>2206</v>
      </c>
      <c r="C1128" s="14">
        <v>45846</v>
      </c>
      <c r="D1128" s="13">
        <v>2025</v>
      </c>
      <c r="E1128" s="13" t="s">
        <v>3347</v>
      </c>
      <c r="F1128" s="13" t="s">
        <v>22</v>
      </c>
      <c r="G1128" s="15">
        <v>1770.12</v>
      </c>
      <c r="H1128" s="15">
        <v>1770.12</v>
      </c>
      <c r="I1128" s="13">
        <v>3</v>
      </c>
      <c r="J1128" s="13">
        <v>3</v>
      </c>
      <c r="K1128" s="13" t="s">
        <v>3348</v>
      </c>
      <c r="L1128" s="15">
        <v>590.04</v>
      </c>
      <c r="M1128" s="16">
        <v>590.04</v>
      </c>
    </row>
    <row r="1129" spans="1:13" s="5" customFormat="1" x14ac:dyDescent="0.25">
      <c r="A1129" s="12" t="s">
        <v>2207</v>
      </c>
      <c r="B1129" s="13" t="s">
        <v>2208</v>
      </c>
      <c r="C1129" s="14">
        <v>45715</v>
      </c>
      <c r="D1129" s="13">
        <v>2025</v>
      </c>
      <c r="E1129" s="13" t="s">
        <v>14</v>
      </c>
      <c r="F1129" s="13" t="s">
        <v>22</v>
      </c>
      <c r="G1129" s="15">
        <v>1461.87</v>
      </c>
      <c r="H1129" s="15">
        <v>1461.87</v>
      </c>
      <c r="I1129" s="13">
        <v>4</v>
      </c>
      <c r="J1129" s="13">
        <v>4</v>
      </c>
      <c r="K1129" s="13" t="s">
        <v>18</v>
      </c>
      <c r="L1129" s="15">
        <v>365.46749999999997</v>
      </c>
      <c r="M1129" s="16">
        <v>365.46749999999997</v>
      </c>
    </row>
    <row r="1130" spans="1:13" s="5" customFormat="1" x14ac:dyDescent="0.25">
      <c r="A1130" s="12" t="s">
        <v>2209</v>
      </c>
      <c r="B1130" s="13" t="s">
        <v>2210</v>
      </c>
      <c r="C1130" s="14">
        <v>45429</v>
      </c>
      <c r="D1130" s="13">
        <v>2024</v>
      </c>
      <c r="E1130" s="13" t="s">
        <v>10</v>
      </c>
      <c r="F1130" s="13" t="s">
        <v>34</v>
      </c>
      <c r="G1130" s="15">
        <v>586.78</v>
      </c>
      <c r="H1130" s="15">
        <v>586.78</v>
      </c>
      <c r="I1130" s="13">
        <v>9</v>
      </c>
      <c r="J1130" s="13">
        <v>9</v>
      </c>
      <c r="K1130" s="13" t="s">
        <v>15</v>
      </c>
      <c r="L1130" s="15">
        <v>65.197777777777773</v>
      </c>
      <c r="M1130" s="16">
        <v>65.197777777777773</v>
      </c>
    </row>
    <row r="1131" spans="1:13" s="5" customFormat="1" x14ac:dyDescent="0.25">
      <c r="A1131" s="12" t="s">
        <v>2211</v>
      </c>
      <c r="B1131" s="13" t="s">
        <v>2212</v>
      </c>
      <c r="C1131" s="14">
        <v>45539</v>
      </c>
      <c r="D1131" s="13">
        <v>2024</v>
      </c>
      <c r="E1131" s="13" t="s">
        <v>3347</v>
      </c>
      <c r="F1131" s="13" t="s">
        <v>11</v>
      </c>
      <c r="G1131" s="15">
        <v>1315.4</v>
      </c>
      <c r="H1131" s="15">
        <v>1315.4</v>
      </c>
      <c r="I1131" s="13">
        <v>1</v>
      </c>
      <c r="J1131" s="13">
        <v>1</v>
      </c>
      <c r="K1131" s="13" t="s">
        <v>3348</v>
      </c>
      <c r="L1131" s="15">
        <v>1315.4</v>
      </c>
      <c r="M1131" s="16">
        <v>1315.4</v>
      </c>
    </row>
    <row r="1132" spans="1:13" s="5" customFormat="1" x14ac:dyDescent="0.25">
      <c r="A1132" s="12" t="s">
        <v>2213</v>
      </c>
      <c r="B1132" s="13" t="s">
        <v>2214</v>
      </c>
      <c r="C1132" s="14">
        <v>44959</v>
      </c>
      <c r="D1132" s="13">
        <v>2023</v>
      </c>
      <c r="E1132" s="13" t="s">
        <v>10</v>
      </c>
      <c r="F1132" s="13" t="s">
        <v>22</v>
      </c>
      <c r="G1132" s="15">
        <v>440.85</v>
      </c>
      <c r="H1132" s="15">
        <v>440.85</v>
      </c>
      <c r="I1132" s="13">
        <v>6</v>
      </c>
      <c r="J1132" s="13">
        <v>6</v>
      </c>
      <c r="K1132" s="13" t="s">
        <v>35</v>
      </c>
      <c r="L1132" s="15">
        <v>73.475000000000009</v>
      </c>
      <c r="M1132" s="16">
        <v>73.475000000000009</v>
      </c>
    </row>
    <row r="1133" spans="1:13" s="5" customFormat="1" x14ac:dyDescent="0.25">
      <c r="A1133" s="12" t="s">
        <v>2215</v>
      </c>
      <c r="B1133" s="13" t="s">
        <v>2216</v>
      </c>
      <c r="C1133" s="14">
        <v>45087</v>
      </c>
      <c r="D1133" s="13">
        <v>2023</v>
      </c>
      <c r="E1133" s="13" t="s">
        <v>14</v>
      </c>
      <c r="F1133" s="13" t="s">
        <v>25</v>
      </c>
      <c r="G1133" s="15">
        <v>252.13</v>
      </c>
      <c r="H1133" s="15">
        <v>252.13</v>
      </c>
      <c r="I1133" s="13">
        <v>9</v>
      </c>
      <c r="J1133" s="13">
        <v>9</v>
      </c>
      <c r="K1133" s="13" t="s">
        <v>15</v>
      </c>
      <c r="L1133" s="15">
        <v>28.014444444444443</v>
      </c>
      <c r="M1133" s="16">
        <v>28.014444444444443</v>
      </c>
    </row>
    <row r="1134" spans="1:13" s="5" customFormat="1" x14ac:dyDescent="0.25">
      <c r="A1134" s="12" t="s">
        <v>2217</v>
      </c>
      <c r="B1134" s="13" t="s">
        <v>1789</v>
      </c>
      <c r="C1134" s="14">
        <v>44905</v>
      </c>
      <c r="D1134" s="13">
        <v>2022</v>
      </c>
      <c r="E1134" s="13" t="s">
        <v>14</v>
      </c>
      <c r="F1134" s="13" t="s">
        <v>25</v>
      </c>
      <c r="G1134" s="15">
        <v>498.13380042016814</v>
      </c>
      <c r="H1134" s="15">
        <v>498.13380042016814</v>
      </c>
      <c r="I1134" s="13">
        <v>3</v>
      </c>
      <c r="J1134" s="13">
        <v>3</v>
      </c>
      <c r="K1134" s="13" t="s">
        <v>18</v>
      </c>
      <c r="L1134" s="15">
        <v>166.04460014005605</v>
      </c>
      <c r="M1134" s="16">
        <v>166.04460014005605</v>
      </c>
    </row>
    <row r="1135" spans="1:13" s="5" customFormat="1" x14ac:dyDescent="0.25">
      <c r="A1135" s="12" t="s">
        <v>2218</v>
      </c>
      <c r="B1135" s="13" t="s">
        <v>1074</v>
      </c>
      <c r="C1135" s="14">
        <v>45243</v>
      </c>
      <c r="D1135" s="13">
        <v>2023</v>
      </c>
      <c r="E1135" s="13" t="s">
        <v>14</v>
      </c>
      <c r="F1135" s="13" t="s">
        <v>25</v>
      </c>
      <c r="G1135" s="15">
        <v>2003.1565000000001</v>
      </c>
      <c r="H1135" s="15">
        <v>2003.1565000000001</v>
      </c>
      <c r="I1135" s="13">
        <v>9</v>
      </c>
      <c r="J1135" s="13">
        <v>9</v>
      </c>
      <c r="K1135" s="13" t="s">
        <v>3348</v>
      </c>
      <c r="L1135" s="15">
        <v>222.57294444444446</v>
      </c>
      <c r="M1135" s="16">
        <v>222.57294444444446</v>
      </c>
    </row>
    <row r="1136" spans="1:13" s="5" customFormat="1" x14ac:dyDescent="0.25">
      <c r="A1136" s="12" t="s">
        <v>2219</v>
      </c>
      <c r="B1136" s="13" t="s">
        <v>2220</v>
      </c>
      <c r="C1136" s="14">
        <v>45549</v>
      </c>
      <c r="D1136" s="13">
        <v>2024</v>
      </c>
      <c r="E1136" s="13" t="s">
        <v>3347</v>
      </c>
      <c r="F1136" s="13" t="s">
        <v>11</v>
      </c>
      <c r="G1136" s="15">
        <v>756.04</v>
      </c>
      <c r="H1136" s="15">
        <v>756.04</v>
      </c>
      <c r="I1136" s="13">
        <v>8</v>
      </c>
      <c r="J1136" s="13">
        <v>8</v>
      </c>
      <c r="K1136" s="13" t="s">
        <v>18</v>
      </c>
      <c r="L1136" s="15">
        <v>94.504999999999995</v>
      </c>
      <c r="M1136" s="16">
        <v>94.504999999999995</v>
      </c>
    </row>
    <row r="1137" spans="1:13" s="5" customFormat="1" x14ac:dyDescent="0.25">
      <c r="A1137" s="12" t="s">
        <v>2221</v>
      </c>
      <c r="B1137" s="13" t="s">
        <v>2222</v>
      </c>
      <c r="C1137" s="14">
        <v>45259</v>
      </c>
      <c r="D1137" s="13">
        <v>2023</v>
      </c>
      <c r="E1137" s="13" t="s">
        <v>14</v>
      </c>
      <c r="F1137" s="13" t="s">
        <v>25</v>
      </c>
      <c r="G1137" s="15">
        <v>630.94000000000005</v>
      </c>
      <c r="H1137" s="15">
        <v>630.94000000000005</v>
      </c>
      <c r="I1137" s="13">
        <v>3</v>
      </c>
      <c r="J1137" s="13">
        <v>3</v>
      </c>
      <c r="K1137" s="13" t="s">
        <v>3346</v>
      </c>
      <c r="L1137" s="15">
        <v>210.31333333333336</v>
      </c>
      <c r="M1137" s="16">
        <v>210.31333333333336</v>
      </c>
    </row>
    <row r="1138" spans="1:13" s="5" customFormat="1" x14ac:dyDescent="0.25">
      <c r="A1138" s="12" t="s">
        <v>2223</v>
      </c>
      <c r="B1138" s="13" t="s">
        <v>2025</v>
      </c>
      <c r="C1138" s="14">
        <v>45049</v>
      </c>
      <c r="D1138" s="13">
        <v>2023</v>
      </c>
      <c r="E1138" s="13" t="s">
        <v>10</v>
      </c>
      <c r="F1138" s="13" t="s">
        <v>22</v>
      </c>
      <c r="G1138" s="15">
        <v>640.71</v>
      </c>
      <c r="H1138" s="15">
        <v>640.71</v>
      </c>
      <c r="I1138" s="13">
        <v>10</v>
      </c>
      <c r="J1138" s="13">
        <v>10</v>
      </c>
      <c r="K1138" s="13" t="s">
        <v>3348</v>
      </c>
      <c r="L1138" s="15">
        <v>64.070999999999998</v>
      </c>
      <c r="M1138" s="16">
        <v>64.070999999999998</v>
      </c>
    </row>
    <row r="1139" spans="1:13" s="5" customFormat="1" x14ac:dyDescent="0.25">
      <c r="A1139" s="12" t="s">
        <v>2224</v>
      </c>
      <c r="B1139" s="13" t="s">
        <v>2225</v>
      </c>
      <c r="C1139" s="14">
        <v>45890</v>
      </c>
      <c r="D1139" s="13">
        <v>2025</v>
      </c>
      <c r="E1139" s="13" t="s">
        <v>3347</v>
      </c>
      <c r="F1139" s="13" t="s">
        <v>34</v>
      </c>
      <c r="G1139" s="15">
        <v>972.01</v>
      </c>
      <c r="H1139" s="15">
        <v>972.01</v>
      </c>
      <c r="I1139" s="13">
        <v>5</v>
      </c>
      <c r="J1139" s="13">
        <v>5</v>
      </c>
      <c r="K1139" s="13" t="s">
        <v>35</v>
      </c>
      <c r="L1139" s="15">
        <v>194.40199999999999</v>
      </c>
      <c r="M1139" s="16">
        <v>194.40199999999999</v>
      </c>
    </row>
    <row r="1140" spans="1:13" s="5" customFormat="1" x14ac:dyDescent="0.25">
      <c r="A1140" s="12" t="s">
        <v>2226</v>
      </c>
      <c r="B1140" s="13" t="s">
        <v>2227</v>
      </c>
      <c r="C1140" s="14">
        <v>45893</v>
      </c>
      <c r="D1140" s="13">
        <v>2025</v>
      </c>
      <c r="E1140" s="13" t="s">
        <v>10</v>
      </c>
      <c r="F1140" s="13" t="s">
        <v>11</v>
      </c>
      <c r="G1140" s="15">
        <v>780.65</v>
      </c>
      <c r="H1140" s="15">
        <v>780.65</v>
      </c>
      <c r="I1140" s="13">
        <v>7</v>
      </c>
      <c r="J1140" s="13">
        <v>7</v>
      </c>
      <c r="K1140" s="13" t="s">
        <v>35</v>
      </c>
      <c r="L1140" s="15">
        <v>111.52142857142857</v>
      </c>
      <c r="M1140" s="16">
        <v>111.52142857142857</v>
      </c>
    </row>
    <row r="1141" spans="1:13" s="5" customFormat="1" x14ac:dyDescent="0.25">
      <c r="A1141" s="12" t="s">
        <v>2228</v>
      </c>
      <c r="B1141" s="13" t="s">
        <v>859</v>
      </c>
      <c r="C1141" s="14">
        <v>45164</v>
      </c>
      <c r="D1141" s="13">
        <v>2023</v>
      </c>
      <c r="E1141" s="13" t="s">
        <v>3347</v>
      </c>
      <c r="F1141" s="13" t="s">
        <v>22</v>
      </c>
      <c r="G1141" s="15">
        <v>1858.66</v>
      </c>
      <c r="H1141" s="15">
        <v>1858.66</v>
      </c>
      <c r="I1141" s="13">
        <v>8</v>
      </c>
      <c r="J1141" s="13">
        <v>8</v>
      </c>
      <c r="K1141" s="13" t="s">
        <v>3348</v>
      </c>
      <c r="L1141" s="15">
        <v>232.33250000000001</v>
      </c>
      <c r="M1141" s="16">
        <v>232.33250000000001</v>
      </c>
    </row>
    <row r="1142" spans="1:13" s="5" customFormat="1" x14ac:dyDescent="0.25">
      <c r="A1142" s="12" t="s">
        <v>2229</v>
      </c>
      <c r="B1142" s="13" t="s">
        <v>2230</v>
      </c>
      <c r="C1142" s="14">
        <v>45479</v>
      </c>
      <c r="D1142" s="13">
        <v>2024</v>
      </c>
      <c r="E1142" s="13" t="s">
        <v>10</v>
      </c>
      <c r="F1142" s="13" t="s">
        <v>11</v>
      </c>
      <c r="G1142" s="15">
        <v>376.33</v>
      </c>
      <c r="H1142" s="15">
        <v>376.33</v>
      </c>
      <c r="I1142" s="13">
        <v>2</v>
      </c>
      <c r="J1142" s="13">
        <v>2</v>
      </c>
      <c r="K1142" s="13" t="s">
        <v>18</v>
      </c>
      <c r="L1142" s="15">
        <v>188.16499999999999</v>
      </c>
      <c r="M1142" s="16">
        <v>188.16499999999999</v>
      </c>
    </row>
    <row r="1143" spans="1:13" s="5" customFormat="1" x14ac:dyDescent="0.25">
      <c r="A1143" s="12" t="s">
        <v>2231</v>
      </c>
      <c r="B1143" s="13" t="s">
        <v>2232</v>
      </c>
      <c r="C1143" s="14">
        <v>45300</v>
      </c>
      <c r="D1143" s="13">
        <v>2024</v>
      </c>
      <c r="E1143" s="13" t="s">
        <v>3347</v>
      </c>
      <c r="F1143" s="13" t="s">
        <v>11</v>
      </c>
      <c r="G1143" s="15">
        <v>920.32</v>
      </c>
      <c r="H1143" s="15">
        <v>920.32</v>
      </c>
      <c r="I1143" s="13">
        <v>4</v>
      </c>
      <c r="J1143" s="13">
        <v>4</v>
      </c>
      <c r="K1143" s="13" t="s">
        <v>35</v>
      </c>
      <c r="L1143" s="15">
        <v>230.08</v>
      </c>
      <c r="M1143" s="16">
        <v>230.08</v>
      </c>
    </row>
    <row r="1144" spans="1:13" s="5" customFormat="1" x14ac:dyDescent="0.25">
      <c r="A1144" s="12" t="s">
        <v>2233</v>
      </c>
      <c r="B1144" s="13" t="s">
        <v>2234</v>
      </c>
      <c r="C1144" s="14">
        <v>45377</v>
      </c>
      <c r="D1144" s="13">
        <v>2024</v>
      </c>
      <c r="E1144" s="13" t="s">
        <v>3347</v>
      </c>
      <c r="F1144" s="13" t="s">
        <v>34</v>
      </c>
      <c r="G1144" s="15">
        <v>701.52</v>
      </c>
      <c r="H1144" s="15">
        <v>701.52</v>
      </c>
      <c r="I1144" s="13">
        <v>4</v>
      </c>
      <c r="J1144" s="13">
        <v>4</v>
      </c>
      <c r="K1144" s="13" t="s">
        <v>18</v>
      </c>
      <c r="L1144" s="15">
        <v>175.38</v>
      </c>
      <c r="M1144" s="16">
        <v>175.38</v>
      </c>
    </row>
    <row r="1145" spans="1:13" s="5" customFormat="1" x14ac:dyDescent="0.25">
      <c r="A1145" s="12" t="s">
        <v>2235</v>
      </c>
      <c r="B1145" s="13" t="s">
        <v>2236</v>
      </c>
      <c r="C1145" s="14">
        <v>45602</v>
      </c>
      <c r="D1145" s="13">
        <v>2024</v>
      </c>
      <c r="E1145" s="13" t="s">
        <v>14</v>
      </c>
      <c r="F1145" s="13" t="s">
        <v>22</v>
      </c>
      <c r="G1145" s="15">
        <v>2469.2514000000001</v>
      </c>
      <c r="H1145" s="15">
        <v>2469.2514000000001</v>
      </c>
      <c r="I1145" s="13">
        <v>6</v>
      </c>
      <c r="J1145" s="13">
        <v>6</v>
      </c>
      <c r="K1145" s="13" t="s">
        <v>35</v>
      </c>
      <c r="L1145" s="15">
        <v>411.5419</v>
      </c>
      <c r="M1145" s="16">
        <v>411.5419</v>
      </c>
    </row>
    <row r="1146" spans="1:13" s="5" customFormat="1" x14ac:dyDescent="0.25">
      <c r="A1146" s="12" t="s">
        <v>2237</v>
      </c>
      <c r="B1146" s="13" t="s">
        <v>2238</v>
      </c>
      <c r="C1146" s="14">
        <v>45307</v>
      </c>
      <c r="D1146" s="13">
        <v>2024</v>
      </c>
      <c r="E1146" s="13" t="s">
        <v>14</v>
      </c>
      <c r="F1146" s="13" t="s">
        <v>22</v>
      </c>
      <c r="G1146" s="15">
        <v>1733.7</v>
      </c>
      <c r="H1146" s="15">
        <v>1733.7</v>
      </c>
      <c r="I1146" s="13">
        <v>5</v>
      </c>
      <c r="J1146" s="13">
        <v>5</v>
      </c>
      <c r="K1146" s="13" t="s">
        <v>15</v>
      </c>
      <c r="L1146" s="15">
        <v>346.74</v>
      </c>
      <c r="M1146" s="16">
        <v>346.74</v>
      </c>
    </row>
    <row r="1147" spans="1:13" s="5" customFormat="1" x14ac:dyDescent="0.25">
      <c r="A1147" s="12" t="s">
        <v>2239</v>
      </c>
      <c r="B1147" s="13" t="s">
        <v>2240</v>
      </c>
      <c r="C1147" s="14">
        <v>45476</v>
      </c>
      <c r="D1147" s="13">
        <v>2024</v>
      </c>
      <c r="E1147" s="13" t="s">
        <v>21</v>
      </c>
      <c r="F1147" s="13" t="s">
        <v>25</v>
      </c>
      <c r="G1147" s="15">
        <v>1428.17</v>
      </c>
      <c r="H1147" s="15">
        <v>1428.17</v>
      </c>
      <c r="I1147" s="13">
        <v>11</v>
      </c>
      <c r="J1147" s="13">
        <v>10</v>
      </c>
      <c r="K1147" s="13" t="s">
        <v>35</v>
      </c>
      <c r="L1147" s="15">
        <v>129.83363636363637</v>
      </c>
      <c r="M1147" s="16">
        <v>130.9334761904762</v>
      </c>
    </row>
    <row r="1148" spans="1:13" s="5" customFormat="1" x14ac:dyDescent="0.25">
      <c r="A1148" s="12" t="s">
        <v>2241</v>
      </c>
      <c r="B1148" s="13" t="s">
        <v>2242</v>
      </c>
      <c r="C1148" s="14">
        <v>44960</v>
      </c>
      <c r="D1148" s="13">
        <v>2023</v>
      </c>
      <c r="E1148" s="13" t="s">
        <v>10</v>
      </c>
      <c r="F1148" s="13" t="s">
        <v>34</v>
      </c>
      <c r="G1148" s="15">
        <v>1691.08</v>
      </c>
      <c r="H1148" s="15">
        <v>1691.08</v>
      </c>
      <c r="I1148" s="13">
        <v>8</v>
      </c>
      <c r="J1148" s="13">
        <v>8</v>
      </c>
      <c r="K1148" s="13" t="s">
        <v>3348</v>
      </c>
      <c r="L1148" s="15">
        <v>211.38499999999999</v>
      </c>
      <c r="M1148" s="16">
        <v>211.38499999999999</v>
      </c>
    </row>
    <row r="1149" spans="1:13" s="5" customFormat="1" x14ac:dyDescent="0.25">
      <c r="A1149" s="12" t="s">
        <v>2243</v>
      </c>
      <c r="B1149" s="13" t="s">
        <v>2244</v>
      </c>
      <c r="C1149" s="14">
        <v>45931</v>
      </c>
      <c r="D1149" s="13">
        <v>2025</v>
      </c>
      <c r="E1149" s="13" t="s">
        <v>14</v>
      </c>
      <c r="F1149" s="13" t="s">
        <v>34</v>
      </c>
      <c r="G1149" s="15">
        <v>1519.9443333333334</v>
      </c>
      <c r="H1149" s="15">
        <v>1519.9443333333334</v>
      </c>
      <c r="I1149" s="13">
        <v>8</v>
      </c>
      <c r="J1149" s="13">
        <v>8</v>
      </c>
      <c r="K1149" s="13" t="s">
        <v>15</v>
      </c>
      <c r="L1149" s="15">
        <v>189.99304166666667</v>
      </c>
      <c r="M1149" s="16">
        <v>189.99304166666667</v>
      </c>
    </row>
    <row r="1150" spans="1:13" s="5" customFormat="1" x14ac:dyDescent="0.25">
      <c r="A1150" s="12" t="s">
        <v>2245</v>
      </c>
      <c r="B1150" s="13" t="s">
        <v>2246</v>
      </c>
      <c r="C1150" s="14">
        <v>45187</v>
      </c>
      <c r="D1150" s="13">
        <v>2023</v>
      </c>
      <c r="E1150" s="13" t="s">
        <v>14</v>
      </c>
      <c r="F1150" s="13" t="s">
        <v>11</v>
      </c>
      <c r="G1150" s="15">
        <v>70.599999999999994</v>
      </c>
      <c r="H1150" s="15">
        <v>70.599999999999994</v>
      </c>
      <c r="I1150" s="13">
        <v>2</v>
      </c>
      <c r="J1150" s="13">
        <v>2</v>
      </c>
      <c r="K1150" s="13" t="s">
        <v>18</v>
      </c>
      <c r="L1150" s="15">
        <v>35.299999999999997</v>
      </c>
      <c r="M1150" s="16">
        <v>35.299999999999997</v>
      </c>
    </row>
    <row r="1151" spans="1:13" s="5" customFormat="1" x14ac:dyDescent="0.25">
      <c r="A1151" s="12" t="s">
        <v>2247</v>
      </c>
      <c r="B1151" s="13" t="s">
        <v>2248</v>
      </c>
      <c r="C1151" s="14">
        <v>45432</v>
      </c>
      <c r="D1151" s="13">
        <v>2024</v>
      </c>
      <c r="E1151" s="13" t="s">
        <v>21</v>
      </c>
      <c r="F1151" s="13" t="s">
        <v>11</v>
      </c>
      <c r="G1151" s="15">
        <v>1950.66</v>
      </c>
      <c r="H1151" s="15">
        <v>1950.66</v>
      </c>
      <c r="I1151" s="13">
        <v>3</v>
      </c>
      <c r="J1151" s="13">
        <v>3</v>
      </c>
      <c r="K1151" s="13" t="s">
        <v>15</v>
      </c>
      <c r="L1151" s="15">
        <v>650.22</v>
      </c>
      <c r="M1151" s="16">
        <v>650.22</v>
      </c>
    </row>
    <row r="1152" spans="1:13" s="5" customFormat="1" x14ac:dyDescent="0.25">
      <c r="A1152" s="12" t="s">
        <v>2249</v>
      </c>
      <c r="B1152" s="13" t="s">
        <v>2250</v>
      </c>
      <c r="C1152" s="14">
        <v>45813</v>
      </c>
      <c r="D1152" s="13">
        <v>2025</v>
      </c>
      <c r="E1152" s="13" t="s">
        <v>10</v>
      </c>
      <c r="F1152" s="13" t="s">
        <v>34</v>
      </c>
      <c r="G1152" s="15">
        <v>131.1</v>
      </c>
      <c r="H1152" s="15">
        <v>131.1</v>
      </c>
      <c r="I1152" s="13">
        <v>6</v>
      </c>
      <c r="J1152" s="13">
        <v>6</v>
      </c>
      <c r="K1152" s="13" t="s">
        <v>15</v>
      </c>
      <c r="L1152" s="15">
        <v>21.849999999999998</v>
      </c>
      <c r="M1152" s="16">
        <v>21.849999999999998</v>
      </c>
    </row>
    <row r="1153" spans="1:13" s="5" customFormat="1" x14ac:dyDescent="0.25">
      <c r="A1153" s="12" t="s">
        <v>2251</v>
      </c>
      <c r="B1153" s="13" t="s">
        <v>2252</v>
      </c>
      <c r="C1153" s="14">
        <v>44989</v>
      </c>
      <c r="D1153" s="13">
        <v>2023</v>
      </c>
      <c r="E1153" s="13" t="s">
        <v>3347</v>
      </c>
      <c r="F1153" s="13" t="s">
        <v>22</v>
      </c>
      <c r="G1153" s="15">
        <v>1123.82</v>
      </c>
      <c r="H1153" s="15">
        <v>1123.82</v>
      </c>
      <c r="I1153" s="13">
        <v>5</v>
      </c>
      <c r="J1153" s="13">
        <v>5</v>
      </c>
      <c r="K1153" s="13" t="s">
        <v>18</v>
      </c>
      <c r="L1153" s="15">
        <v>224.76399999999998</v>
      </c>
      <c r="M1153" s="16">
        <v>224.76399999999998</v>
      </c>
    </row>
    <row r="1154" spans="1:13" s="5" customFormat="1" x14ac:dyDescent="0.25">
      <c r="A1154" s="12" t="s">
        <v>2253</v>
      </c>
      <c r="B1154" s="13" t="s">
        <v>2254</v>
      </c>
      <c r="C1154" s="14">
        <v>45877</v>
      </c>
      <c r="D1154" s="13">
        <v>2025</v>
      </c>
      <c r="E1154" s="13" t="s">
        <v>3347</v>
      </c>
      <c r="F1154" s="13" t="s">
        <v>22</v>
      </c>
      <c r="G1154" s="15">
        <v>33.229999999999997</v>
      </c>
      <c r="H1154" s="15">
        <v>33.229999999999997</v>
      </c>
      <c r="I1154" s="13">
        <v>7</v>
      </c>
      <c r="J1154" s="13">
        <v>7</v>
      </c>
      <c r="K1154" s="13" t="s">
        <v>15</v>
      </c>
      <c r="L1154" s="15">
        <v>4.7471428571428564</v>
      </c>
      <c r="M1154" s="16">
        <v>4.7471428571428564</v>
      </c>
    </row>
    <row r="1155" spans="1:13" s="5" customFormat="1" x14ac:dyDescent="0.25">
      <c r="A1155" s="12" t="s">
        <v>2255</v>
      </c>
      <c r="B1155" s="13" t="s">
        <v>2256</v>
      </c>
      <c r="C1155" s="14">
        <v>44969</v>
      </c>
      <c r="D1155" s="13">
        <v>2023</v>
      </c>
      <c r="E1155" s="13" t="s">
        <v>3347</v>
      </c>
      <c r="F1155" s="13" t="s">
        <v>11</v>
      </c>
      <c r="G1155" s="15">
        <v>1071.6199999999999</v>
      </c>
      <c r="H1155" s="15">
        <v>1071.6199999999999</v>
      </c>
      <c r="I1155" s="13">
        <v>7</v>
      </c>
      <c r="J1155" s="13">
        <v>7</v>
      </c>
      <c r="K1155" s="13" t="s">
        <v>35</v>
      </c>
      <c r="L1155" s="15">
        <v>153.08857142857141</v>
      </c>
      <c r="M1155" s="16">
        <v>153.08857142857141</v>
      </c>
    </row>
    <row r="1156" spans="1:13" s="5" customFormat="1" x14ac:dyDescent="0.25">
      <c r="A1156" s="12" t="s">
        <v>2257</v>
      </c>
      <c r="B1156" s="13" t="s">
        <v>2258</v>
      </c>
      <c r="C1156" s="14">
        <v>45837</v>
      </c>
      <c r="D1156" s="13">
        <v>2025</v>
      </c>
      <c r="E1156" s="13" t="s">
        <v>21</v>
      </c>
      <c r="F1156" s="13" t="s">
        <v>22</v>
      </c>
      <c r="G1156" s="15">
        <v>111.71</v>
      </c>
      <c r="H1156" s="15">
        <v>111.71</v>
      </c>
      <c r="I1156" s="13">
        <v>6</v>
      </c>
      <c r="J1156" s="13">
        <v>6</v>
      </c>
      <c r="K1156" s="13" t="s">
        <v>35</v>
      </c>
      <c r="L1156" s="15">
        <v>18.618333333333332</v>
      </c>
      <c r="M1156" s="16">
        <v>18.618333333333332</v>
      </c>
    </row>
    <row r="1157" spans="1:13" s="5" customFormat="1" x14ac:dyDescent="0.25">
      <c r="A1157" s="12" t="s">
        <v>2259</v>
      </c>
      <c r="B1157" s="13" t="s">
        <v>2260</v>
      </c>
      <c r="C1157" s="14">
        <v>45106</v>
      </c>
      <c r="D1157" s="13">
        <v>2023</v>
      </c>
      <c r="E1157" s="13" t="s">
        <v>14</v>
      </c>
      <c r="F1157" s="13" t="s">
        <v>11</v>
      </c>
      <c r="G1157" s="15">
        <v>313.25808333333327</v>
      </c>
      <c r="H1157" s="15">
        <v>313.25808333333327</v>
      </c>
      <c r="I1157" s="13">
        <v>1</v>
      </c>
      <c r="J1157" s="13">
        <v>1</v>
      </c>
      <c r="K1157" s="13" t="s">
        <v>3346</v>
      </c>
      <c r="L1157" s="15">
        <v>313.25808333333327</v>
      </c>
      <c r="M1157" s="16">
        <v>313.25808333333327</v>
      </c>
    </row>
    <row r="1158" spans="1:13" s="5" customFormat="1" x14ac:dyDescent="0.25">
      <c r="A1158" s="12" t="s">
        <v>2261</v>
      </c>
      <c r="B1158" s="13" t="s">
        <v>2262</v>
      </c>
      <c r="C1158" s="14">
        <v>44954</v>
      </c>
      <c r="D1158" s="13">
        <v>2023</v>
      </c>
      <c r="E1158" s="13" t="s">
        <v>21</v>
      </c>
      <c r="F1158" s="13" t="s">
        <v>11</v>
      </c>
      <c r="G1158" s="15">
        <v>1860.6415714285711</v>
      </c>
      <c r="H1158" s="15">
        <v>1860.6415714285711</v>
      </c>
      <c r="I1158" s="13">
        <v>9</v>
      </c>
      <c r="J1158" s="13">
        <v>9</v>
      </c>
      <c r="K1158" s="13" t="s">
        <v>3348</v>
      </c>
      <c r="L1158" s="15">
        <v>206.73795238095235</v>
      </c>
      <c r="M1158" s="16">
        <v>206.73795238095235</v>
      </c>
    </row>
    <row r="1159" spans="1:13" s="5" customFormat="1" x14ac:dyDescent="0.25">
      <c r="A1159" s="12" t="s">
        <v>2263</v>
      </c>
      <c r="B1159" s="13" t="s">
        <v>2264</v>
      </c>
      <c r="C1159" s="14">
        <v>44860</v>
      </c>
      <c r="D1159" s="13">
        <v>2022</v>
      </c>
      <c r="E1159" s="13" t="s">
        <v>3347</v>
      </c>
      <c r="F1159" s="13" t="s">
        <v>22</v>
      </c>
      <c r="G1159" s="15">
        <v>1209.26</v>
      </c>
      <c r="H1159" s="15">
        <v>1209.26</v>
      </c>
      <c r="I1159" s="13">
        <v>4</v>
      </c>
      <c r="J1159" s="13">
        <v>4</v>
      </c>
      <c r="K1159" s="13" t="s">
        <v>15</v>
      </c>
      <c r="L1159" s="15">
        <v>302.315</v>
      </c>
      <c r="M1159" s="16">
        <v>302.315</v>
      </c>
    </row>
    <row r="1160" spans="1:13" s="5" customFormat="1" x14ac:dyDescent="0.25">
      <c r="A1160" s="12" t="s">
        <v>2265</v>
      </c>
      <c r="B1160" s="13" t="s">
        <v>2266</v>
      </c>
      <c r="C1160" s="14">
        <v>44897</v>
      </c>
      <c r="D1160" s="13">
        <v>2022</v>
      </c>
      <c r="E1160" s="13" t="s">
        <v>3347</v>
      </c>
      <c r="F1160" s="13" t="s">
        <v>25</v>
      </c>
      <c r="G1160" s="15">
        <v>1979.08</v>
      </c>
      <c r="H1160" s="15">
        <v>1979.08</v>
      </c>
      <c r="I1160" s="13">
        <v>10</v>
      </c>
      <c r="J1160" s="13">
        <v>10</v>
      </c>
      <c r="K1160" s="13" t="s">
        <v>3346</v>
      </c>
      <c r="L1160" s="15">
        <v>197.90799999999999</v>
      </c>
      <c r="M1160" s="16">
        <v>197.90799999999999</v>
      </c>
    </row>
    <row r="1161" spans="1:13" s="5" customFormat="1" x14ac:dyDescent="0.25">
      <c r="A1161" s="12" t="s">
        <v>2267</v>
      </c>
      <c r="B1161" s="13" t="s">
        <v>2268</v>
      </c>
      <c r="C1161" s="14">
        <v>45605</v>
      </c>
      <c r="D1161" s="13">
        <v>2024</v>
      </c>
      <c r="E1161" s="13" t="s">
        <v>3347</v>
      </c>
      <c r="F1161" s="13" t="s">
        <v>25</v>
      </c>
      <c r="G1161" s="15">
        <v>1643.12</v>
      </c>
      <c r="H1161" s="15">
        <v>1643.12</v>
      </c>
      <c r="I1161" s="13">
        <v>2</v>
      </c>
      <c r="J1161" s="13">
        <v>2</v>
      </c>
      <c r="K1161" s="13" t="s">
        <v>15</v>
      </c>
      <c r="L1161" s="15">
        <v>821.56</v>
      </c>
      <c r="M1161" s="16">
        <v>821.56</v>
      </c>
    </row>
    <row r="1162" spans="1:13" s="5" customFormat="1" x14ac:dyDescent="0.25">
      <c r="A1162" s="12" t="s">
        <v>2269</v>
      </c>
      <c r="B1162" s="13" t="s">
        <v>2270</v>
      </c>
      <c r="C1162" s="14">
        <v>45290</v>
      </c>
      <c r="D1162" s="13">
        <v>2023</v>
      </c>
      <c r="E1162" s="13" t="s">
        <v>10</v>
      </c>
      <c r="F1162" s="13" t="s">
        <v>11</v>
      </c>
      <c r="G1162" s="15">
        <v>532.66</v>
      </c>
      <c r="H1162" s="15">
        <v>532.66</v>
      </c>
      <c r="I1162" s="13">
        <v>1</v>
      </c>
      <c r="J1162" s="13">
        <v>1</v>
      </c>
      <c r="K1162" s="13" t="s">
        <v>18</v>
      </c>
      <c r="L1162" s="15">
        <v>532.66</v>
      </c>
      <c r="M1162" s="16">
        <v>532.66</v>
      </c>
    </row>
    <row r="1163" spans="1:13" s="5" customFormat="1" x14ac:dyDescent="0.25">
      <c r="A1163" s="12" t="s">
        <v>2271</v>
      </c>
      <c r="B1163" s="13" t="s">
        <v>2272</v>
      </c>
      <c r="C1163" s="14">
        <v>44883</v>
      </c>
      <c r="D1163" s="13">
        <v>2022</v>
      </c>
      <c r="E1163" s="13" t="s">
        <v>14</v>
      </c>
      <c r="F1163" s="13" t="s">
        <v>34</v>
      </c>
      <c r="G1163" s="15">
        <v>1200.56</v>
      </c>
      <c r="H1163" s="15">
        <v>1200.56</v>
      </c>
      <c r="I1163" s="13">
        <v>8</v>
      </c>
      <c r="J1163" s="13">
        <v>8</v>
      </c>
      <c r="K1163" s="13" t="s">
        <v>15</v>
      </c>
      <c r="L1163" s="15">
        <v>150.07</v>
      </c>
      <c r="M1163" s="16">
        <v>150.07</v>
      </c>
    </row>
    <row r="1164" spans="1:13" s="5" customFormat="1" x14ac:dyDescent="0.25">
      <c r="A1164" s="12" t="s">
        <v>2273</v>
      </c>
      <c r="B1164" s="13" t="s">
        <v>2274</v>
      </c>
      <c r="C1164" s="14">
        <v>45455</v>
      </c>
      <c r="D1164" s="13">
        <v>2024</v>
      </c>
      <c r="E1164" s="13" t="s">
        <v>3347</v>
      </c>
      <c r="F1164" s="13" t="s">
        <v>11</v>
      </c>
      <c r="G1164" s="15">
        <v>917.6814920634921</v>
      </c>
      <c r="H1164" s="15">
        <v>917.6814920634921</v>
      </c>
      <c r="I1164" s="13">
        <v>6</v>
      </c>
      <c r="J1164" s="13">
        <v>6</v>
      </c>
      <c r="K1164" s="13" t="s">
        <v>15</v>
      </c>
      <c r="L1164" s="15">
        <v>152.94691534391535</v>
      </c>
      <c r="M1164" s="16">
        <v>152.94691534391535</v>
      </c>
    </row>
    <row r="1165" spans="1:13" s="5" customFormat="1" x14ac:dyDescent="0.25">
      <c r="A1165" s="12" t="s">
        <v>2275</v>
      </c>
      <c r="B1165" s="13" t="s">
        <v>2276</v>
      </c>
      <c r="C1165" s="14">
        <v>45273</v>
      </c>
      <c r="D1165" s="13">
        <v>2023</v>
      </c>
      <c r="E1165" s="13" t="s">
        <v>10</v>
      </c>
      <c r="F1165" s="13" t="s">
        <v>34</v>
      </c>
      <c r="G1165" s="15">
        <v>1598.77</v>
      </c>
      <c r="H1165" s="15">
        <v>1598.77</v>
      </c>
      <c r="I1165" s="13">
        <v>1</v>
      </c>
      <c r="J1165" s="13">
        <v>1</v>
      </c>
      <c r="K1165" s="13" t="s">
        <v>3348</v>
      </c>
      <c r="L1165" s="15">
        <v>1598.77</v>
      </c>
      <c r="M1165" s="16">
        <v>1598.77</v>
      </c>
    </row>
    <row r="1166" spans="1:13" s="5" customFormat="1" x14ac:dyDescent="0.25">
      <c r="A1166" s="12" t="s">
        <v>2277</v>
      </c>
      <c r="B1166" s="13" t="s">
        <v>2278</v>
      </c>
      <c r="C1166" s="14">
        <v>44932</v>
      </c>
      <c r="D1166" s="13">
        <v>2023</v>
      </c>
      <c r="E1166" s="13" t="s">
        <v>21</v>
      </c>
      <c r="F1166" s="13" t="s">
        <v>22</v>
      </c>
      <c r="G1166" s="15">
        <v>714.82</v>
      </c>
      <c r="H1166" s="15">
        <v>714.82</v>
      </c>
      <c r="I1166" s="13">
        <v>1</v>
      </c>
      <c r="J1166" s="13">
        <v>1</v>
      </c>
      <c r="K1166" s="13" t="s">
        <v>3348</v>
      </c>
      <c r="L1166" s="15">
        <v>714.82</v>
      </c>
      <c r="M1166" s="16">
        <v>714.82</v>
      </c>
    </row>
    <row r="1167" spans="1:13" s="5" customFormat="1" x14ac:dyDescent="0.25">
      <c r="A1167" s="12" t="s">
        <v>2279</v>
      </c>
      <c r="B1167" s="13" t="s">
        <v>2280</v>
      </c>
      <c r="C1167" s="14">
        <v>45017</v>
      </c>
      <c r="D1167" s="13">
        <v>2023</v>
      </c>
      <c r="E1167" s="13" t="s">
        <v>21</v>
      </c>
      <c r="F1167" s="13" t="s">
        <v>22</v>
      </c>
      <c r="G1167" s="15">
        <v>1523.23</v>
      </c>
      <c r="H1167" s="15">
        <v>1523.23</v>
      </c>
      <c r="I1167" s="13">
        <v>9</v>
      </c>
      <c r="J1167" s="13">
        <v>9</v>
      </c>
      <c r="K1167" s="13" t="s">
        <v>15</v>
      </c>
      <c r="L1167" s="15">
        <v>169.24777777777777</v>
      </c>
      <c r="M1167" s="16">
        <v>169.24777777777777</v>
      </c>
    </row>
    <row r="1168" spans="1:13" s="5" customFormat="1" x14ac:dyDescent="0.25">
      <c r="A1168" s="12" t="s">
        <v>2281</v>
      </c>
      <c r="B1168" s="13" t="s">
        <v>2282</v>
      </c>
      <c r="C1168" s="14">
        <v>45597</v>
      </c>
      <c r="D1168" s="13">
        <v>2024</v>
      </c>
      <c r="E1168" s="13" t="s">
        <v>3347</v>
      </c>
      <c r="F1168" s="13" t="s">
        <v>25</v>
      </c>
      <c r="G1168" s="15">
        <v>2385.7613888888891</v>
      </c>
      <c r="H1168" s="15">
        <v>2385.7613888888891</v>
      </c>
      <c r="I1168" s="13">
        <v>7</v>
      </c>
      <c r="J1168" s="13">
        <v>7</v>
      </c>
      <c r="K1168" s="13" t="s">
        <v>3348</v>
      </c>
      <c r="L1168" s="15">
        <v>340.82305555555558</v>
      </c>
      <c r="M1168" s="16">
        <v>340.82305555555558</v>
      </c>
    </row>
    <row r="1169" spans="1:13" s="5" customFormat="1" x14ac:dyDescent="0.25">
      <c r="A1169" s="12" t="s">
        <v>2283</v>
      </c>
      <c r="B1169" s="13" t="s">
        <v>2284</v>
      </c>
      <c r="C1169" s="14">
        <v>45110</v>
      </c>
      <c r="D1169" s="13">
        <v>2023</v>
      </c>
      <c r="E1169" s="13" t="s">
        <v>14</v>
      </c>
      <c r="F1169" s="13" t="s">
        <v>34</v>
      </c>
      <c r="G1169" s="15">
        <v>1324.84</v>
      </c>
      <c r="H1169" s="15">
        <v>1324.84</v>
      </c>
      <c r="I1169" s="13">
        <v>3</v>
      </c>
      <c r="J1169" s="13">
        <v>3</v>
      </c>
      <c r="K1169" s="13" t="s">
        <v>3348</v>
      </c>
      <c r="L1169" s="15">
        <v>441.61333333333329</v>
      </c>
      <c r="M1169" s="16">
        <v>441.61333333333329</v>
      </c>
    </row>
    <row r="1170" spans="1:13" s="5" customFormat="1" x14ac:dyDescent="0.25">
      <c r="A1170" s="12" t="s">
        <v>2285</v>
      </c>
      <c r="B1170" s="13" t="s">
        <v>2286</v>
      </c>
      <c r="C1170" s="14">
        <v>45327</v>
      </c>
      <c r="D1170" s="13">
        <v>2024</v>
      </c>
      <c r="E1170" s="13" t="s">
        <v>21</v>
      </c>
      <c r="F1170" s="13" t="s">
        <v>22</v>
      </c>
      <c r="G1170" s="15">
        <v>176.83</v>
      </c>
      <c r="H1170" s="15">
        <v>176.83</v>
      </c>
      <c r="I1170" s="13">
        <v>10</v>
      </c>
      <c r="J1170" s="13">
        <v>10</v>
      </c>
      <c r="K1170" s="13" t="s">
        <v>18</v>
      </c>
      <c r="L1170" s="15">
        <v>17.683</v>
      </c>
      <c r="M1170" s="16">
        <v>17.683</v>
      </c>
    </row>
    <row r="1171" spans="1:13" s="5" customFormat="1" x14ac:dyDescent="0.25">
      <c r="A1171" s="12" t="s">
        <v>2287</v>
      </c>
      <c r="B1171" s="13" t="s">
        <v>2288</v>
      </c>
      <c r="C1171" s="14">
        <v>45620</v>
      </c>
      <c r="D1171" s="13">
        <v>2024</v>
      </c>
      <c r="E1171" s="13" t="s">
        <v>3347</v>
      </c>
      <c r="F1171" s="13" t="s">
        <v>22</v>
      </c>
      <c r="G1171" s="15">
        <v>698.5</v>
      </c>
      <c r="H1171" s="15">
        <v>698.5</v>
      </c>
      <c r="I1171" s="13">
        <v>8</v>
      </c>
      <c r="J1171" s="13">
        <v>8</v>
      </c>
      <c r="K1171" s="13" t="s">
        <v>3346</v>
      </c>
      <c r="L1171" s="15">
        <v>87.3125</v>
      </c>
      <c r="M1171" s="16">
        <v>87.3125</v>
      </c>
    </row>
    <row r="1172" spans="1:13" s="5" customFormat="1" x14ac:dyDescent="0.25">
      <c r="A1172" s="12" t="s">
        <v>2289</v>
      </c>
      <c r="B1172" s="13" t="s">
        <v>2290</v>
      </c>
      <c r="C1172" s="14">
        <v>45034</v>
      </c>
      <c r="D1172" s="13">
        <v>2023</v>
      </c>
      <c r="E1172" s="13" t="s">
        <v>3347</v>
      </c>
      <c r="F1172" s="13" t="s">
        <v>11</v>
      </c>
      <c r="G1172" s="15">
        <v>1358.85</v>
      </c>
      <c r="H1172" s="15">
        <v>1358.85</v>
      </c>
      <c r="I1172" s="13">
        <v>1</v>
      </c>
      <c r="J1172" s="13">
        <v>1</v>
      </c>
      <c r="K1172" s="13" t="s">
        <v>18</v>
      </c>
      <c r="L1172" s="15">
        <v>1358.85</v>
      </c>
      <c r="M1172" s="16">
        <v>1358.85</v>
      </c>
    </row>
    <row r="1173" spans="1:13" s="5" customFormat="1" x14ac:dyDescent="0.25">
      <c r="A1173" s="12" t="s">
        <v>2291</v>
      </c>
      <c r="B1173" s="13" t="s">
        <v>2292</v>
      </c>
      <c r="C1173" s="14">
        <v>45491</v>
      </c>
      <c r="D1173" s="13">
        <v>2024</v>
      </c>
      <c r="E1173" s="13" t="s">
        <v>21</v>
      </c>
      <c r="F1173" s="13" t="s">
        <v>11</v>
      </c>
      <c r="G1173" s="15">
        <v>1011.35</v>
      </c>
      <c r="H1173" s="15">
        <v>1011.35</v>
      </c>
      <c r="I1173" s="13">
        <v>3</v>
      </c>
      <c r="J1173" s="13">
        <v>3</v>
      </c>
      <c r="K1173" s="13" t="s">
        <v>35</v>
      </c>
      <c r="L1173" s="15">
        <v>337.11666666666667</v>
      </c>
      <c r="M1173" s="16">
        <v>337.11666666666667</v>
      </c>
    </row>
    <row r="1174" spans="1:13" s="5" customFormat="1" x14ac:dyDescent="0.25">
      <c r="A1174" s="12" t="s">
        <v>2293</v>
      </c>
      <c r="B1174" s="13" t="s">
        <v>2294</v>
      </c>
      <c r="C1174" s="14">
        <v>45093</v>
      </c>
      <c r="D1174" s="13">
        <v>2023</v>
      </c>
      <c r="E1174" s="13" t="s">
        <v>21</v>
      </c>
      <c r="F1174" s="13" t="s">
        <v>34</v>
      </c>
      <c r="G1174" s="15">
        <v>1329.38</v>
      </c>
      <c r="H1174" s="15">
        <v>1329.38</v>
      </c>
      <c r="I1174" s="13">
        <v>7</v>
      </c>
      <c r="J1174" s="13">
        <v>7</v>
      </c>
      <c r="K1174" s="13" t="s">
        <v>3348</v>
      </c>
      <c r="L1174" s="15">
        <v>189.91142857142859</v>
      </c>
      <c r="M1174" s="16">
        <v>189.91142857142859</v>
      </c>
    </row>
    <row r="1175" spans="1:13" s="5" customFormat="1" x14ac:dyDescent="0.25">
      <c r="A1175" s="12" t="s">
        <v>2295</v>
      </c>
      <c r="B1175" s="13" t="s">
        <v>2296</v>
      </c>
      <c r="C1175" s="14">
        <v>45280</v>
      </c>
      <c r="D1175" s="13">
        <v>2023</v>
      </c>
      <c r="E1175" s="13" t="s">
        <v>10</v>
      </c>
      <c r="F1175" s="13" t="s">
        <v>34</v>
      </c>
      <c r="G1175" s="15">
        <v>371.47104166666668</v>
      </c>
      <c r="H1175" s="15">
        <v>371.47104166666668</v>
      </c>
      <c r="I1175" s="13">
        <v>1</v>
      </c>
      <c r="J1175" s="13">
        <v>1</v>
      </c>
      <c r="K1175" s="13" t="s">
        <v>3348</v>
      </c>
      <c r="L1175" s="15">
        <v>371.47104166666668</v>
      </c>
      <c r="M1175" s="16">
        <v>371.47104166666668</v>
      </c>
    </row>
    <row r="1176" spans="1:13" s="5" customFormat="1" x14ac:dyDescent="0.25">
      <c r="A1176" s="12" t="s">
        <v>2297</v>
      </c>
      <c r="B1176" s="13" t="s">
        <v>2298</v>
      </c>
      <c r="C1176" s="14">
        <v>45116</v>
      </c>
      <c r="D1176" s="13">
        <v>2023</v>
      </c>
      <c r="E1176" s="13" t="s">
        <v>10</v>
      </c>
      <c r="F1176" s="13" t="s">
        <v>22</v>
      </c>
      <c r="G1176" s="15">
        <v>1396.82</v>
      </c>
      <c r="H1176" s="15">
        <v>1396.82</v>
      </c>
      <c r="I1176" s="13">
        <v>6</v>
      </c>
      <c r="J1176" s="13">
        <v>6</v>
      </c>
      <c r="K1176" s="13" t="s">
        <v>3348</v>
      </c>
      <c r="L1176" s="15">
        <v>232.80333333333331</v>
      </c>
      <c r="M1176" s="16">
        <v>232.80333333333331</v>
      </c>
    </row>
    <row r="1177" spans="1:13" s="5" customFormat="1" x14ac:dyDescent="0.25">
      <c r="A1177" s="12" t="s">
        <v>2299</v>
      </c>
      <c r="B1177" s="13" t="s">
        <v>2300</v>
      </c>
      <c r="C1177" s="14">
        <v>45161</v>
      </c>
      <c r="D1177" s="13">
        <v>2023</v>
      </c>
      <c r="E1177" s="13" t="s">
        <v>14</v>
      </c>
      <c r="F1177" s="13" t="s">
        <v>34</v>
      </c>
      <c r="G1177" s="15">
        <v>921.75</v>
      </c>
      <c r="H1177" s="15">
        <v>921.75</v>
      </c>
      <c r="I1177" s="13">
        <v>9</v>
      </c>
      <c r="J1177" s="13">
        <v>9</v>
      </c>
      <c r="K1177" s="13" t="s">
        <v>3348</v>
      </c>
      <c r="L1177" s="15">
        <v>102.41666666666667</v>
      </c>
      <c r="M1177" s="16">
        <v>102.41666666666667</v>
      </c>
    </row>
    <row r="1178" spans="1:13" s="5" customFormat="1" x14ac:dyDescent="0.25">
      <c r="A1178" s="12" t="s">
        <v>2301</v>
      </c>
      <c r="B1178" s="13" t="s">
        <v>2302</v>
      </c>
      <c r="C1178" s="14">
        <v>45041</v>
      </c>
      <c r="D1178" s="13">
        <v>2023</v>
      </c>
      <c r="E1178" s="13" t="s">
        <v>3347</v>
      </c>
      <c r="F1178" s="13" t="s">
        <v>34</v>
      </c>
      <c r="G1178" s="15">
        <v>1352.05</v>
      </c>
      <c r="H1178" s="15">
        <v>1352.05</v>
      </c>
      <c r="I1178" s="13">
        <v>7</v>
      </c>
      <c r="J1178" s="13">
        <v>7</v>
      </c>
      <c r="K1178" s="13" t="s">
        <v>18</v>
      </c>
      <c r="L1178" s="15">
        <v>193.15</v>
      </c>
      <c r="M1178" s="16">
        <v>193.15</v>
      </c>
    </row>
    <row r="1179" spans="1:13" s="5" customFormat="1" x14ac:dyDescent="0.25">
      <c r="A1179" s="12" t="s">
        <v>2303</v>
      </c>
      <c r="B1179" s="13" t="s">
        <v>2304</v>
      </c>
      <c r="C1179" s="14">
        <v>45575</v>
      </c>
      <c r="D1179" s="13">
        <v>2024</v>
      </c>
      <c r="E1179" s="13" t="s">
        <v>10</v>
      </c>
      <c r="F1179" s="13" t="s">
        <v>34</v>
      </c>
      <c r="G1179" s="15">
        <v>1158.21</v>
      </c>
      <c r="H1179" s="15">
        <v>1158.21</v>
      </c>
      <c r="I1179" s="13">
        <v>9</v>
      </c>
      <c r="J1179" s="13">
        <v>9</v>
      </c>
      <c r="K1179" s="13" t="s">
        <v>3348</v>
      </c>
      <c r="L1179" s="15">
        <v>128.69</v>
      </c>
      <c r="M1179" s="16">
        <v>128.69</v>
      </c>
    </row>
    <row r="1180" spans="1:13" s="5" customFormat="1" x14ac:dyDescent="0.25">
      <c r="A1180" s="12" t="s">
        <v>2305</v>
      </c>
      <c r="B1180" s="13" t="s">
        <v>2306</v>
      </c>
      <c r="C1180" s="14">
        <v>45648</v>
      </c>
      <c r="D1180" s="13">
        <v>2024</v>
      </c>
      <c r="E1180" s="13" t="s">
        <v>3347</v>
      </c>
      <c r="F1180" s="13" t="s">
        <v>11</v>
      </c>
      <c r="G1180" s="15">
        <v>5955.5776785714288</v>
      </c>
      <c r="H1180" s="15">
        <v>3548.2821388888883</v>
      </c>
      <c r="I1180" s="13">
        <v>9</v>
      </c>
      <c r="J1180" s="13">
        <v>9</v>
      </c>
      <c r="K1180" s="13" t="s">
        <v>3348</v>
      </c>
      <c r="L1180" s="15">
        <v>661.73085317460323</v>
      </c>
      <c r="M1180" s="16">
        <v>661.73085317460323</v>
      </c>
    </row>
    <row r="1181" spans="1:13" s="5" customFormat="1" x14ac:dyDescent="0.25">
      <c r="A1181" s="12" t="s">
        <v>2307</v>
      </c>
      <c r="B1181" s="13" t="s">
        <v>2308</v>
      </c>
      <c r="C1181" s="14">
        <v>45394</v>
      </c>
      <c r="D1181" s="13">
        <v>2024</v>
      </c>
      <c r="E1181" s="13" t="s">
        <v>21</v>
      </c>
      <c r="F1181" s="13" t="s">
        <v>22</v>
      </c>
      <c r="G1181" s="15">
        <v>166.45</v>
      </c>
      <c r="H1181" s="15">
        <v>166.45</v>
      </c>
      <c r="I1181" s="13">
        <v>2</v>
      </c>
      <c r="J1181" s="13">
        <v>2</v>
      </c>
      <c r="K1181" s="13" t="s">
        <v>3348</v>
      </c>
      <c r="L1181" s="15">
        <v>83.224999999999994</v>
      </c>
      <c r="M1181" s="16">
        <v>83.224999999999994</v>
      </c>
    </row>
    <row r="1182" spans="1:13" s="5" customFormat="1" x14ac:dyDescent="0.25">
      <c r="A1182" s="12" t="s">
        <v>2309</v>
      </c>
      <c r="B1182" s="13" t="s">
        <v>2310</v>
      </c>
      <c r="C1182" s="14">
        <v>45656</v>
      </c>
      <c r="D1182" s="13">
        <v>2024</v>
      </c>
      <c r="E1182" s="13" t="s">
        <v>21</v>
      </c>
      <c r="F1182" s="13" t="s">
        <v>11</v>
      </c>
      <c r="G1182" s="15">
        <v>426.96</v>
      </c>
      <c r="H1182" s="15">
        <v>426.96</v>
      </c>
      <c r="I1182" s="13">
        <v>4</v>
      </c>
      <c r="J1182" s="13">
        <v>4</v>
      </c>
      <c r="K1182" s="13" t="s">
        <v>35</v>
      </c>
      <c r="L1182" s="15">
        <v>106.74</v>
      </c>
      <c r="M1182" s="16">
        <v>106.74</v>
      </c>
    </row>
    <row r="1183" spans="1:13" s="5" customFormat="1" x14ac:dyDescent="0.25">
      <c r="A1183" s="12" t="s">
        <v>2311</v>
      </c>
      <c r="B1183" s="13" t="s">
        <v>2312</v>
      </c>
      <c r="C1183" s="14">
        <v>45240</v>
      </c>
      <c r="D1183" s="13">
        <v>2023</v>
      </c>
      <c r="E1183" s="13" t="s">
        <v>3347</v>
      </c>
      <c r="F1183" s="13" t="s">
        <v>34</v>
      </c>
      <c r="G1183" s="15">
        <v>202.53</v>
      </c>
      <c r="H1183" s="15">
        <v>202.53</v>
      </c>
      <c r="I1183" s="13">
        <v>2</v>
      </c>
      <c r="J1183" s="13">
        <v>2</v>
      </c>
      <c r="K1183" s="13" t="s">
        <v>35</v>
      </c>
      <c r="L1183" s="15">
        <v>101.265</v>
      </c>
      <c r="M1183" s="16">
        <v>101.265</v>
      </c>
    </row>
    <row r="1184" spans="1:13" s="5" customFormat="1" x14ac:dyDescent="0.25">
      <c r="A1184" s="12" t="s">
        <v>2313</v>
      </c>
      <c r="B1184" s="13" t="s">
        <v>2314</v>
      </c>
      <c r="C1184" s="14">
        <v>45536</v>
      </c>
      <c r="D1184" s="13">
        <v>2024</v>
      </c>
      <c r="E1184" s="13" t="s">
        <v>14</v>
      </c>
      <c r="F1184" s="13" t="s">
        <v>22</v>
      </c>
      <c r="G1184" s="15">
        <v>3292.3352</v>
      </c>
      <c r="H1184" s="15">
        <v>3292.3352</v>
      </c>
      <c r="I1184" s="13">
        <v>8</v>
      </c>
      <c r="J1184" s="13">
        <v>8</v>
      </c>
      <c r="K1184" s="13" t="s">
        <v>35</v>
      </c>
      <c r="L1184" s="15">
        <v>411.5419</v>
      </c>
      <c r="M1184" s="16">
        <v>411.5419</v>
      </c>
    </row>
    <row r="1185" spans="1:13" s="5" customFormat="1" x14ac:dyDescent="0.25">
      <c r="A1185" s="12" t="s">
        <v>2315</v>
      </c>
      <c r="B1185" s="13" t="s">
        <v>2316</v>
      </c>
      <c r="C1185" s="14">
        <v>44922</v>
      </c>
      <c r="D1185" s="13">
        <v>2022</v>
      </c>
      <c r="E1185" s="13" t="s">
        <v>14</v>
      </c>
      <c r="F1185" s="13" t="s">
        <v>34</v>
      </c>
      <c r="G1185" s="15">
        <v>513.79999999999995</v>
      </c>
      <c r="H1185" s="15">
        <v>513.79999999999995</v>
      </c>
      <c r="I1185" s="13">
        <v>2</v>
      </c>
      <c r="J1185" s="13">
        <v>2</v>
      </c>
      <c r="K1185" s="13" t="s">
        <v>15</v>
      </c>
      <c r="L1185" s="15">
        <v>256.89999999999998</v>
      </c>
      <c r="M1185" s="16">
        <v>256.89999999999998</v>
      </c>
    </row>
    <row r="1186" spans="1:13" s="5" customFormat="1" x14ac:dyDescent="0.25">
      <c r="A1186" s="12" t="s">
        <v>2317</v>
      </c>
      <c r="B1186" s="13" t="s">
        <v>2318</v>
      </c>
      <c r="C1186" s="14">
        <v>45488</v>
      </c>
      <c r="D1186" s="13">
        <v>2024</v>
      </c>
      <c r="E1186" s="13" t="s">
        <v>14</v>
      </c>
      <c r="F1186" s="13" t="s">
        <v>25</v>
      </c>
      <c r="G1186" s="15">
        <v>626.21</v>
      </c>
      <c r="H1186" s="15">
        <v>626.21</v>
      </c>
      <c r="I1186" s="13">
        <v>8</v>
      </c>
      <c r="J1186" s="13">
        <v>8</v>
      </c>
      <c r="K1186" s="13" t="s">
        <v>3348</v>
      </c>
      <c r="L1186" s="15">
        <v>78.276250000000005</v>
      </c>
      <c r="M1186" s="16">
        <v>78.276250000000005</v>
      </c>
    </row>
    <row r="1187" spans="1:13" s="5" customFormat="1" x14ac:dyDescent="0.25">
      <c r="A1187" s="12" t="s">
        <v>2319</v>
      </c>
      <c r="B1187" s="13" t="s">
        <v>2320</v>
      </c>
      <c r="C1187" s="14">
        <v>45221</v>
      </c>
      <c r="D1187" s="13">
        <v>2023</v>
      </c>
      <c r="E1187" s="13" t="s">
        <v>10</v>
      </c>
      <c r="F1187" s="13" t="s">
        <v>34</v>
      </c>
      <c r="G1187" s="15">
        <v>680.1</v>
      </c>
      <c r="H1187" s="15">
        <v>680.1</v>
      </c>
      <c r="I1187" s="13">
        <v>9</v>
      </c>
      <c r="J1187" s="13">
        <v>9</v>
      </c>
      <c r="K1187" s="13" t="s">
        <v>35</v>
      </c>
      <c r="L1187" s="15">
        <v>75.566666666666663</v>
      </c>
      <c r="M1187" s="16">
        <v>75.566666666666663</v>
      </c>
    </row>
    <row r="1188" spans="1:13" s="5" customFormat="1" x14ac:dyDescent="0.25">
      <c r="A1188" s="12" t="s">
        <v>2321</v>
      </c>
      <c r="B1188" s="13" t="s">
        <v>2322</v>
      </c>
      <c r="C1188" s="14">
        <v>45233</v>
      </c>
      <c r="D1188" s="13">
        <v>2023</v>
      </c>
      <c r="E1188" s="13" t="s">
        <v>21</v>
      </c>
      <c r="F1188" s="13" t="s">
        <v>11</v>
      </c>
      <c r="G1188" s="15">
        <v>1567.41</v>
      </c>
      <c r="H1188" s="15">
        <v>1567.41</v>
      </c>
      <c r="I1188" s="13">
        <v>1</v>
      </c>
      <c r="J1188" s="13">
        <v>1</v>
      </c>
      <c r="K1188" s="13" t="s">
        <v>18</v>
      </c>
      <c r="L1188" s="15">
        <v>1567.41</v>
      </c>
      <c r="M1188" s="16">
        <v>1567.41</v>
      </c>
    </row>
    <row r="1189" spans="1:13" s="5" customFormat="1" x14ac:dyDescent="0.25">
      <c r="A1189" s="12" t="s">
        <v>2323</v>
      </c>
      <c r="B1189" s="13" t="s">
        <v>2324</v>
      </c>
      <c r="C1189" s="14">
        <v>44974</v>
      </c>
      <c r="D1189" s="13">
        <v>2023</v>
      </c>
      <c r="E1189" s="13" t="s">
        <v>10</v>
      </c>
      <c r="F1189" s="13" t="s">
        <v>11</v>
      </c>
      <c r="G1189" s="15">
        <v>549.19000000000005</v>
      </c>
      <c r="H1189" s="15">
        <v>549.19000000000005</v>
      </c>
      <c r="I1189" s="13">
        <v>4</v>
      </c>
      <c r="J1189" s="13">
        <v>4</v>
      </c>
      <c r="K1189" s="13" t="s">
        <v>15</v>
      </c>
      <c r="L1189" s="15">
        <v>137.29750000000001</v>
      </c>
      <c r="M1189" s="16">
        <v>137.29750000000001</v>
      </c>
    </row>
    <row r="1190" spans="1:13" s="5" customFormat="1" x14ac:dyDescent="0.25">
      <c r="A1190" s="12" t="s">
        <v>2325</v>
      </c>
      <c r="B1190" s="13" t="s">
        <v>2326</v>
      </c>
      <c r="C1190" s="14">
        <v>44866</v>
      </c>
      <c r="D1190" s="13">
        <v>2022</v>
      </c>
      <c r="E1190" s="13" t="s">
        <v>10</v>
      </c>
      <c r="F1190" s="13" t="s">
        <v>34</v>
      </c>
      <c r="G1190" s="15">
        <v>178.92</v>
      </c>
      <c r="H1190" s="15">
        <v>178.92</v>
      </c>
      <c r="I1190" s="13">
        <v>5</v>
      </c>
      <c r="J1190" s="13">
        <v>5</v>
      </c>
      <c r="K1190" s="13" t="s">
        <v>3348</v>
      </c>
      <c r="L1190" s="15">
        <v>35.783999999999999</v>
      </c>
      <c r="M1190" s="16">
        <v>35.783999999999999</v>
      </c>
    </row>
    <row r="1191" spans="1:13" s="5" customFormat="1" x14ac:dyDescent="0.25">
      <c r="A1191" s="12" t="s">
        <v>2327</v>
      </c>
      <c r="B1191" s="13" t="s">
        <v>2328</v>
      </c>
      <c r="C1191" s="14">
        <v>45892</v>
      </c>
      <c r="D1191" s="13">
        <v>2025</v>
      </c>
      <c r="E1191" s="13" t="s">
        <v>3347</v>
      </c>
      <c r="F1191" s="13" t="s">
        <v>34</v>
      </c>
      <c r="G1191" s="15">
        <v>3658.6324999999997</v>
      </c>
      <c r="H1191" s="15">
        <v>3548.2821388888883</v>
      </c>
      <c r="I1191" s="13">
        <v>6</v>
      </c>
      <c r="J1191" s="13">
        <v>6</v>
      </c>
      <c r="K1191" s="13" t="s">
        <v>18</v>
      </c>
      <c r="L1191" s="15">
        <v>609.77208333333328</v>
      </c>
      <c r="M1191" s="16">
        <v>609.77208333333328</v>
      </c>
    </row>
    <row r="1192" spans="1:13" s="5" customFormat="1" x14ac:dyDescent="0.25">
      <c r="A1192" s="12" t="s">
        <v>2329</v>
      </c>
      <c r="B1192" s="13" t="s">
        <v>2330</v>
      </c>
      <c r="C1192" s="14">
        <v>45483</v>
      </c>
      <c r="D1192" s="13">
        <v>2024</v>
      </c>
      <c r="E1192" s="13" t="s">
        <v>14</v>
      </c>
      <c r="F1192" s="13" t="s">
        <v>34</v>
      </c>
      <c r="G1192" s="15">
        <v>1493.68</v>
      </c>
      <c r="H1192" s="15">
        <v>1493.68</v>
      </c>
      <c r="I1192" s="13">
        <v>7</v>
      </c>
      <c r="J1192" s="13">
        <v>7</v>
      </c>
      <c r="K1192" s="13" t="s">
        <v>18</v>
      </c>
      <c r="L1192" s="15">
        <v>213.38285714285715</v>
      </c>
      <c r="M1192" s="16">
        <v>213.38285714285715</v>
      </c>
    </row>
    <row r="1193" spans="1:13" s="5" customFormat="1" x14ac:dyDescent="0.25">
      <c r="A1193" s="12" t="s">
        <v>2331</v>
      </c>
      <c r="B1193" s="13" t="s">
        <v>2332</v>
      </c>
      <c r="C1193" s="14">
        <v>45075</v>
      </c>
      <c r="D1193" s="13">
        <v>2023</v>
      </c>
      <c r="E1193" s="13" t="s">
        <v>21</v>
      </c>
      <c r="F1193" s="13" t="s">
        <v>22</v>
      </c>
      <c r="G1193" s="15">
        <v>470.86</v>
      </c>
      <c r="H1193" s="15">
        <v>470.86</v>
      </c>
      <c r="I1193" s="13">
        <v>6</v>
      </c>
      <c r="J1193" s="13">
        <v>6</v>
      </c>
      <c r="K1193" s="13" t="s">
        <v>3346</v>
      </c>
      <c r="L1193" s="15">
        <v>78.476666666666674</v>
      </c>
      <c r="M1193" s="16">
        <v>78.476666666666674</v>
      </c>
    </row>
    <row r="1194" spans="1:13" s="5" customFormat="1" x14ac:dyDescent="0.25">
      <c r="A1194" s="12" t="s">
        <v>2333</v>
      </c>
      <c r="B1194" s="13" t="s">
        <v>2334</v>
      </c>
      <c r="C1194" s="14">
        <v>45220</v>
      </c>
      <c r="D1194" s="13">
        <v>2023</v>
      </c>
      <c r="E1194" s="13" t="s">
        <v>14</v>
      </c>
      <c r="F1194" s="13" t="s">
        <v>34</v>
      </c>
      <c r="G1194" s="15">
        <v>654.89</v>
      </c>
      <c r="H1194" s="15">
        <v>654.89</v>
      </c>
      <c r="I1194" s="13">
        <v>3</v>
      </c>
      <c r="J1194" s="13">
        <v>3</v>
      </c>
      <c r="K1194" s="13" t="s">
        <v>18</v>
      </c>
      <c r="L1194" s="15">
        <v>218.29666666666665</v>
      </c>
      <c r="M1194" s="16">
        <v>218.29666666666665</v>
      </c>
    </row>
    <row r="1195" spans="1:13" s="5" customFormat="1" x14ac:dyDescent="0.25">
      <c r="A1195" s="12" t="s">
        <v>2335</v>
      </c>
      <c r="B1195" s="13" t="s">
        <v>2336</v>
      </c>
      <c r="C1195" s="14">
        <v>45562</v>
      </c>
      <c r="D1195" s="13">
        <v>2024</v>
      </c>
      <c r="E1195" s="13" t="s">
        <v>3347</v>
      </c>
      <c r="F1195" s="13" t="s">
        <v>25</v>
      </c>
      <c r="G1195" s="15">
        <v>2519.8363333333332</v>
      </c>
      <c r="H1195" s="15">
        <v>2519.8363333333332</v>
      </c>
      <c r="I1195" s="13">
        <v>7</v>
      </c>
      <c r="J1195" s="13">
        <v>7</v>
      </c>
      <c r="K1195" s="13" t="s">
        <v>35</v>
      </c>
      <c r="L1195" s="15">
        <v>359.97661904761901</v>
      </c>
      <c r="M1195" s="16">
        <v>359.97661904761901</v>
      </c>
    </row>
    <row r="1196" spans="1:13" s="5" customFormat="1" x14ac:dyDescent="0.25">
      <c r="A1196" s="12" t="s">
        <v>2337</v>
      </c>
      <c r="B1196" s="13" t="s">
        <v>2338</v>
      </c>
      <c r="C1196" s="14">
        <v>44878</v>
      </c>
      <c r="D1196" s="13">
        <v>2022</v>
      </c>
      <c r="E1196" s="13" t="s">
        <v>21</v>
      </c>
      <c r="F1196" s="13" t="s">
        <v>25</v>
      </c>
      <c r="G1196" s="15">
        <v>2011.9129738095241</v>
      </c>
      <c r="H1196" s="15">
        <v>2011.9129738095241</v>
      </c>
      <c r="I1196" s="13">
        <v>6</v>
      </c>
      <c r="J1196" s="13">
        <v>6</v>
      </c>
      <c r="K1196" s="13" t="s">
        <v>18</v>
      </c>
      <c r="L1196" s="15">
        <v>335.31882896825402</v>
      </c>
      <c r="M1196" s="16">
        <v>335.31882896825402</v>
      </c>
    </row>
    <row r="1197" spans="1:13" s="5" customFormat="1" x14ac:dyDescent="0.25">
      <c r="A1197" s="12" t="s">
        <v>2339</v>
      </c>
      <c r="B1197" s="13" t="s">
        <v>2340</v>
      </c>
      <c r="C1197" s="14">
        <v>44921</v>
      </c>
      <c r="D1197" s="13">
        <v>2022</v>
      </c>
      <c r="E1197" s="13" t="s">
        <v>3347</v>
      </c>
      <c r="F1197" s="13" t="s">
        <v>22</v>
      </c>
      <c r="G1197" s="15">
        <v>812.91499999999996</v>
      </c>
      <c r="H1197" s="15">
        <v>812.91499999999996</v>
      </c>
      <c r="I1197" s="13">
        <v>1</v>
      </c>
      <c r="J1197" s="13">
        <v>1</v>
      </c>
      <c r="K1197" s="13" t="s">
        <v>3348</v>
      </c>
      <c r="L1197" s="15">
        <v>812.91499999999996</v>
      </c>
      <c r="M1197" s="16">
        <v>812.91499999999996</v>
      </c>
    </row>
    <row r="1198" spans="1:13" s="5" customFormat="1" x14ac:dyDescent="0.25">
      <c r="A1198" s="12" t="s">
        <v>2341</v>
      </c>
      <c r="B1198" s="13" t="s">
        <v>2342</v>
      </c>
      <c r="C1198" s="14">
        <v>45929</v>
      </c>
      <c r="D1198" s="13">
        <v>2025</v>
      </c>
      <c r="E1198" s="13" t="s">
        <v>21</v>
      </c>
      <c r="F1198" s="13" t="s">
        <v>22</v>
      </c>
      <c r="G1198" s="15">
        <v>88.29</v>
      </c>
      <c r="H1198" s="15">
        <v>88.29</v>
      </c>
      <c r="I1198" s="13">
        <v>1</v>
      </c>
      <c r="J1198" s="13">
        <v>1</v>
      </c>
      <c r="K1198" s="13" t="s">
        <v>3348</v>
      </c>
      <c r="L1198" s="15">
        <v>88.29</v>
      </c>
      <c r="M1198" s="16">
        <v>125.25285714285714</v>
      </c>
    </row>
    <row r="1199" spans="1:13" s="5" customFormat="1" x14ac:dyDescent="0.25">
      <c r="A1199" s="12" t="s">
        <v>2343</v>
      </c>
      <c r="B1199" s="13" t="s">
        <v>2344</v>
      </c>
      <c r="C1199" s="14">
        <v>45951</v>
      </c>
      <c r="D1199" s="13">
        <v>2025</v>
      </c>
      <c r="E1199" s="13" t="s">
        <v>21</v>
      </c>
      <c r="F1199" s="13" t="s">
        <v>22</v>
      </c>
      <c r="G1199" s="15">
        <v>372.53</v>
      </c>
      <c r="H1199" s="15">
        <v>372.53</v>
      </c>
      <c r="I1199" s="13">
        <v>1</v>
      </c>
      <c r="J1199" s="13">
        <v>1</v>
      </c>
      <c r="K1199" s="13" t="s">
        <v>35</v>
      </c>
      <c r="L1199" s="15">
        <v>372.53</v>
      </c>
      <c r="M1199" s="16">
        <v>298.37445578231291</v>
      </c>
    </row>
    <row r="1200" spans="1:13" s="5" customFormat="1" x14ac:dyDescent="0.25">
      <c r="A1200" s="12" t="s">
        <v>2345</v>
      </c>
      <c r="B1200" s="13" t="s">
        <v>2346</v>
      </c>
      <c r="C1200" s="14">
        <v>45283</v>
      </c>
      <c r="D1200" s="13">
        <v>2023</v>
      </c>
      <c r="E1200" s="13" t="s">
        <v>3347</v>
      </c>
      <c r="F1200" s="13" t="s">
        <v>34</v>
      </c>
      <c r="G1200" s="15">
        <v>716.46</v>
      </c>
      <c r="H1200" s="15">
        <v>716.46</v>
      </c>
      <c r="I1200" s="13">
        <v>5</v>
      </c>
      <c r="J1200" s="13">
        <v>5</v>
      </c>
      <c r="K1200" s="13" t="s">
        <v>18</v>
      </c>
      <c r="L1200" s="15">
        <v>143.292</v>
      </c>
      <c r="M1200" s="16">
        <v>143.292</v>
      </c>
    </row>
    <row r="1201" spans="1:13" s="5" customFormat="1" x14ac:dyDescent="0.25">
      <c r="A1201" s="12" t="s">
        <v>2347</v>
      </c>
      <c r="B1201" s="13" t="s">
        <v>2348</v>
      </c>
      <c r="C1201" s="14">
        <v>45514</v>
      </c>
      <c r="D1201" s="13">
        <v>2024</v>
      </c>
      <c r="E1201" s="13" t="s">
        <v>21</v>
      </c>
      <c r="F1201" s="13" t="s">
        <v>22</v>
      </c>
      <c r="G1201" s="15">
        <v>1142.9000000000001</v>
      </c>
      <c r="H1201" s="15">
        <v>1142.9000000000001</v>
      </c>
      <c r="I1201" s="13">
        <v>9</v>
      </c>
      <c r="J1201" s="13">
        <v>9</v>
      </c>
      <c r="K1201" s="13" t="s">
        <v>15</v>
      </c>
      <c r="L1201" s="15">
        <v>126.98888888888889</v>
      </c>
      <c r="M1201" s="16">
        <v>126.98888888888889</v>
      </c>
    </row>
    <row r="1202" spans="1:13" s="5" customFormat="1" x14ac:dyDescent="0.25">
      <c r="A1202" s="12" t="s">
        <v>2349</v>
      </c>
      <c r="B1202" s="13" t="s">
        <v>2350</v>
      </c>
      <c r="C1202" s="14">
        <v>45365</v>
      </c>
      <c r="D1202" s="13">
        <v>2024</v>
      </c>
      <c r="E1202" s="13" t="s">
        <v>21</v>
      </c>
      <c r="F1202" s="13" t="s">
        <v>34</v>
      </c>
      <c r="G1202" s="15">
        <v>115.25</v>
      </c>
      <c r="H1202" s="15">
        <v>115.25</v>
      </c>
      <c r="I1202" s="13">
        <v>7</v>
      </c>
      <c r="J1202" s="13">
        <v>7</v>
      </c>
      <c r="K1202" s="13" t="s">
        <v>3346</v>
      </c>
      <c r="L1202" s="15">
        <v>16.464285714285715</v>
      </c>
      <c r="M1202" s="16">
        <v>16.464285714285715</v>
      </c>
    </row>
    <row r="1203" spans="1:13" s="5" customFormat="1" x14ac:dyDescent="0.25">
      <c r="A1203" s="12" t="s">
        <v>2351</v>
      </c>
      <c r="B1203" s="13" t="s">
        <v>2352</v>
      </c>
      <c r="C1203" s="14">
        <v>45686</v>
      </c>
      <c r="D1203" s="13">
        <v>2025</v>
      </c>
      <c r="E1203" s="13" t="s">
        <v>3347</v>
      </c>
      <c r="F1203" s="13" t="s">
        <v>22</v>
      </c>
      <c r="G1203" s="15">
        <v>1372.26</v>
      </c>
      <c r="H1203" s="15">
        <v>1372.26</v>
      </c>
      <c r="I1203" s="13">
        <v>10</v>
      </c>
      <c r="J1203" s="13">
        <v>10</v>
      </c>
      <c r="K1203" s="13" t="s">
        <v>3348</v>
      </c>
      <c r="L1203" s="15">
        <v>137.226</v>
      </c>
      <c r="M1203" s="16">
        <v>137.226</v>
      </c>
    </row>
    <row r="1204" spans="1:13" s="5" customFormat="1" x14ac:dyDescent="0.25">
      <c r="A1204" s="12" t="s">
        <v>2353</v>
      </c>
      <c r="B1204" s="13" t="s">
        <v>2354</v>
      </c>
      <c r="C1204" s="14">
        <v>45717</v>
      </c>
      <c r="D1204" s="13">
        <v>2025</v>
      </c>
      <c r="E1204" s="13" t="s">
        <v>3347</v>
      </c>
      <c r="F1204" s="13" t="s">
        <v>25</v>
      </c>
      <c r="G1204" s="15">
        <v>156.05000000000001</v>
      </c>
      <c r="H1204" s="15">
        <v>156.05000000000001</v>
      </c>
      <c r="I1204" s="13">
        <v>1</v>
      </c>
      <c r="J1204" s="13">
        <v>1</v>
      </c>
      <c r="K1204" s="13" t="s">
        <v>18</v>
      </c>
      <c r="L1204" s="15">
        <v>156.05000000000001</v>
      </c>
      <c r="M1204" s="16">
        <v>156.05000000000001</v>
      </c>
    </row>
    <row r="1205" spans="1:13" s="5" customFormat="1" x14ac:dyDescent="0.25">
      <c r="A1205" s="12" t="s">
        <v>2355</v>
      </c>
      <c r="B1205" s="13" t="s">
        <v>2356</v>
      </c>
      <c r="C1205" s="14">
        <v>45020</v>
      </c>
      <c r="D1205" s="13">
        <v>2023</v>
      </c>
      <c r="E1205" s="13" t="s">
        <v>3347</v>
      </c>
      <c r="F1205" s="13" t="s">
        <v>25</v>
      </c>
      <c r="G1205" s="15">
        <v>923.25</v>
      </c>
      <c r="H1205" s="15">
        <v>923.25</v>
      </c>
      <c r="I1205" s="13">
        <v>2</v>
      </c>
      <c r="J1205" s="13">
        <v>2</v>
      </c>
      <c r="K1205" s="13" t="s">
        <v>3348</v>
      </c>
      <c r="L1205" s="15">
        <v>461.625</v>
      </c>
      <c r="M1205" s="16">
        <v>461.625</v>
      </c>
    </row>
    <row r="1206" spans="1:13" s="5" customFormat="1" x14ac:dyDescent="0.25">
      <c r="A1206" s="12" t="s">
        <v>2357</v>
      </c>
      <c r="B1206" s="13" t="s">
        <v>2358</v>
      </c>
      <c r="C1206" s="14">
        <v>45538</v>
      </c>
      <c r="D1206" s="13">
        <v>2024</v>
      </c>
      <c r="E1206" s="13" t="s">
        <v>14</v>
      </c>
      <c r="F1206" s="13" t="s">
        <v>25</v>
      </c>
      <c r="G1206" s="15">
        <v>1895.2</v>
      </c>
      <c r="H1206" s="15">
        <v>1895.2</v>
      </c>
      <c r="I1206" s="13">
        <v>9</v>
      </c>
      <c r="J1206" s="13">
        <v>9</v>
      </c>
      <c r="K1206" s="13" t="s">
        <v>35</v>
      </c>
      <c r="L1206" s="15">
        <v>210.57777777777778</v>
      </c>
      <c r="M1206" s="16">
        <v>210.57777777777778</v>
      </c>
    </row>
    <row r="1207" spans="1:13" s="5" customFormat="1" x14ac:dyDescent="0.25">
      <c r="A1207" s="12" t="s">
        <v>2359</v>
      </c>
      <c r="B1207" s="13" t="s">
        <v>2360</v>
      </c>
      <c r="C1207" s="14">
        <v>45278</v>
      </c>
      <c r="D1207" s="13">
        <v>2023</v>
      </c>
      <c r="E1207" s="13" t="s">
        <v>21</v>
      </c>
      <c r="F1207" s="13" t="s">
        <v>11</v>
      </c>
      <c r="G1207" s="15">
        <v>1387.42</v>
      </c>
      <c r="H1207" s="15">
        <v>1387.42</v>
      </c>
      <c r="I1207" s="13">
        <v>2</v>
      </c>
      <c r="J1207" s="13">
        <v>2</v>
      </c>
      <c r="K1207" s="13" t="s">
        <v>3346</v>
      </c>
      <c r="L1207" s="15">
        <v>693.71</v>
      </c>
      <c r="M1207" s="16">
        <v>693.71</v>
      </c>
    </row>
    <row r="1208" spans="1:13" s="5" customFormat="1" x14ac:dyDescent="0.25">
      <c r="A1208" s="12" t="s">
        <v>2361</v>
      </c>
      <c r="B1208" s="13" t="s">
        <v>2362</v>
      </c>
      <c r="C1208" s="14">
        <v>45410</v>
      </c>
      <c r="D1208" s="13">
        <v>2024</v>
      </c>
      <c r="E1208" s="13" t="s">
        <v>21</v>
      </c>
      <c r="F1208" s="13" t="s">
        <v>34</v>
      </c>
      <c r="G1208" s="15">
        <v>1040.29</v>
      </c>
      <c r="H1208" s="15">
        <v>1040.29</v>
      </c>
      <c r="I1208" s="13">
        <v>5</v>
      </c>
      <c r="J1208" s="13">
        <v>5</v>
      </c>
      <c r="K1208" s="13" t="s">
        <v>15</v>
      </c>
      <c r="L1208" s="15">
        <v>208.05799999999999</v>
      </c>
      <c r="M1208" s="16">
        <v>208.05799999999999</v>
      </c>
    </row>
    <row r="1209" spans="1:13" s="5" customFormat="1" x14ac:dyDescent="0.25">
      <c r="A1209" s="12" t="s">
        <v>2363</v>
      </c>
      <c r="B1209" s="13" t="s">
        <v>2364</v>
      </c>
      <c r="C1209" s="14">
        <v>45485</v>
      </c>
      <c r="D1209" s="13">
        <v>2024</v>
      </c>
      <c r="E1209" s="13" t="s">
        <v>10</v>
      </c>
      <c r="F1209" s="13" t="s">
        <v>34</v>
      </c>
      <c r="G1209" s="15">
        <v>1747.66</v>
      </c>
      <c r="H1209" s="15">
        <v>1747.66</v>
      </c>
      <c r="I1209" s="13">
        <v>3</v>
      </c>
      <c r="J1209" s="13">
        <v>3</v>
      </c>
      <c r="K1209" s="13" t="s">
        <v>35</v>
      </c>
      <c r="L1209" s="15">
        <v>582.5533333333334</v>
      </c>
      <c r="M1209" s="16">
        <v>582.5533333333334</v>
      </c>
    </row>
    <row r="1210" spans="1:13" s="5" customFormat="1" x14ac:dyDescent="0.25">
      <c r="A1210" s="12" t="s">
        <v>2365</v>
      </c>
      <c r="B1210" s="13" t="s">
        <v>2366</v>
      </c>
      <c r="C1210" s="14">
        <v>45700</v>
      </c>
      <c r="D1210" s="13">
        <v>2025</v>
      </c>
      <c r="E1210" s="13" t="s">
        <v>14</v>
      </c>
      <c r="F1210" s="13" t="s">
        <v>34</v>
      </c>
      <c r="G1210" s="15">
        <v>1706.45</v>
      </c>
      <c r="H1210" s="15">
        <v>1706.45</v>
      </c>
      <c r="I1210" s="13">
        <v>6</v>
      </c>
      <c r="J1210" s="13">
        <v>6</v>
      </c>
      <c r="K1210" s="13" t="s">
        <v>15</v>
      </c>
      <c r="L1210" s="15">
        <v>284.40833333333336</v>
      </c>
      <c r="M1210" s="16">
        <v>284.40833333333336</v>
      </c>
    </row>
    <row r="1211" spans="1:13" s="5" customFormat="1" x14ac:dyDescent="0.25">
      <c r="A1211" s="12" t="s">
        <v>2367</v>
      </c>
      <c r="B1211" s="13" t="s">
        <v>2368</v>
      </c>
      <c r="C1211" s="14">
        <v>45432</v>
      </c>
      <c r="D1211" s="13">
        <v>2024</v>
      </c>
      <c r="E1211" s="13" t="s">
        <v>21</v>
      </c>
      <c r="F1211" s="13" t="s">
        <v>34</v>
      </c>
      <c r="G1211" s="15">
        <v>2050.6052222222224</v>
      </c>
      <c r="H1211" s="15">
        <v>2050.6052222222224</v>
      </c>
      <c r="I1211" s="13">
        <v>7</v>
      </c>
      <c r="J1211" s="13">
        <v>7</v>
      </c>
      <c r="K1211" s="13" t="s">
        <v>15</v>
      </c>
      <c r="L1211" s="15">
        <v>292.9436031746032</v>
      </c>
      <c r="M1211" s="16">
        <v>292.9436031746032</v>
      </c>
    </row>
    <row r="1212" spans="1:13" s="5" customFormat="1" x14ac:dyDescent="0.25">
      <c r="A1212" s="12" t="s">
        <v>2369</v>
      </c>
      <c r="B1212" s="13" t="s">
        <v>2131</v>
      </c>
      <c r="C1212" s="14">
        <v>45447</v>
      </c>
      <c r="D1212" s="13">
        <v>2024</v>
      </c>
      <c r="E1212" s="13" t="s">
        <v>3347</v>
      </c>
      <c r="F1212" s="13" t="s">
        <v>34</v>
      </c>
      <c r="G1212" s="15">
        <v>411.9</v>
      </c>
      <c r="H1212" s="15">
        <v>411.9</v>
      </c>
      <c r="I1212" s="13">
        <v>1</v>
      </c>
      <c r="J1212" s="13">
        <v>1</v>
      </c>
      <c r="K1212" s="13" t="s">
        <v>3346</v>
      </c>
      <c r="L1212" s="15">
        <v>411.9</v>
      </c>
      <c r="M1212" s="16">
        <v>411.9</v>
      </c>
    </row>
    <row r="1213" spans="1:13" s="5" customFormat="1" x14ac:dyDescent="0.25">
      <c r="A1213" s="12" t="s">
        <v>2370</v>
      </c>
      <c r="B1213" s="13" t="s">
        <v>2371</v>
      </c>
      <c r="C1213" s="14">
        <v>45854</v>
      </c>
      <c r="D1213" s="13">
        <v>2025</v>
      </c>
      <c r="E1213" s="13" t="s">
        <v>3347</v>
      </c>
      <c r="F1213" s="13" t="s">
        <v>34</v>
      </c>
      <c r="G1213" s="15">
        <v>1968.9</v>
      </c>
      <c r="H1213" s="15">
        <v>1968.9</v>
      </c>
      <c r="I1213" s="13">
        <v>10</v>
      </c>
      <c r="J1213" s="13">
        <v>10</v>
      </c>
      <c r="K1213" s="13" t="s">
        <v>3348</v>
      </c>
      <c r="L1213" s="15">
        <v>196.89000000000001</v>
      </c>
      <c r="M1213" s="16">
        <v>194.67406249999996</v>
      </c>
    </row>
    <row r="1214" spans="1:13" s="5" customFormat="1" x14ac:dyDescent="0.25">
      <c r="A1214" s="12" t="s">
        <v>2372</v>
      </c>
      <c r="B1214" s="13" t="s">
        <v>2373</v>
      </c>
      <c r="C1214" s="14">
        <v>45259</v>
      </c>
      <c r="D1214" s="13">
        <v>2023</v>
      </c>
      <c r="E1214" s="13" t="s">
        <v>3347</v>
      </c>
      <c r="F1214" s="13" t="s">
        <v>22</v>
      </c>
      <c r="G1214" s="15">
        <v>1098.71</v>
      </c>
      <c r="H1214" s="15">
        <v>1098.71</v>
      </c>
      <c r="I1214" s="13">
        <v>9</v>
      </c>
      <c r="J1214" s="13">
        <v>9</v>
      </c>
      <c r="K1214" s="13" t="s">
        <v>18</v>
      </c>
      <c r="L1214" s="15">
        <v>122.0788888888889</v>
      </c>
      <c r="M1214" s="16">
        <v>122.0788888888889</v>
      </c>
    </row>
    <row r="1215" spans="1:13" s="5" customFormat="1" x14ac:dyDescent="0.25">
      <c r="A1215" s="12" t="s">
        <v>2374</v>
      </c>
      <c r="B1215" s="13" t="s">
        <v>2375</v>
      </c>
      <c r="C1215" s="14">
        <v>45179</v>
      </c>
      <c r="D1215" s="13">
        <v>2023</v>
      </c>
      <c r="E1215" s="13" t="s">
        <v>21</v>
      </c>
      <c r="F1215" s="13" t="s">
        <v>22</v>
      </c>
      <c r="G1215" s="15">
        <v>461.21</v>
      </c>
      <c r="H1215" s="15">
        <v>461.21</v>
      </c>
      <c r="I1215" s="13">
        <v>9</v>
      </c>
      <c r="J1215" s="13">
        <v>9</v>
      </c>
      <c r="K1215" s="13" t="s">
        <v>3346</v>
      </c>
      <c r="L1215" s="15">
        <v>51.245555555555555</v>
      </c>
      <c r="M1215" s="16">
        <v>51.245555555555555</v>
      </c>
    </row>
    <row r="1216" spans="1:13" s="5" customFormat="1" x14ac:dyDescent="0.25">
      <c r="A1216" s="12" t="s">
        <v>2376</v>
      </c>
      <c r="B1216" s="13" t="s">
        <v>2377</v>
      </c>
      <c r="C1216" s="14">
        <v>45065</v>
      </c>
      <c r="D1216" s="13">
        <v>2023</v>
      </c>
      <c r="E1216" s="13" t="s">
        <v>3347</v>
      </c>
      <c r="F1216" s="13" t="s">
        <v>22</v>
      </c>
      <c r="G1216" s="15">
        <v>1529.65</v>
      </c>
      <c r="H1216" s="15">
        <v>1529.65</v>
      </c>
      <c r="I1216" s="13">
        <v>8</v>
      </c>
      <c r="J1216" s="13">
        <v>8</v>
      </c>
      <c r="K1216" s="13" t="s">
        <v>35</v>
      </c>
      <c r="L1216" s="15">
        <v>191.20625000000001</v>
      </c>
      <c r="M1216" s="16">
        <v>191.20625000000001</v>
      </c>
    </row>
    <row r="1217" spans="1:13" s="5" customFormat="1" x14ac:dyDescent="0.25">
      <c r="A1217" s="12" t="s">
        <v>2378</v>
      </c>
      <c r="B1217" s="13" t="s">
        <v>2379</v>
      </c>
      <c r="C1217" s="14">
        <v>45478</v>
      </c>
      <c r="D1217" s="13">
        <v>2024</v>
      </c>
      <c r="E1217" s="13" t="s">
        <v>3347</v>
      </c>
      <c r="F1217" s="13" t="s">
        <v>22</v>
      </c>
      <c r="G1217" s="15">
        <v>1994.81</v>
      </c>
      <c r="H1217" s="15">
        <v>1994.81</v>
      </c>
      <c r="I1217" s="13">
        <v>7</v>
      </c>
      <c r="J1217" s="13">
        <v>7</v>
      </c>
      <c r="K1217" s="13" t="s">
        <v>3346</v>
      </c>
      <c r="L1217" s="15">
        <v>284.97285714285715</v>
      </c>
      <c r="M1217" s="16">
        <v>284.97285714285715</v>
      </c>
    </row>
    <row r="1218" spans="1:13" s="5" customFormat="1" x14ac:dyDescent="0.25">
      <c r="A1218" s="12" t="s">
        <v>2380</v>
      </c>
      <c r="B1218" s="13" t="s">
        <v>2381</v>
      </c>
      <c r="C1218" s="14">
        <v>45426</v>
      </c>
      <c r="D1218" s="13">
        <v>2024</v>
      </c>
      <c r="E1218" s="13" t="s">
        <v>14</v>
      </c>
      <c r="F1218" s="13" t="s">
        <v>34</v>
      </c>
      <c r="G1218" s="15">
        <v>1516.06</v>
      </c>
      <c r="H1218" s="15">
        <v>1516.06</v>
      </c>
      <c r="I1218" s="13">
        <v>10</v>
      </c>
      <c r="J1218" s="13">
        <v>10</v>
      </c>
      <c r="K1218" s="13" t="s">
        <v>18</v>
      </c>
      <c r="L1218" s="15">
        <v>151.60599999999999</v>
      </c>
      <c r="M1218" s="16">
        <v>151.60599999999999</v>
      </c>
    </row>
    <row r="1219" spans="1:13" s="5" customFormat="1" x14ac:dyDescent="0.25">
      <c r="A1219" s="12" t="s">
        <v>2382</v>
      </c>
      <c r="B1219" s="13" t="s">
        <v>2296</v>
      </c>
      <c r="C1219" s="14">
        <v>45655</v>
      </c>
      <c r="D1219" s="13">
        <v>2024</v>
      </c>
      <c r="E1219" s="13" t="s">
        <v>3347</v>
      </c>
      <c r="F1219" s="13" t="s">
        <v>25</v>
      </c>
      <c r="G1219" s="15">
        <v>718.52</v>
      </c>
      <c r="H1219" s="15">
        <v>718.52</v>
      </c>
      <c r="I1219" s="13">
        <v>4</v>
      </c>
      <c r="J1219" s="13">
        <v>4</v>
      </c>
      <c r="K1219" s="13" t="s">
        <v>18</v>
      </c>
      <c r="L1219" s="15">
        <v>179.63</v>
      </c>
      <c r="M1219" s="16">
        <v>179.63</v>
      </c>
    </row>
    <row r="1220" spans="1:13" s="5" customFormat="1" x14ac:dyDescent="0.25">
      <c r="A1220" s="12" t="s">
        <v>2383</v>
      </c>
      <c r="B1220" s="13" t="s">
        <v>2384</v>
      </c>
      <c r="C1220" s="14">
        <v>45357</v>
      </c>
      <c r="D1220" s="13">
        <v>2024</v>
      </c>
      <c r="E1220" s="13" t="s">
        <v>10</v>
      </c>
      <c r="F1220" s="13" t="s">
        <v>34</v>
      </c>
      <c r="G1220" s="15">
        <v>1784.52</v>
      </c>
      <c r="H1220" s="15">
        <v>1784.52</v>
      </c>
      <c r="I1220" s="13">
        <v>5</v>
      </c>
      <c r="J1220" s="13">
        <v>5</v>
      </c>
      <c r="K1220" s="13" t="s">
        <v>15</v>
      </c>
      <c r="L1220" s="15">
        <v>356.904</v>
      </c>
      <c r="M1220" s="16">
        <v>357.88896944444446</v>
      </c>
    </row>
    <row r="1221" spans="1:13" s="5" customFormat="1" x14ac:dyDescent="0.25">
      <c r="A1221" s="12" t="s">
        <v>2385</v>
      </c>
      <c r="B1221" s="13" t="s">
        <v>2386</v>
      </c>
      <c r="C1221" s="14">
        <v>45025</v>
      </c>
      <c r="D1221" s="13">
        <v>2023</v>
      </c>
      <c r="E1221" s="13" t="s">
        <v>21</v>
      </c>
      <c r="F1221" s="13" t="s">
        <v>34</v>
      </c>
      <c r="G1221" s="15">
        <v>1306.51</v>
      </c>
      <c r="H1221" s="15">
        <v>1306.51</v>
      </c>
      <c r="I1221" s="13">
        <v>10</v>
      </c>
      <c r="J1221" s="13">
        <v>10</v>
      </c>
      <c r="K1221" s="13" t="s">
        <v>18</v>
      </c>
      <c r="L1221" s="15">
        <v>130.65100000000001</v>
      </c>
      <c r="M1221" s="16">
        <v>130.65100000000001</v>
      </c>
    </row>
    <row r="1222" spans="1:13" s="5" customFormat="1" x14ac:dyDescent="0.25">
      <c r="A1222" s="12" t="s">
        <v>2387</v>
      </c>
      <c r="B1222" s="13" t="s">
        <v>2388</v>
      </c>
      <c r="C1222" s="14">
        <v>45623</v>
      </c>
      <c r="D1222" s="13">
        <v>2024</v>
      </c>
      <c r="E1222" s="13" t="s">
        <v>3347</v>
      </c>
      <c r="F1222" s="13" t="s">
        <v>22</v>
      </c>
      <c r="G1222" s="15">
        <v>490.77</v>
      </c>
      <c r="H1222" s="15">
        <v>490.77</v>
      </c>
      <c r="I1222" s="13">
        <v>6</v>
      </c>
      <c r="J1222" s="13">
        <v>6</v>
      </c>
      <c r="K1222" s="13" t="s">
        <v>3348</v>
      </c>
      <c r="L1222" s="15">
        <v>81.795000000000002</v>
      </c>
      <c r="M1222" s="16">
        <v>81.795000000000002</v>
      </c>
    </row>
    <row r="1223" spans="1:13" s="5" customFormat="1" x14ac:dyDescent="0.25">
      <c r="A1223" s="12" t="s">
        <v>2389</v>
      </c>
      <c r="B1223" s="13" t="s">
        <v>1873</v>
      </c>
      <c r="C1223" s="14">
        <v>45763</v>
      </c>
      <c r="D1223" s="13">
        <v>2025</v>
      </c>
      <c r="E1223" s="13" t="s">
        <v>3347</v>
      </c>
      <c r="F1223" s="13" t="s">
        <v>34</v>
      </c>
      <c r="G1223" s="15">
        <v>278.77999999999997</v>
      </c>
      <c r="H1223" s="15">
        <v>278.77999999999997</v>
      </c>
      <c r="I1223" s="13">
        <v>3</v>
      </c>
      <c r="J1223" s="13">
        <v>3</v>
      </c>
      <c r="K1223" s="13" t="s">
        <v>3346</v>
      </c>
      <c r="L1223" s="15">
        <v>92.926666666666662</v>
      </c>
      <c r="M1223" s="16">
        <v>92.926666666666662</v>
      </c>
    </row>
    <row r="1224" spans="1:13" s="5" customFormat="1" x14ac:dyDescent="0.25">
      <c r="A1224" s="12" t="s">
        <v>2390</v>
      </c>
      <c r="B1224" s="13" t="s">
        <v>479</v>
      </c>
      <c r="C1224" s="14">
        <v>45489</v>
      </c>
      <c r="D1224" s="13">
        <v>2024</v>
      </c>
      <c r="E1224" s="13" t="s">
        <v>3347</v>
      </c>
      <c r="F1224" s="13" t="s">
        <v>34</v>
      </c>
      <c r="G1224" s="15">
        <v>1848.18</v>
      </c>
      <c r="H1224" s="15">
        <v>1848.18</v>
      </c>
      <c r="I1224" s="13">
        <v>10</v>
      </c>
      <c r="J1224" s="13">
        <v>10</v>
      </c>
      <c r="K1224" s="13" t="s">
        <v>3346</v>
      </c>
      <c r="L1224" s="15">
        <v>184.81800000000001</v>
      </c>
      <c r="M1224" s="16">
        <v>184.81800000000001</v>
      </c>
    </row>
    <row r="1225" spans="1:13" s="5" customFormat="1" x14ac:dyDescent="0.25">
      <c r="A1225" s="12" t="s">
        <v>2391</v>
      </c>
      <c r="B1225" s="13" t="s">
        <v>2392</v>
      </c>
      <c r="C1225" s="14">
        <v>45405</v>
      </c>
      <c r="D1225" s="13">
        <v>2024</v>
      </c>
      <c r="E1225" s="13" t="s">
        <v>21</v>
      </c>
      <c r="F1225" s="13" t="s">
        <v>34</v>
      </c>
      <c r="G1225" s="15">
        <v>1247.99</v>
      </c>
      <c r="H1225" s="15">
        <v>1247.99</v>
      </c>
      <c r="I1225" s="13">
        <v>2</v>
      </c>
      <c r="J1225" s="13">
        <v>2</v>
      </c>
      <c r="K1225" s="13" t="s">
        <v>3348</v>
      </c>
      <c r="L1225" s="15">
        <v>623.995</v>
      </c>
      <c r="M1225" s="16">
        <v>623.995</v>
      </c>
    </row>
    <row r="1226" spans="1:13" s="5" customFormat="1" x14ac:dyDescent="0.25">
      <c r="A1226" s="12" t="s">
        <v>2393</v>
      </c>
      <c r="B1226" s="13" t="s">
        <v>437</v>
      </c>
      <c r="C1226" s="14">
        <v>45137</v>
      </c>
      <c r="D1226" s="13">
        <v>2023</v>
      </c>
      <c r="E1226" s="13" t="s">
        <v>10</v>
      </c>
      <c r="F1226" s="13" t="s">
        <v>34</v>
      </c>
      <c r="G1226" s="15">
        <v>1114.413125</v>
      </c>
      <c r="H1226" s="15">
        <v>1114.413125</v>
      </c>
      <c r="I1226" s="13">
        <v>3</v>
      </c>
      <c r="J1226" s="13">
        <v>3</v>
      </c>
      <c r="K1226" s="13" t="s">
        <v>3348</v>
      </c>
      <c r="L1226" s="15">
        <v>371.47104166666668</v>
      </c>
      <c r="M1226" s="16">
        <v>371.47104166666668</v>
      </c>
    </row>
    <row r="1227" spans="1:13" s="5" customFormat="1" x14ac:dyDescent="0.25">
      <c r="A1227" s="12" t="s">
        <v>2394</v>
      </c>
      <c r="B1227" s="13" t="s">
        <v>2395</v>
      </c>
      <c r="C1227" s="14">
        <v>45925</v>
      </c>
      <c r="D1227" s="13">
        <v>2025</v>
      </c>
      <c r="E1227" s="13" t="s">
        <v>3347</v>
      </c>
      <c r="F1227" s="13" t="s">
        <v>22</v>
      </c>
      <c r="G1227" s="15">
        <v>1320.76</v>
      </c>
      <c r="H1227" s="15">
        <v>1320.76</v>
      </c>
      <c r="I1227" s="13">
        <v>5</v>
      </c>
      <c r="J1227" s="13">
        <v>5</v>
      </c>
      <c r="K1227" s="13" t="s">
        <v>15</v>
      </c>
      <c r="L1227" s="15">
        <v>264.15199999999999</v>
      </c>
      <c r="M1227" s="16">
        <v>264.15199999999999</v>
      </c>
    </row>
    <row r="1228" spans="1:13" s="5" customFormat="1" x14ac:dyDescent="0.25">
      <c r="A1228" s="12" t="s">
        <v>2396</v>
      </c>
      <c r="B1228" s="13" t="s">
        <v>2397</v>
      </c>
      <c r="C1228" s="14">
        <v>45819</v>
      </c>
      <c r="D1228" s="13">
        <v>2025</v>
      </c>
      <c r="E1228" s="13" t="s">
        <v>14</v>
      </c>
      <c r="F1228" s="13" t="s">
        <v>25</v>
      </c>
      <c r="G1228" s="15">
        <v>680.47</v>
      </c>
      <c r="H1228" s="15">
        <v>680.47</v>
      </c>
      <c r="I1228" s="13">
        <v>3</v>
      </c>
      <c r="J1228" s="13">
        <v>3</v>
      </c>
      <c r="K1228" s="13" t="s">
        <v>35</v>
      </c>
      <c r="L1228" s="15">
        <v>226.82333333333335</v>
      </c>
      <c r="M1228" s="16">
        <v>226.82333333333335</v>
      </c>
    </row>
    <row r="1229" spans="1:13" s="5" customFormat="1" x14ac:dyDescent="0.25">
      <c r="A1229" s="12" t="s">
        <v>2398</v>
      </c>
      <c r="B1229" s="13" t="s">
        <v>2399</v>
      </c>
      <c r="C1229" s="14">
        <v>45480</v>
      </c>
      <c r="D1229" s="13">
        <v>2024</v>
      </c>
      <c r="E1229" s="13" t="s">
        <v>21</v>
      </c>
      <c r="F1229" s="13" t="s">
        <v>25</v>
      </c>
      <c r="G1229" s="15">
        <v>1682.89</v>
      </c>
      <c r="H1229" s="15">
        <v>1682.89</v>
      </c>
      <c r="I1229" s="13">
        <v>4</v>
      </c>
      <c r="J1229" s="13">
        <v>4</v>
      </c>
      <c r="K1229" s="13" t="s">
        <v>3348</v>
      </c>
      <c r="L1229" s="15">
        <v>420.72250000000003</v>
      </c>
      <c r="M1229" s="16">
        <v>420.72250000000003</v>
      </c>
    </row>
    <row r="1230" spans="1:13" s="5" customFormat="1" x14ac:dyDescent="0.25">
      <c r="A1230" s="12" t="s">
        <v>2400</v>
      </c>
      <c r="B1230" s="13" t="s">
        <v>1118</v>
      </c>
      <c r="C1230" s="14">
        <v>45296</v>
      </c>
      <c r="D1230" s="13">
        <v>2024</v>
      </c>
      <c r="E1230" s="13" t="s">
        <v>10</v>
      </c>
      <c r="F1230" s="13" t="s">
        <v>22</v>
      </c>
      <c r="G1230" s="15">
        <v>1790.48</v>
      </c>
      <c r="H1230" s="15">
        <v>1790.48</v>
      </c>
      <c r="I1230" s="13">
        <v>10</v>
      </c>
      <c r="J1230" s="13">
        <v>10</v>
      </c>
      <c r="K1230" s="13" t="s">
        <v>18</v>
      </c>
      <c r="L1230" s="15">
        <v>179.048</v>
      </c>
      <c r="M1230" s="16">
        <v>179.048</v>
      </c>
    </row>
    <row r="1231" spans="1:13" s="5" customFormat="1" x14ac:dyDescent="0.25">
      <c r="A1231" s="12" t="s">
        <v>2401</v>
      </c>
      <c r="B1231" s="13" t="s">
        <v>1864</v>
      </c>
      <c r="C1231" s="14">
        <v>45635</v>
      </c>
      <c r="D1231" s="13">
        <v>2024</v>
      </c>
      <c r="E1231" s="13" t="s">
        <v>14</v>
      </c>
      <c r="F1231" s="13" t="s">
        <v>34</v>
      </c>
      <c r="G1231" s="15">
        <v>1690.55</v>
      </c>
      <c r="H1231" s="15">
        <v>1690.55</v>
      </c>
      <c r="I1231" s="13">
        <v>5</v>
      </c>
      <c r="J1231" s="13">
        <v>5</v>
      </c>
      <c r="K1231" s="13" t="s">
        <v>3348</v>
      </c>
      <c r="L1231" s="15">
        <v>338.11</v>
      </c>
      <c r="M1231" s="16">
        <v>338.11</v>
      </c>
    </row>
    <row r="1232" spans="1:13" s="5" customFormat="1" x14ac:dyDescent="0.25">
      <c r="A1232" s="12" t="s">
        <v>2402</v>
      </c>
      <c r="B1232" s="13" t="s">
        <v>2403</v>
      </c>
      <c r="C1232" s="14">
        <v>45174</v>
      </c>
      <c r="D1232" s="13">
        <v>2023</v>
      </c>
      <c r="E1232" s="13" t="s">
        <v>14</v>
      </c>
      <c r="F1232" s="13" t="s">
        <v>11</v>
      </c>
      <c r="G1232" s="15">
        <v>1810.26</v>
      </c>
      <c r="H1232" s="15">
        <v>1810.26</v>
      </c>
      <c r="I1232" s="13">
        <v>2</v>
      </c>
      <c r="J1232" s="13">
        <v>2</v>
      </c>
      <c r="K1232" s="13" t="s">
        <v>3346</v>
      </c>
      <c r="L1232" s="15">
        <v>905.13</v>
      </c>
      <c r="M1232" s="16">
        <v>905.13</v>
      </c>
    </row>
    <row r="1233" spans="1:13" s="5" customFormat="1" x14ac:dyDescent="0.25">
      <c r="A1233" s="12" t="s">
        <v>2404</v>
      </c>
      <c r="B1233" s="13" t="s">
        <v>277</v>
      </c>
      <c r="C1233" s="14">
        <v>45205</v>
      </c>
      <c r="D1233" s="13">
        <v>2023</v>
      </c>
      <c r="E1233" s="13" t="s">
        <v>3347</v>
      </c>
      <c r="F1233" s="13" t="s">
        <v>25</v>
      </c>
      <c r="G1233" s="15">
        <v>462.03</v>
      </c>
      <c r="H1233" s="15">
        <v>462.03</v>
      </c>
      <c r="I1233" s="13">
        <v>3</v>
      </c>
      <c r="J1233" s="13">
        <v>3</v>
      </c>
      <c r="K1233" s="13" t="s">
        <v>3348</v>
      </c>
      <c r="L1233" s="15">
        <v>154.01</v>
      </c>
      <c r="M1233" s="16">
        <v>154.01</v>
      </c>
    </row>
    <row r="1234" spans="1:13" s="5" customFormat="1" x14ac:dyDescent="0.25">
      <c r="A1234" s="12" t="s">
        <v>2405</v>
      </c>
      <c r="B1234" s="13" t="s">
        <v>2406</v>
      </c>
      <c r="C1234" s="14">
        <v>45175</v>
      </c>
      <c r="D1234" s="13">
        <v>2023</v>
      </c>
      <c r="E1234" s="13" t="s">
        <v>3347</v>
      </c>
      <c r="F1234" s="13" t="s">
        <v>34</v>
      </c>
      <c r="G1234" s="15">
        <v>738.07</v>
      </c>
      <c r="H1234" s="15">
        <v>738.07</v>
      </c>
      <c r="I1234" s="13">
        <v>5</v>
      </c>
      <c r="J1234" s="13">
        <v>5</v>
      </c>
      <c r="K1234" s="13" t="s">
        <v>3346</v>
      </c>
      <c r="L1234" s="15">
        <v>147.614</v>
      </c>
      <c r="M1234" s="16">
        <v>147.614</v>
      </c>
    </row>
    <row r="1235" spans="1:13" s="5" customFormat="1" x14ac:dyDescent="0.25">
      <c r="A1235" s="12" t="s">
        <v>2407</v>
      </c>
      <c r="B1235" s="13" t="s">
        <v>2408</v>
      </c>
      <c r="C1235" s="14">
        <v>45516</v>
      </c>
      <c r="D1235" s="13">
        <v>2024</v>
      </c>
      <c r="E1235" s="13" t="s">
        <v>3347</v>
      </c>
      <c r="F1235" s="13" t="s">
        <v>34</v>
      </c>
      <c r="G1235" s="15">
        <v>252.05</v>
      </c>
      <c r="H1235" s="15">
        <v>252.05</v>
      </c>
      <c r="I1235" s="13">
        <v>2</v>
      </c>
      <c r="J1235" s="13">
        <v>2</v>
      </c>
      <c r="K1235" s="13" t="s">
        <v>15</v>
      </c>
      <c r="L1235" s="15">
        <v>126.02500000000001</v>
      </c>
      <c r="M1235" s="16">
        <v>126.02500000000001</v>
      </c>
    </row>
    <row r="1236" spans="1:13" s="5" customFormat="1" x14ac:dyDescent="0.25">
      <c r="A1236" s="12" t="s">
        <v>2409</v>
      </c>
      <c r="B1236" s="13" t="s">
        <v>2410</v>
      </c>
      <c r="C1236" s="14">
        <v>45668</v>
      </c>
      <c r="D1236" s="13">
        <v>2025</v>
      </c>
      <c r="E1236" s="13" t="s">
        <v>21</v>
      </c>
      <c r="F1236" s="13" t="s">
        <v>25</v>
      </c>
      <c r="G1236" s="15">
        <v>129.37</v>
      </c>
      <c r="H1236" s="15">
        <v>129.37</v>
      </c>
      <c r="I1236" s="13">
        <v>4</v>
      </c>
      <c r="J1236" s="13">
        <v>4</v>
      </c>
      <c r="K1236" s="13" t="s">
        <v>35</v>
      </c>
      <c r="L1236" s="15">
        <v>32.342500000000001</v>
      </c>
      <c r="M1236" s="16">
        <v>32.342500000000001</v>
      </c>
    </row>
    <row r="1237" spans="1:13" s="5" customFormat="1" x14ac:dyDescent="0.25">
      <c r="A1237" s="12" t="s">
        <v>2411</v>
      </c>
      <c r="B1237" s="13" t="s">
        <v>2412</v>
      </c>
      <c r="C1237" s="14">
        <v>45848</v>
      </c>
      <c r="D1237" s="13">
        <v>2025</v>
      </c>
      <c r="E1237" s="13" t="s">
        <v>14</v>
      </c>
      <c r="F1237" s="13" t="s">
        <v>25</v>
      </c>
      <c r="G1237" s="15">
        <v>1785.38</v>
      </c>
      <c r="H1237" s="15">
        <v>1785.38</v>
      </c>
      <c r="I1237" s="13">
        <v>7</v>
      </c>
      <c r="J1237" s="13">
        <v>7</v>
      </c>
      <c r="K1237" s="13" t="s">
        <v>3348</v>
      </c>
      <c r="L1237" s="15">
        <v>255.05428571428573</v>
      </c>
      <c r="M1237" s="16">
        <v>255.05428571428573</v>
      </c>
    </row>
    <row r="1238" spans="1:13" s="5" customFormat="1" x14ac:dyDescent="0.25">
      <c r="A1238" s="12" t="s">
        <v>2413</v>
      </c>
      <c r="B1238" s="13" t="s">
        <v>2414</v>
      </c>
      <c r="C1238" s="14">
        <v>45542</v>
      </c>
      <c r="D1238" s="13">
        <v>2024</v>
      </c>
      <c r="E1238" s="13" t="s">
        <v>14</v>
      </c>
      <c r="F1238" s="13" t="s">
        <v>11</v>
      </c>
      <c r="G1238" s="15">
        <v>1080.3599999999999</v>
      </c>
      <c r="H1238" s="15">
        <v>1080.3599999999999</v>
      </c>
      <c r="I1238" s="13">
        <v>7</v>
      </c>
      <c r="J1238" s="13">
        <v>7</v>
      </c>
      <c r="K1238" s="13" t="s">
        <v>3346</v>
      </c>
      <c r="L1238" s="15">
        <v>154.33714285714285</v>
      </c>
      <c r="M1238" s="16">
        <v>154.33714285714285</v>
      </c>
    </row>
    <row r="1239" spans="1:13" s="5" customFormat="1" x14ac:dyDescent="0.25">
      <c r="A1239" s="12" t="s">
        <v>2415</v>
      </c>
      <c r="B1239" s="13" t="s">
        <v>2416</v>
      </c>
      <c r="C1239" s="14">
        <v>45797</v>
      </c>
      <c r="D1239" s="13">
        <v>2025</v>
      </c>
      <c r="E1239" s="13" t="s">
        <v>14</v>
      </c>
      <c r="F1239" s="13" t="s">
        <v>11</v>
      </c>
      <c r="G1239" s="15">
        <v>1898.99</v>
      </c>
      <c r="H1239" s="15">
        <v>1898.99</v>
      </c>
      <c r="I1239" s="13">
        <v>3</v>
      </c>
      <c r="J1239" s="13">
        <v>3</v>
      </c>
      <c r="K1239" s="13" t="s">
        <v>3348</v>
      </c>
      <c r="L1239" s="15">
        <v>632.99666666666667</v>
      </c>
      <c r="M1239" s="16">
        <v>632.99666666666667</v>
      </c>
    </row>
    <row r="1240" spans="1:13" s="5" customFormat="1" x14ac:dyDescent="0.25">
      <c r="A1240" s="12" t="s">
        <v>2417</v>
      </c>
      <c r="B1240" s="13" t="s">
        <v>2418</v>
      </c>
      <c r="C1240" s="14">
        <v>45633</v>
      </c>
      <c r="D1240" s="13">
        <v>2024</v>
      </c>
      <c r="E1240" s="13" t="s">
        <v>3347</v>
      </c>
      <c r="F1240" s="13" t="s">
        <v>11</v>
      </c>
      <c r="G1240" s="15">
        <v>1277.82</v>
      </c>
      <c r="H1240" s="15">
        <v>1277.82</v>
      </c>
      <c r="I1240" s="13">
        <v>7</v>
      </c>
      <c r="J1240" s="13">
        <v>7</v>
      </c>
      <c r="K1240" s="13" t="s">
        <v>15</v>
      </c>
      <c r="L1240" s="15">
        <v>182.54571428571427</v>
      </c>
      <c r="M1240" s="16">
        <v>182.54571428571427</v>
      </c>
    </row>
    <row r="1241" spans="1:13" s="5" customFormat="1" x14ac:dyDescent="0.25">
      <c r="A1241" s="12" t="s">
        <v>2419</v>
      </c>
      <c r="B1241" s="13" t="s">
        <v>2420</v>
      </c>
      <c r="C1241" s="14">
        <v>45930</v>
      </c>
      <c r="D1241" s="13">
        <v>2025</v>
      </c>
      <c r="E1241" s="13" t="s">
        <v>21</v>
      </c>
      <c r="F1241" s="13" t="s">
        <v>11</v>
      </c>
      <c r="G1241" s="15">
        <v>2471.4873750000002</v>
      </c>
      <c r="H1241" s="15">
        <v>2471.4873750000002</v>
      </c>
      <c r="I1241" s="13">
        <v>9</v>
      </c>
      <c r="J1241" s="13">
        <v>9</v>
      </c>
      <c r="K1241" s="13" t="s">
        <v>35</v>
      </c>
      <c r="L1241" s="15">
        <v>274.60970833333334</v>
      </c>
      <c r="M1241" s="16">
        <v>274.60970833333334</v>
      </c>
    </row>
    <row r="1242" spans="1:13" s="5" customFormat="1" x14ac:dyDescent="0.25">
      <c r="A1242" s="12" t="s">
        <v>2421</v>
      </c>
      <c r="B1242" s="13" t="s">
        <v>2422</v>
      </c>
      <c r="C1242" s="14">
        <v>45637</v>
      </c>
      <c r="D1242" s="13">
        <v>2024</v>
      </c>
      <c r="E1242" s="13" t="s">
        <v>14</v>
      </c>
      <c r="F1242" s="13" t="s">
        <v>22</v>
      </c>
      <c r="G1242" s="15">
        <v>1246.3649598214286</v>
      </c>
      <c r="H1242" s="15">
        <v>1246.3649598214286</v>
      </c>
      <c r="I1242" s="13">
        <v>9</v>
      </c>
      <c r="J1242" s="13">
        <v>9</v>
      </c>
      <c r="K1242" s="13" t="s">
        <v>3346</v>
      </c>
      <c r="L1242" s="15">
        <v>138.48499553571429</v>
      </c>
      <c r="M1242" s="16">
        <v>138.48499553571429</v>
      </c>
    </row>
    <row r="1243" spans="1:13" s="5" customFormat="1" x14ac:dyDescent="0.25">
      <c r="A1243" s="12" t="s">
        <v>2423</v>
      </c>
      <c r="B1243" s="13" t="s">
        <v>2424</v>
      </c>
      <c r="C1243" s="14">
        <v>45094</v>
      </c>
      <c r="D1243" s="13">
        <v>2023</v>
      </c>
      <c r="E1243" s="13" t="s">
        <v>14</v>
      </c>
      <c r="F1243" s="13" t="s">
        <v>11</v>
      </c>
      <c r="G1243" s="15">
        <v>713.01</v>
      </c>
      <c r="H1243" s="15">
        <v>713.01</v>
      </c>
      <c r="I1243" s="13">
        <v>5</v>
      </c>
      <c r="J1243" s="13">
        <v>5</v>
      </c>
      <c r="K1243" s="13" t="s">
        <v>3346</v>
      </c>
      <c r="L1243" s="15">
        <v>142.602</v>
      </c>
      <c r="M1243" s="16">
        <v>142.602</v>
      </c>
    </row>
    <row r="1244" spans="1:13" s="5" customFormat="1" x14ac:dyDescent="0.25">
      <c r="A1244" s="12" t="s">
        <v>2425</v>
      </c>
      <c r="B1244" s="13" t="s">
        <v>2426</v>
      </c>
      <c r="C1244" s="14">
        <v>45133</v>
      </c>
      <c r="D1244" s="13">
        <v>2023</v>
      </c>
      <c r="E1244" s="13" t="s">
        <v>14</v>
      </c>
      <c r="F1244" s="13" t="s">
        <v>22</v>
      </c>
      <c r="G1244" s="15">
        <v>1275.18</v>
      </c>
      <c r="H1244" s="15">
        <v>1275.18</v>
      </c>
      <c r="I1244" s="13">
        <v>8</v>
      </c>
      <c r="J1244" s="13">
        <v>8</v>
      </c>
      <c r="K1244" s="13" t="s">
        <v>15</v>
      </c>
      <c r="L1244" s="15">
        <v>159.39750000000001</v>
      </c>
      <c r="M1244" s="16">
        <v>159.39750000000001</v>
      </c>
    </row>
    <row r="1245" spans="1:13" s="5" customFormat="1" x14ac:dyDescent="0.25">
      <c r="A1245" s="12" t="s">
        <v>2427</v>
      </c>
      <c r="B1245" s="13" t="s">
        <v>2428</v>
      </c>
      <c r="C1245" s="14">
        <v>45132</v>
      </c>
      <c r="D1245" s="13">
        <v>2023</v>
      </c>
      <c r="E1245" s="13" t="s">
        <v>10</v>
      </c>
      <c r="F1245" s="13" t="s">
        <v>34</v>
      </c>
      <c r="G1245" s="15">
        <v>1281.1500000000001</v>
      </c>
      <c r="H1245" s="15">
        <v>1281.1500000000001</v>
      </c>
      <c r="I1245" s="13">
        <v>6</v>
      </c>
      <c r="J1245" s="13">
        <v>6</v>
      </c>
      <c r="K1245" s="13" t="s">
        <v>18</v>
      </c>
      <c r="L1245" s="15">
        <v>213.52500000000001</v>
      </c>
      <c r="M1245" s="16">
        <v>213.52500000000001</v>
      </c>
    </row>
    <row r="1246" spans="1:13" s="5" customFormat="1" x14ac:dyDescent="0.25">
      <c r="A1246" s="12" t="s">
        <v>2429</v>
      </c>
      <c r="B1246" s="13" t="s">
        <v>2430</v>
      </c>
      <c r="C1246" s="14">
        <v>45583</v>
      </c>
      <c r="D1246" s="13">
        <v>2024</v>
      </c>
      <c r="E1246" s="13" t="s">
        <v>3347</v>
      </c>
      <c r="F1246" s="13" t="s">
        <v>25</v>
      </c>
      <c r="G1246" s="15">
        <v>1790.01</v>
      </c>
      <c r="H1246" s="15">
        <v>1790.01</v>
      </c>
      <c r="I1246" s="13">
        <v>8</v>
      </c>
      <c r="J1246" s="13">
        <v>8</v>
      </c>
      <c r="K1246" s="13" t="s">
        <v>15</v>
      </c>
      <c r="L1246" s="15">
        <v>223.75125</v>
      </c>
      <c r="M1246" s="16">
        <v>223.75125</v>
      </c>
    </row>
    <row r="1247" spans="1:13" s="5" customFormat="1" x14ac:dyDescent="0.25">
      <c r="A1247" s="12" t="s">
        <v>2431</v>
      </c>
      <c r="B1247" s="13" t="s">
        <v>2432</v>
      </c>
      <c r="C1247" s="14">
        <v>45483</v>
      </c>
      <c r="D1247" s="13">
        <v>2024</v>
      </c>
      <c r="E1247" s="13" t="s">
        <v>14</v>
      </c>
      <c r="F1247" s="13" t="s">
        <v>11</v>
      </c>
      <c r="G1247" s="15">
        <v>463.69</v>
      </c>
      <c r="H1247" s="15">
        <v>463.69</v>
      </c>
      <c r="I1247" s="13">
        <v>8</v>
      </c>
      <c r="J1247" s="13">
        <v>8</v>
      </c>
      <c r="K1247" s="13" t="s">
        <v>3346</v>
      </c>
      <c r="L1247" s="15">
        <v>57.96125</v>
      </c>
      <c r="M1247" s="16">
        <v>57.96125</v>
      </c>
    </row>
    <row r="1248" spans="1:13" s="5" customFormat="1" x14ac:dyDescent="0.25">
      <c r="A1248" s="12" t="s">
        <v>2433</v>
      </c>
      <c r="B1248" s="13" t="s">
        <v>2434</v>
      </c>
      <c r="C1248" s="14">
        <v>45132</v>
      </c>
      <c r="D1248" s="13">
        <v>2023</v>
      </c>
      <c r="E1248" s="13" t="s">
        <v>14</v>
      </c>
      <c r="F1248" s="13" t="s">
        <v>11</v>
      </c>
      <c r="G1248" s="15">
        <v>1363.91</v>
      </c>
      <c r="H1248" s="15">
        <v>1363.91</v>
      </c>
      <c r="I1248" s="13">
        <v>9</v>
      </c>
      <c r="J1248" s="13">
        <v>9</v>
      </c>
      <c r="K1248" s="13" t="s">
        <v>15</v>
      </c>
      <c r="L1248" s="15">
        <v>151.54555555555555</v>
      </c>
      <c r="M1248" s="16">
        <v>151.54555555555555</v>
      </c>
    </row>
    <row r="1249" spans="1:13" s="5" customFormat="1" x14ac:dyDescent="0.25">
      <c r="A1249" s="12" t="s">
        <v>2435</v>
      </c>
      <c r="B1249" s="13" t="s">
        <v>2436</v>
      </c>
      <c r="C1249" s="14">
        <v>45563</v>
      </c>
      <c r="D1249" s="13">
        <v>2024</v>
      </c>
      <c r="E1249" s="13" t="s">
        <v>21</v>
      </c>
      <c r="F1249" s="13" t="s">
        <v>22</v>
      </c>
      <c r="G1249" s="15">
        <v>1781.9</v>
      </c>
      <c r="H1249" s="15">
        <v>1781.9</v>
      </c>
      <c r="I1249" s="13">
        <v>10</v>
      </c>
      <c r="J1249" s="13">
        <v>10</v>
      </c>
      <c r="K1249" s="13" t="s">
        <v>3346</v>
      </c>
      <c r="L1249" s="15">
        <v>178.19</v>
      </c>
      <c r="M1249" s="16">
        <v>178.19</v>
      </c>
    </row>
    <row r="1250" spans="1:13" s="5" customFormat="1" x14ac:dyDescent="0.25">
      <c r="A1250" s="12" t="s">
        <v>2437</v>
      </c>
      <c r="B1250" s="13" t="s">
        <v>2438</v>
      </c>
      <c r="C1250" s="14">
        <v>45602</v>
      </c>
      <c r="D1250" s="13">
        <v>2024</v>
      </c>
      <c r="E1250" s="13" t="s">
        <v>10</v>
      </c>
      <c r="F1250" s="13" t="s">
        <v>34</v>
      </c>
      <c r="G1250" s="15">
        <v>908.66</v>
      </c>
      <c r="H1250" s="15">
        <v>908.66</v>
      </c>
      <c r="I1250" s="13">
        <v>4</v>
      </c>
      <c r="J1250" s="13">
        <v>4</v>
      </c>
      <c r="K1250" s="13" t="s">
        <v>15</v>
      </c>
      <c r="L1250" s="15">
        <v>227.16499999999999</v>
      </c>
      <c r="M1250" s="16">
        <v>227.16499999999999</v>
      </c>
    </row>
    <row r="1251" spans="1:13" s="5" customFormat="1" x14ac:dyDescent="0.25">
      <c r="A1251" s="12" t="s">
        <v>2439</v>
      </c>
      <c r="B1251" s="13" t="s">
        <v>2440</v>
      </c>
      <c r="C1251" s="14">
        <v>45605</v>
      </c>
      <c r="D1251" s="13">
        <v>2024</v>
      </c>
      <c r="E1251" s="13" t="s">
        <v>3347</v>
      </c>
      <c r="F1251" s="13" t="s">
        <v>25</v>
      </c>
      <c r="G1251" s="15">
        <v>805.97</v>
      </c>
      <c r="H1251" s="15">
        <v>805.97</v>
      </c>
      <c r="I1251" s="13">
        <v>9</v>
      </c>
      <c r="J1251" s="13">
        <v>9</v>
      </c>
      <c r="K1251" s="13" t="s">
        <v>3346</v>
      </c>
      <c r="L1251" s="15">
        <v>89.552222222222227</v>
      </c>
      <c r="M1251" s="16">
        <v>89.552222222222227</v>
      </c>
    </row>
    <row r="1252" spans="1:13" s="5" customFormat="1" x14ac:dyDescent="0.25">
      <c r="A1252" s="12" t="s">
        <v>2441</v>
      </c>
      <c r="B1252" s="13" t="s">
        <v>2442</v>
      </c>
      <c r="C1252" s="14">
        <v>44926</v>
      </c>
      <c r="D1252" s="13">
        <v>2022</v>
      </c>
      <c r="E1252" s="13" t="s">
        <v>10</v>
      </c>
      <c r="F1252" s="13" t="s">
        <v>25</v>
      </c>
      <c r="G1252" s="15">
        <v>660.2834444444444</v>
      </c>
      <c r="H1252" s="15">
        <v>660.2834444444444</v>
      </c>
      <c r="I1252" s="13">
        <v>2</v>
      </c>
      <c r="J1252" s="13">
        <v>2</v>
      </c>
      <c r="K1252" s="13" t="s">
        <v>35</v>
      </c>
      <c r="L1252" s="15">
        <v>330.1417222222222</v>
      </c>
      <c r="M1252" s="16">
        <v>330.1417222222222</v>
      </c>
    </row>
    <row r="1253" spans="1:13" s="5" customFormat="1" x14ac:dyDescent="0.25">
      <c r="A1253" s="12" t="s">
        <v>2443</v>
      </c>
      <c r="B1253" s="13" t="s">
        <v>1418</v>
      </c>
      <c r="C1253" s="14">
        <v>45299</v>
      </c>
      <c r="D1253" s="13">
        <v>2024</v>
      </c>
      <c r="E1253" s="13" t="s">
        <v>10</v>
      </c>
      <c r="F1253" s="13" t="s">
        <v>34</v>
      </c>
      <c r="G1253" s="15">
        <v>625.35</v>
      </c>
      <c r="H1253" s="15">
        <v>625.35</v>
      </c>
      <c r="I1253" s="13">
        <v>7</v>
      </c>
      <c r="J1253" s="13">
        <v>7</v>
      </c>
      <c r="K1253" s="13" t="s">
        <v>3346</v>
      </c>
      <c r="L1253" s="15">
        <v>89.335714285714289</v>
      </c>
      <c r="M1253" s="16">
        <v>89.335714285714289</v>
      </c>
    </row>
    <row r="1254" spans="1:13" s="5" customFormat="1" x14ac:dyDescent="0.25">
      <c r="A1254" s="12" t="s">
        <v>2444</v>
      </c>
      <c r="B1254" s="13" t="s">
        <v>2445</v>
      </c>
      <c r="C1254" s="14">
        <v>45021</v>
      </c>
      <c r="D1254" s="13">
        <v>2023</v>
      </c>
      <c r="E1254" s="13" t="s">
        <v>10</v>
      </c>
      <c r="F1254" s="13" t="s">
        <v>22</v>
      </c>
      <c r="G1254" s="15">
        <v>1858.71</v>
      </c>
      <c r="H1254" s="15">
        <v>1858.71</v>
      </c>
      <c r="I1254" s="13">
        <v>1</v>
      </c>
      <c r="J1254" s="13">
        <v>1</v>
      </c>
      <c r="K1254" s="13" t="s">
        <v>3348</v>
      </c>
      <c r="L1254" s="15">
        <v>1858.71</v>
      </c>
      <c r="M1254" s="16">
        <v>1858.71</v>
      </c>
    </row>
    <row r="1255" spans="1:13" s="5" customFormat="1" x14ac:dyDescent="0.25">
      <c r="A1255" s="12" t="s">
        <v>2446</v>
      </c>
      <c r="B1255" s="13" t="s">
        <v>2447</v>
      </c>
      <c r="C1255" s="14">
        <v>45316</v>
      </c>
      <c r="D1255" s="13">
        <v>2024</v>
      </c>
      <c r="E1255" s="13" t="s">
        <v>10</v>
      </c>
      <c r="F1255" s="13" t="s">
        <v>25</v>
      </c>
      <c r="G1255" s="15">
        <v>1102.9000000000001</v>
      </c>
      <c r="H1255" s="15">
        <v>1102.9000000000001</v>
      </c>
      <c r="I1255" s="13">
        <v>3</v>
      </c>
      <c r="J1255" s="13">
        <v>3</v>
      </c>
      <c r="K1255" s="13" t="s">
        <v>3348</v>
      </c>
      <c r="L1255" s="15">
        <v>367.63333333333338</v>
      </c>
      <c r="M1255" s="16">
        <v>329.54250000000002</v>
      </c>
    </row>
    <row r="1256" spans="1:13" s="5" customFormat="1" x14ac:dyDescent="0.25">
      <c r="A1256" s="12" t="s">
        <v>2448</v>
      </c>
      <c r="B1256" s="13" t="s">
        <v>2449</v>
      </c>
      <c r="C1256" s="14">
        <v>45838</v>
      </c>
      <c r="D1256" s="13">
        <v>2025</v>
      </c>
      <c r="E1256" s="13" t="s">
        <v>3347</v>
      </c>
      <c r="F1256" s="13" t="s">
        <v>34</v>
      </c>
      <c r="G1256" s="15">
        <v>956.51</v>
      </c>
      <c r="H1256" s="15">
        <v>956.51</v>
      </c>
      <c r="I1256" s="13">
        <v>8</v>
      </c>
      <c r="J1256" s="13">
        <v>8</v>
      </c>
      <c r="K1256" s="13" t="s">
        <v>18</v>
      </c>
      <c r="L1256" s="15">
        <v>119.56375</v>
      </c>
      <c r="M1256" s="16">
        <v>119.56375</v>
      </c>
    </row>
    <row r="1257" spans="1:13" s="5" customFormat="1" x14ac:dyDescent="0.25">
      <c r="A1257" s="12" t="s">
        <v>2450</v>
      </c>
      <c r="B1257" s="13" t="s">
        <v>2451</v>
      </c>
      <c r="C1257" s="14">
        <v>45377</v>
      </c>
      <c r="D1257" s="13">
        <v>2024</v>
      </c>
      <c r="E1257" s="13" t="s">
        <v>3347</v>
      </c>
      <c r="F1257" s="13" t="s">
        <v>22</v>
      </c>
      <c r="G1257" s="15">
        <v>395.67</v>
      </c>
      <c r="H1257" s="15">
        <v>395.67</v>
      </c>
      <c r="I1257" s="13">
        <v>1</v>
      </c>
      <c r="J1257" s="13">
        <v>1</v>
      </c>
      <c r="K1257" s="13" t="s">
        <v>3348</v>
      </c>
      <c r="L1257" s="15">
        <v>395.67</v>
      </c>
      <c r="M1257" s="16">
        <v>395.67</v>
      </c>
    </row>
    <row r="1258" spans="1:13" s="5" customFormat="1" x14ac:dyDescent="0.25">
      <c r="A1258" s="12" t="s">
        <v>2452</v>
      </c>
      <c r="B1258" s="13" t="s">
        <v>1871</v>
      </c>
      <c r="C1258" s="14">
        <v>44862</v>
      </c>
      <c r="D1258" s="13">
        <v>2022</v>
      </c>
      <c r="E1258" s="13" t="s">
        <v>14</v>
      </c>
      <c r="F1258" s="13" t="s">
        <v>22</v>
      </c>
      <c r="G1258" s="15">
        <v>319.14</v>
      </c>
      <c r="H1258" s="15">
        <v>319.14</v>
      </c>
      <c r="I1258" s="13">
        <v>2</v>
      </c>
      <c r="J1258" s="13">
        <v>2</v>
      </c>
      <c r="K1258" s="13" t="s">
        <v>15</v>
      </c>
      <c r="L1258" s="15">
        <v>159.57</v>
      </c>
      <c r="M1258" s="16">
        <v>159.57</v>
      </c>
    </row>
    <row r="1259" spans="1:13" s="5" customFormat="1" x14ac:dyDescent="0.25">
      <c r="A1259" s="12" t="s">
        <v>2453</v>
      </c>
      <c r="B1259" s="13" t="s">
        <v>1202</v>
      </c>
      <c r="C1259" s="14">
        <v>45202</v>
      </c>
      <c r="D1259" s="13">
        <v>2023</v>
      </c>
      <c r="E1259" s="13" t="s">
        <v>14</v>
      </c>
      <c r="F1259" s="13" t="s">
        <v>22</v>
      </c>
      <c r="G1259" s="15">
        <v>1126.1199999999999</v>
      </c>
      <c r="H1259" s="15">
        <v>1126.1199999999999</v>
      </c>
      <c r="I1259" s="13">
        <v>10</v>
      </c>
      <c r="J1259" s="13">
        <v>10</v>
      </c>
      <c r="K1259" s="13" t="s">
        <v>15</v>
      </c>
      <c r="L1259" s="15">
        <v>112.61199999999999</v>
      </c>
      <c r="M1259" s="16">
        <v>112.61199999999999</v>
      </c>
    </row>
    <row r="1260" spans="1:13" s="5" customFormat="1" x14ac:dyDescent="0.25">
      <c r="A1260" s="12" t="s">
        <v>2454</v>
      </c>
      <c r="B1260" s="13" t="s">
        <v>2455</v>
      </c>
      <c r="C1260" s="14">
        <v>45492</v>
      </c>
      <c r="D1260" s="13">
        <v>2024</v>
      </c>
      <c r="E1260" s="13" t="s">
        <v>14</v>
      </c>
      <c r="F1260" s="13" t="s">
        <v>22</v>
      </c>
      <c r="G1260" s="15">
        <v>759.30875000000003</v>
      </c>
      <c r="H1260" s="15">
        <v>759.30875000000003</v>
      </c>
      <c r="I1260" s="13">
        <v>3</v>
      </c>
      <c r="J1260" s="13">
        <v>3</v>
      </c>
      <c r="K1260" s="13" t="s">
        <v>15</v>
      </c>
      <c r="L1260" s="15">
        <v>253.10291666666669</v>
      </c>
      <c r="M1260" s="16">
        <v>253.10291666666669</v>
      </c>
    </row>
    <row r="1261" spans="1:13" s="5" customFormat="1" x14ac:dyDescent="0.25">
      <c r="A1261" s="12" t="s">
        <v>2456</v>
      </c>
      <c r="B1261" s="13" t="s">
        <v>2457</v>
      </c>
      <c r="C1261" s="14">
        <v>45381</v>
      </c>
      <c r="D1261" s="13">
        <v>2024</v>
      </c>
      <c r="E1261" s="13" t="s">
        <v>10</v>
      </c>
      <c r="F1261" s="13" t="s">
        <v>25</v>
      </c>
      <c r="G1261" s="15">
        <v>894.52513888888905</v>
      </c>
      <c r="H1261" s="15">
        <v>894.52513888888905</v>
      </c>
      <c r="I1261" s="13">
        <v>5</v>
      </c>
      <c r="J1261" s="13">
        <v>5</v>
      </c>
      <c r="K1261" s="13" t="s">
        <v>15</v>
      </c>
      <c r="L1261" s="15">
        <v>178.9050277777778</v>
      </c>
      <c r="M1261" s="16">
        <v>178.9050277777778</v>
      </c>
    </row>
    <row r="1262" spans="1:13" s="5" customFormat="1" x14ac:dyDescent="0.25">
      <c r="A1262" s="12" t="s">
        <v>2458</v>
      </c>
      <c r="B1262" s="13" t="s">
        <v>2459</v>
      </c>
      <c r="C1262" s="14">
        <v>45004</v>
      </c>
      <c r="D1262" s="13">
        <v>2023</v>
      </c>
      <c r="E1262" s="13" t="s">
        <v>14</v>
      </c>
      <c r="F1262" s="13" t="s">
        <v>22</v>
      </c>
      <c r="G1262" s="15">
        <v>1859.31</v>
      </c>
      <c r="H1262" s="15">
        <v>1859.31</v>
      </c>
      <c r="I1262" s="13">
        <v>2</v>
      </c>
      <c r="J1262" s="13">
        <v>2</v>
      </c>
      <c r="K1262" s="13" t="s">
        <v>3348</v>
      </c>
      <c r="L1262" s="15">
        <v>929.65499999999997</v>
      </c>
      <c r="M1262" s="16">
        <v>929.65499999999997</v>
      </c>
    </row>
    <row r="1263" spans="1:13" s="5" customFormat="1" x14ac:dyDescent="0.25">
      <c r="A1263" s="12" t="s">
        <v>2460</v>
      </c>
      <c r="B1263" s="13" t="s">
        <v>2461</v>
      </c>
      <c r="C1263" s="14">
        <v>45247</v>
      </c>
      <c r="D1263" s="13">
        <v>2023</v>
      </c>
      <c r="E1263" s="13" t="s">
        <v>21</v>
      </c>
      <c r="F1263" s="13" t="s">
        <v>34</v>
      </c>
      <c r="G1263" s="15">
        <v>514.09</v>
      </c>
      <c r="H1263" s="15">
        <v>514.09</v>
      </c>
      <c r="I1263" s="13">
        <v>8</v>
      </c>
      <c r="J1263" s="13">
        <v>8</v>
      </c>
      <c r="K1263" s="13" t="s">
        <v>3346</v>
      </c>
      <c r="L1263" s="15">
        <v>64.261250000000004</v>
      </c>
      <c r="M1263" s="16">
        <v>64.261250000000004</v>
      </c>
    </row>
    <row r="1264" spans="1:13" s="5" customFormat="1" x14ac:dyDescent="0.25">
      <c r="A1264" s="12" t="s">
        <v>2462</v>
      </c>
      <c r="B1264" s="13" t="s">
        <v>2463</v>
      </c>
      <c r="C1264" s="14">
        <v>45821</v>
      </c>
      <c r="D1264" s="13">
        <v>2025</v>
      </c>
      <c r="E1264" s="13" t="s">
        <v>21</v>
      </c>
      <c r="F1264" s="13" t="s">
        <v>11</v>
      </c>
      <c r="G1264" s="15">
        <v>1397.24</v>
      </c>
      <c r="H1264" s="15">
        <v>1397.24</v>
      </c>
      <c r="I1264" s="13">
        <v>5</v>
      </c>
      <c r="J1264" s="13">
        <v>5</v>
      </c>
      <c r="K1264" s="13" t="s">
        <v>35</v>
      </c>
      <c r="L1264" s="15">
        <v>279.44799999999998</v>
      </c>
      <c r="M1264" s="16">
        <v>279.44799999999998</v>
      </c>
    </row>
    <row r="1265" spans="1:13" s="5" customFormat="1" x14ac:dyDescent="0.25">
      <c r="A1265" s="12" t="s">
        <v>2464</v>
      </c>
      <c r="B1265" s="13" t="s">
        <v>1496</v>
      </c>
      <c r="C1265" s="14">
        <v>44917</v>
      </c>
      <c r="D1265" s="13">
        <v>2022</v>
      </c>
      <c r="E1265" s="13" t="s">
        <v>14</v>
      </c>
      <c r="F1265" s="13" t="s">
        <v>34</v>
      </c>
      <c r="G1265" s="15">
        <v>750.34999999999991</v>
      </c>
      <c r="H1265" s="15">
        <v>750.34999999999991</v>
      </c>
      <c r="I1265" s="13">
        <v>5</v>
      </c>
      <c r="J1265" s="13">
        <v>5</v>
      </c>
      <c r="K1265" s="13" t="s">
        <v>15</v>
      </c>
      <c r="L1265" s="15">
        <v>150.07</v>
      </c>
      <c r="M1265" s="16">
        <v>150.07</v>
      </c>
    </row>
    <row r="1266" spans="1:13" s="5" customFormat="1" x14ac:dyDescent="0.25">
      <c r="A1266" s="12" t="s">
        <v>2465</v>
      </c>
      <c r="B1266" s="13" t="s">
        <v>2466</v>
      </c>
      <c r="C1266" s="14">
        <v>45217</v>
      </c>
      <c r="D1266" s="13">
        <v>2023</v>
      </c>
      <c r="E1266" s="13" t="s">
        <v>3347</v>
      </c>
      <c r="F1266" s="13" t="s">
        <v>34</v>
      </c>
      <c r="G1266" s="15">
        <v>126.32</v>
      </c>
      <c r="H1266" s="15">
        <v>126.32</v>
      </c>
      <c r="I1266" s="13">
        <v>1</v>
      </c>
      <c r="J1266" s="13">
        <v>1</v>
      </c>
      <c r="K1266" s="13" t="s">
        <v>35</v>
      </c>
      <c r="L1266" s="15">
        <v>126.32</v>
      </c>
      <c r="M1266" s="16">
        <v>126.32</v>
      </c>
    </row>
    <row r="1267" spans="1:13" s="5" customFormat="1" x14ac:dyDescent="0.25">
      <c r="A1267" s="12" t="s">
        <v>2467</v>
      </c>
      <c r="B1267" s="13" t="s">
        <v>2468</v>
      </c>
      <c r="C1267" s="14">
        <v>45401</v>
      </c>
      <c r="D1267" s="13">
        <v>2024</v>
      </c>
      <c r="E1267" s="13" t="s">
        <v>10</v>
      </c>
      <c r="F1267" s="13" t="s">
        <v>34</v>
      </c>
      <c r="G1267" s="15">
        <v>1818.95</v>
      </c>
      <c r="H1267" s="15">
        <v>1818.95</v>
      </c>
      <c r="I1267" s="13">
        <v>1</v>
      </c>
      <c r="J1267" s="13">
        <v>1</v>
      </c>
      <c r="K1267" s="13" t="s">
        <v>15</v>
      </c>
      <c r="L1267" s="15">
        <v>1818.95</v>
      </c>
      <c r="M1267" s="16">
        <v>1818.95</v>
      </c>
    </row>
    <row r="1268" spans="1:13" s="5" customFormat="1" x14ac:dyDescent="0.25">
      <c r="A1268" s="12" t="s">
        <v>2469</v>
      </c>
      <c r="B1268" s="13" t="s">
        <v>2470</v>
      </c>
      <c r="C1268" s="14">
        <v>45628</v>
      </c>
      <c r="D1268" s="13">
        <v>2024</v>
      </c>
      <c r="E1268" s="13" t="s">
        <v>14</v>
      </c>
      <c r="F1268" s="13" t="s">
        <v>25</v>
      </c>
      <c r="G1268" s="15">
        <v>1892.97</v>
      </c>
      <c r="H1268" s="15">
        <v>1892.97</v>
      </c>
      <c r="I1268" s="13">
        <v>9</v>
      </c>
      <c r="J1268" s="13">
        <v>9</v>
      </c>
      <c r="K1268" s="13" t="s">
        <v>3346</v>
      </c>
      <c r="L1268" s="15">
        <v>210.33</v>
      </c>
      <c r="M1268" s="16">
        <v>210.33</v>
      </c>
    </row>
    <row r="1269" spans="1:13" s="5" customFormat="1" x14ac:dyDescent="0.25">
      <c r="A1269" s="12" t="s">
        <v>2471</v>
      </c>
      <c r="B1269" s="13" t="s">
        <v>2472</v>
      </c>
      <c r="C1269" s="14">
        <v>45861</v>
      </c>
      <c r="D1269" s="13">
        <v>2025</v>
      </c>
      <c r="E1269" s="13" t="s">
        <v>10</v>
      </c>
      <c r="F1269" s="13" t="s">
        <v>22</v>
      </c>
      <c r="G1269" s="15">
        <v>1081.0999999999999</v>
      </c>
      <c r="H1269" s="15">
        <v>1081.0999999999999</v>
      </c>
      <c r="I1269" s="13">
        <v>4</v>
      </c>
      <c r="J1269" s="13">
        <v>4</v>
      </c>
      <c r="K1269" s="13" t="s">
        <v>35</v>
      </c>
      <c r="L1269" s="15">
        <v>270.27499999999998</v>
      </c>
      <c r="M1269" s="16">
        <v>270.27499999999998</v>
      </c>
    </row>
    <row r="1270" spans="1:13" s="5" customFormat="1" x14ac:dyDescent="0.25">
      <c r="A1270" s="12" t="s">
        <v>2473</v>
      </c>
      <c r="B1270" s="13" t="s">
        <v>2474</v>
      </c>
      <c r="C1270" s="14">
        <v>45042</v>
      </c>
      <c r="D1270" s="13">
        <v>2023</v>
      </c>
      <c r="E1270" s="13" t="s">
        <v>10</v>
      </c>
      <c r="F1270" s="13" t="s">
        <v>25</v>
      </c>
      <c r="G1270" s="15">
        <v>1680.33</v>
      </c>
      <c r="H1270" s="15">
        <v>1680.33</v>
      </c>
      <c r="I1270" s="13">
        <v>6</v>
      </c>
      <c r="J1270" s="13">
        <v>6</v>
      </c>
      <c r="K1270" s="13" t="s">
        <v>3346</v>
      </c>
      <c r="L1270" s="15">
        <v>280.05500000000001</v>
      </c>
      <c r="M1270" s="16">
        <v>280.05500000000001</v>
      </c>
    </row>
    <row r="1271" spans="1:13" s="5" customFormat="1" x14ac:dyDescent="0.25">
      <c r="A1271" s="12" t="s">
        <v>2475</v>
      </c>
      <c r="B1271" s="13" t="s">
        <v>2476</v>
      </c>
      <c r="C1271" s="14">
        <v>45145</v>
      </c>
      <c r="D1271" s="13">
        <v>2023</v>
      </c>
      <c r="E1271" s="13" t="s">
        <v>3347</v>
      </c>
      <c r="F1271" s="13" t="s">
        <v>11</v>
      </c>
      <c r="G1271" s="15">
        <v>977.92</v>
      </c>
      <c r="H1271" s="15">
        <v>977.92</v>
      </c>
      <c r="I1271" s="13">
        <v>7</v>
      </c>
      <c r="J1271" s="13">
        <v>7</v>
      </c>
      <c r="K1271" s="13" t="s">
        <v>3348</v>
      </c>
      <c r="L1271" s="15">
        <v>139.70285714285714</v>
      </c>
      <c r="M1271" s="16">
        <v>139.70285714285714</v>
      </c>
    </row>
    <row r="1272" spans="1:13" s="5" customFormat="1" x14ac:dyDescent="0.25">
      <c r="A1272" s="12" t="s">
        <v>2477</v>
      </c>
      <c r="B1272" s="13" t="s">
        <v>2478</v>
      </c>
      <c r="C1272" s="14">
        <v>45943</v>
      </c>
      <c r="D1272" s="13">
        <v>2025</v>
      </c>
      <c r="E1272" s="13" t="s">
        <v>14</v>
      </c>
      <c r="F1272" s="13" t="s">
        <v>22</v>
      </c>
      <c r="G1272" s="15">
        <v>1207.03</v>
      </c>
      <c r="H1272" s="15">
        <v>1207.03</v>
      </c>
      <c r="I1272" s="13">
        <v>9</v>
      </c>
      <c r="J1272" s="13">
        <v>9</v>
      </c>
      <c r="K1272" s="13" t="s">
        <v>35</v>
      </c>
      <c r="L1272" s="15">
        <v>134.11444444444444</v>
      </c>
      <c r="M1272" s="16">
        <v>134.11444444444444</v>
      </c>
    </row>
    <row r="1273" spans="1:13" s="5" customFormat="1" x14ac:dyDescent="0.25">
      <c r="A1273" s="12" t="s">
        <v>2479</v>
      </c>
      <c r="B1273" s="13" t="s">
        <v>2480</v>
      </c>
      <c r="C1273" s="14">
        <v>45871</v>
      </c>
      <c r="D1273" s="13">
        <v>2025</v>
      </c>
      <c r="E1273" s="13" t="s">
        <v>10</v>
      </c>
      <c r="F1273" s="13" t="s">
        <v>34</v>
      </c>
      <c r="G1273" s="15">
        <v>2275.9460317460316</v>
      </c>
      <c r="H1273" s="15">
        <v>2275.9460317460316</v>
      </c>
      <c r="I1273" s="13">
        <v>10</v>
      </c>
      <c r="J1273" s="13">
        <v>10</v>
      </c>
      <c r="K1273" s="13" t="s">
        <v>18</v>
      </c>
      <c r="L1273" s="15">
        <v>227.59460317460315</v>
      </c>
      <c r="M1273" s="16">
        <v>227.59460317460318</v>
      </c>
    </row>
    <row r="1274" spans="1:13" s="5" customFormat="1" x14ac:dyDescent="0.25">
      <c r="A1274" s="12" t="s">
        <v>2481</v>
      </c>
      <c r="B1274" s="13" t="s">
        <v>2482</v>
      </c>
      <c r="C1274" s="14">
        <v>45715</v>
      </c>
      <c r="D1274" s="13">
        <v>2025</v>
      </c>
      <c r="E1274" s="13" t="s">
        <v>14</v>
      </c>
      <c r="F1274" s="13" t="s">
        <v>34</v>
      </c>
      <c r="G1274" s="15">
        <v>1187.8599999999999</v>
      </c>
      <c r="H1274" s="15">
        <v>1187.8599999999999</v>
      </c>
      <c r="I1274" s="13">
        <v>9</v>
      </c>
      <c r="J1274" s="13">
        <v>9</v>
      </c>
      <c r="K1274" s="13" t="s">
        <v>3348</v>
      </c>
      <c r="L1274" s="15">
        <v>131.98444444444442</v>
      </c>
      <c r="M1274" s="16">
        <v>131.98444444444442</v>
      </c>
    </row>
    <row r="1275" spans="1:13" s="5" customFormat="1" x14ac:dyDescent="0.25">
      <c r="A1275" s="12" t="s">
        <v>2483</v>
      </c>
      <c r="B1275" s="13" t="s">
        <v>415</v>
      </c>
      <c r="C1275" s="14">
        <v>45244</v>
      </c>
      <c r="D1275" s="13">
        <v>2023</v>
      </c>
      <c r="E1275" s="13" t="s">
        <v>14</v>
      </c>
      <c r="F1275" s="13" t="s">
        <v>34</v>
      </c>
      <c r="G1275" s="15">
        <v>1613.95</v>
      </c>
      <c r="H1275" s="15">
        <v>1613.95</v>
      </c>
      <c r="I1275" s="13">
        <v>9</v>
      </c>
      <c r="J1275" s="13">
        <v>9</v>
      </c>
      <c r="K1275" s="13" t="s">
        <v>35</v>
      </c>
      <c r="L1275" s="15">
        <v>179.32777777777778</v>
      </c>
      <c r="M1275" s="16">
        <v>179.32777777777778</v>
      </c>
    </row>
    <row r="1276" spans="1:13" s="5" customFormat="1" x14ac:dyDescent="0.25">
      <c r="A1276" s="12" t="s">
        <v>2484</v>
      </c>
      <c r="B1276" s="13" t="s">
        <v>2485</v>
      </c>
      <c r="C1276" s="14">
        <v>45926</v>
      </c>
      <c r="D1276" s="13">
        <v>2025</v>
      </c>
      <c r="E1276" s="13" t="s">
        <v>10</v>
      </c>
      <c r="F1276" s="13" t="s">
        <v>22</v>
      </c>
      <c r="G1276" s="15">
        <v>296.85000000000002</v>
      </c>
      <c r="H1276" s="15">
        <v>296.85000000000002</v>
      </c>
      <c r="I1276" s="13">
        <v>2</v>
      </c>
      <c r="J1276" s="13">
        <v>2</v>
      </c>
      <c r="K1276" s="13" t="s">
        <v>35</v>
      </c>
      <c r="L1276" s="15">
        <v>148.42500000000001</v>
      </c>
      <c r="M1276" s="16">
        <v>148.42500000000001</v>
      </c>
    </row>
    <row r="1277" spans="1:13" s="5" customFormat="1" x14ac:dyDescent="0.25">
      <c r="A1277" s="12" t="s">
        <v>2486</v>
      </c>
      <c r="B1277" s="13" t="s">
        <v>2487</v>
      </c>
      <c r="C1277" s="14">
        <v>45906</v>
      </c>
      <c r="D1277" s="13">
        <v>2025</v>
      </c>
      <c r="E1277" s="13" t="s">
        <v>10</v>
      </c>
      <c r="F1277" s="13" t="s">
        <v>25</v>
      </c>
      <c r="G1277" s="15">
        <v>1099.58</v>
      </c>
      <c r="H1277" s="15">
        <v>1099.58</v>
      </c>
      <c r="I1277" s="13">
        <v>7</v>
      </c>
      <c r="J1277" s="13">
        <v>7</v>
      </c>
      <c r="K1277" s="13" t="s">
        <v>18</v>
      </c>
      <c r="L1277" s="15">
        <v>157.08285714285714</v>
      </c>
      <c r="M1277" s="16">
        <v>157.08285714285714</v>
      </c>
    </row>
    <row r="1278" spans="1:13" s="5" customFormat="1" x14ac:dyDescent="0.25">
      <c r="A1278" s="12" t="s">
        <v>2488</v>
      </c>
      <c r="B1278" s="13" t="s">
        <v>1415</v>
      </c>
      <c r="C1278" s="14">
        <v>45739</v>
      </c>
      <c r="D1278" s="13">
        <v>2025</v>
      </c>
      <c r="E1278" s="13" t="s">
        <v>21</v>
      </c>
      <c r="F1278" s="13" t="s">
        <v>25</v>
      </c>
      <c r="G1278" s="15">
        <v>1527.22</v>
      </c>
      <c r="H1278" s="15">
        <v>1527.22</v>
      </c>
      <c r="I1278" s="13">
        <v>10</v>
      </c>
      <c r="J1278" s="13">
        <v>10</v>
      </c>
      <c r="K1278" s="13" t="s">
        <v>35</v>
      </c>
      <c r="L1278" s="15">
        <v>152.72200000000001</v>
      </c>
      <c r="M1278" s="16">
        <v>152.72200000000001</v>
      </c>
    </row>
    <row r="1279" spans="1:13" s="5" customFormat="1" x14ac:dyDescent="0.25">
      <c r="A1279" s="12" t="s">
        <v>2489</v>
      </c>
      <c r="B1279" s="13" t="s">
        <v>2490</v>
      </c>
      <c r="C1279" s="14">
        <v>45505</v>
      </c>
      <c r="D1279" s="13">
        <v>2024</v>
      </c>
      <c r="E1279" s="13" t="s">
        <v>14</v>
      </c>
      <c r="F1279" s="13" t="s">
        <v>34</v>
      </c>
      <c r="G1279" s="15">
        <v>1848.53</v>
      </c>
      <c r="H1279" s="15">
        <v>1848.53</v>
      </c>
      <c r="I1279" s="13">
        <v>5</v>
      </c>
      <c r="J1279" s="13">
        <v>5</v>
      </c>
      <c r="K1279" s="13" t="s">
        <v>15</v>
      </c>
      <c r="L1279" s="15">
        <v>369.70600000000002</v>
      </c>
      <c r="M1279" s="16">
        <v>369.70600000000002</v>
      </c>
    </row>
    <row r="1280" spans="1:13" s="5" customFormat="1" x14ac:dyDescent="0.25">
      <c r="A1280" s="12" t="s">
        <v>2491</v>
      </c>
      <c r="B1280" s="13" t="s">
        <v>2492</v>
      </c>
      <c r="C1280" s="14">
        <v>44914</v>
      </c>
      <c r="D1280" s="13">
        <v>2022</v>
      </c>
      <c r="E1280" s="13" t="s">
        <v>10</v>
      </c>
      <c r="F1280" s="13" t="s">
        <v>11</v>
      </c>
      <c r="G1280" s="15">
        <v>776.61</v>
      </c>
      <c r="H1280" s="15">
        <v>776.61</v>
      </c>
      <c r="I1280" s="13">
        <v>10</v>
      </c>
      <c r="J1280" s="13">
        <v>10</v>
      </c>
      <c r="K1280" s="13" t="s">
        <v>35</v>
      </c>
      <c r="L1280" s="15">
        <v>77.661000000000001</v>
      </c>
      <c r="M1280" s="16">
        <v>77.661000000000001</v>
      </c>
    </row>
    <row r="1281" spans="1:13" s="5" customFormat="1" x14ac:dyDescent="0.25">
      <c r="A1281" s="12" t="s">
        <v>2493</v>
      </c>
      <c r="B1281" s="13" t="s">
        <v>2129</v>
      </c>
      <c r="C1281" s="14">
        <v>45011</v>
      </c>
      <c r="D1281" s="13">
        <v>2023</v>
      </c>
      <c r="E1281" s="13" t="s">
        <v>10</v>
      </c>
      <c r="F1281" s="13" t="s">
        <v>11</v>
      </c>
      <c r="G1281" s="15">
        <v>1453.47</v>
      </c>
      <c r="H1281" s="15">
        <v>1453.47</v>
      </c>
      <c r="I1281" s="13">
        <v>7</v>
      </c>
      <c r="J1281" s="13">
        <v>7</v>
      </c>
      <c r="K1281" s="13" t="s">
        <v>15</v>
      </c>
      <c r="L1281" s="15">
        <v>207.63857142857142</v>
      </c>
      <c r="M1281" s="16">
        <v>207.63857142857142</v>
      </c>
    </row>
    <row r="1282" spans="1:13" s="5" customFormat="1" x14ac:dyDescent="0.25">
      <c r="A1282" s="12" t="s">
        <v>2494</v>
      </c>
      <c r="B1282" s="13" t="s">
        <v>2495</v>
      </c>
      <c r="C1282" s="14">
        <v>45753</v>
      </c>
      <c r="D1282" s="13">
        <v>2025</v>
      </c>
      <c r="E1282" s="13" t="s">
        <v>14</v>
      </c>
      <c r="F1282" s="13" t="s">
        <v>11</v>
      </c>
      <c r="G1282" s="15">
        <v>1429.63</v>
      </c>
      <c r="H1282" s="15">
        <v>1429.63</v>
      </c>
      <c r="I1282" s="13">
        <v>7</v>
      </c>
      <c r="J1282" s="13">
        <v>7</v>
      </c>
      <c r="K1282" s="13" t="s">
        <v>3346</v>
      </c>
      <c r="L1282" s="15">
        <v>204.23285714285717</v>
      </c>
      <c r="M1282" s="16">
        <v>204.23285714285717</v>
      </c>
    </row>
    <row r="1283" spans="1:13" s="5" customFormat="1" x14ac:dyDescent="0.25">
      <c r="A1283" s="12" t="s">
        <v>2496</v>
      </c>
      <c r="B1283" s="13" t="s">
        <v>2497</v>
      </c>
      <c r="C1283" s="14">
        <v>45264</v>
      </c>
      <c r="D1283" s="13">
        <v>2023</v>
      </c>
      <c r="E1283" s="13" t="s">
        <v>14</v>
      </c>
      <c r="F1283" s="13" t="s">
        <v>25</v>
      </c>
      <c r="G1283" s="15">
        <v>1048.6300000000001</v>
      </c>
      <c r="H1283" s="15">
        <v>1048.6300000000001</v>
      </c>
      <c r="I1283" s="13">
        <v>3</v>
      </c>
      <c r="J1283" s="13">
        <v>3</v>
      </c>
      <c r="K1283" s="13" t="s">
        <v>3348</v>
      </c>
      <c r="L1283" s="15">
        <v>349.54333333333335</v>
      </c>
      <c r="M1283" s="16">
        <v>349.54333333333335</v>
      </c>
    </row>
    <row r="1284" spans="1:13" s="5" customFormat="1" x14ac:dyDescent="0.25">
      <c r="A1284" s="12" t="s">
        <v>2498</v>
      </c>
      <c r="B1284" s="13" t="s">
        <v>2499</v>
      </c>
      <c r="C1284" s="14">
        <v>45900</v>
      </c>
      <c r="D1284" s="13">
        <v>2025</v>
      </c>
      <c r="E1284" s="13" t="s">
        <v>14</v>
      </c>
      <c r="F1284" s="13" t="s">
        <v>25</v>
      </c>
      <c r="G1284" s="15">
        <v>1323.48</v>
      </c>
      <c r="H1284" s="15">
        <v>1323.48</v>
      </c>
      <c r="I1284" s="13">
        <v>2</v>
      </c>
      <c r="J1284" s="13">
        <v>2</v>
      </c>
      <c r="K1284" s="13" t="s">
        <v>15</v>
      </c>
      <c r="L1284" s="15">
        <v>661.74</v>
      </c>
      <c r="M1284" s="16">
        <v>661.74</v>
      </c>
    </row>
    <row r="1285" spans="1:13" s="5" customFormat="1" x14ac:dyDescent="0.25">
      <c r="A1285" s="12" t="s">
        <v>2500</v>
      </c>
      <c r="B1285" s="13" t="s">
        <v>2501</v>
      </c>
      <c r="C1285" s="14">
        <v>45151</v>
      </c>
      <c r="D1285" s="13">
        <v>2023</v>
      </c>
      <c r="E1285" s="13" t="s">
        <v>3347</v>
      </c>
      <c r="F1285" s="13" t="s">
        <v>11</v>
      </c>
      <c r="G1285" s="15">
        <v>1209.46</v>
      </c>
      <c r="H1285" s="15">
        <v>1209.46</v>
      </c>
      <c r="I1285" s="13">
        <v>1</v>
      </c>
      <c r="J1285" s="13">
        <v>1</v>
      </c>
      <c r="K1285" s="13" t="s">
        <v>18</v>
      </c>
      <c r="L1285" s="15">
        <v>1209.46</v>
      </c>
      <c r="M1285" s="16">
        <v>1209.46</v>
      </c>
    </row>
    <row r="1286" spans="1:13" s="5" customFormat="1" x14ac:dyDescent="0.25">
      <c r="A1286" s="12" t="s">
        <v>2502</v>
      </c>
      <c r="B1286" s="13" t="s">
        <v>2220</v>
      </c>
      <c r="C1286" s="14">
        <v>45095</v>
      </c>
      <c r="D1286" s="13">
        <v>2023</v>
      </c>
      <c r="E1286" s="13" t="s">
        <v>3347</v>
      </c>
      <c r="F1286" s="13" t="s">
        <v>22</v>
      </c>
      <c r="G1286" s="15">
        <v>1378.75</v>
      </c>
      <c r="H1286" s="15">
        <v>1378.75</v>
      </c>
      <c r="I1286" s="13">
        <v>6</v>
      </c>
      <c r="J1286" s="13">
        <v>6</v>
      </c>
      <c r="K1286" s="13" t="s">
        <v>15</v>
      </c>
      <c r="L1286" s="15">
        <v>229.79166666666666</v>
      </c>
      <c r="M1286" s="16">
        <v>229.79166666666666</v>
      </c>
    </row>
    <row r="1287" spans="1:13" s="5" customFormat="1" x14ac:dyDescent="0.25">
      <c r="A1287" s="12" t="s">
        <v>2503</v>
      </c>
      <c r="B1287" s="13" t="s">
        <v>2182</v>
      </c>
      <c r="C1287" s="14">
        <v>44980</v>
      </c>
      <c r="D1287" s="13">
        <v>2023</v>
      </c>
      <c r="E1287" s="13" t="s">
        <v>21</v>
      </c>
      <c r="F1287" s="13" t="s">
        <v>25</v>
      </c>
      <c r="G1287" s="15">
        <v>852.12</v>
      </c>
      <c r="H1287" s="15">
        <v>852.12</v>
      </c>
      <c r="I1287" s="13">
        <v>7</v>
      </c>
      <c r="J1287" s="13">
        <v>7</v>
      </c>
      <c r="K1287" s="13" t="s">
        <v>3348</v>
      </c>
      <c r="L1287" s="15">
        <v>121.73142857142857</v>
      </c>
      <c r="M1287" s="16">
        <v>121.73142857142857</v>
      </c>
    </row>
    <row r="1288" spans="1:13" s="5" customFormat="1" x14ac:dyDescent="0.25">
      <c r="A1288" s="12" t="s">
        <v>2504</v>
      </c>
      <c r="B1288" s="13" t="s">
        <v>2505</v>
      </c>
      <c r="C1288" s="14">
        <v>45609</v>
      </c>
      <c r="D1288" s="13">
        <v>2024</v>
      </c>
      <c r="E1288" s="13" t="s">
        <v>14</v>
      </c>
      <c r="F1288" s="13" t="s">
        <v>25</v>
      </c>
      <c r="G1288" s="15">
        <v>1816.86</v>
      </c>
      <c r="H1288" s="15">
        <v>1816.86</v>
      </c>
      <c r="I1288" s="13">
        <v>2</v>
      </c>
      <c r="J1288" s="13">
        <v>2</v>
      </c>
      <c r="K1288" s="13" t="s">
        <v>18</v>
      </c>
      <c r="L1288" s="15">
        <v>908.43</v>
      </c>
      <c r="M1288" s="16">
        <v>908.43</v>
      </c>
    </row>
    <row r="1289" spans="1:13" s="5" customFormat="1" x14ac:dyDescent="0.25">
      <c r="A1289" s="12" t="s">
        <v>2506</v>
      </c>
      <c r="B1289" s="13" t="s">
        <v>2507</v>
      </c>
      <c r="C1289" s="14">
        <v>45622</v>
      </c>
      <c r="D1289" s="13">
        <v>2024</v>
      </c>
      <c r="E1289" s="13" t="s">
        <v>3347</v>
      </c>
      <c r="F1289" s="13" t="s">
        <v>34</v>
      </c>
      <c r="G1289" s="15">
        <v>1237.02</v>
      </c>
      <c r="H1289" s="15">
        <v>1237.02</v>
      </c>
      <c r="I1289" s="13">
        <v>4</v>
      </c>
      <c r="J1289" s="13">
        <v>4</v>
      </c>
      <c r="K1289" s="13" t="s">
        <v>3346</v>
      </c>
      <c r="L1289" s="15">
        <v>309.255</v>
      </c>
      <c r="M1289" s="16">
        <v>309.255</v>
      </c>
    </row>
    <row r="1290" spans="1:13" s="5" customFormat="1" x14ac:dyDescent="0.25">
      <c r="A1290" s="12" t="s">
        <v>2508</v>
      </c>
      <c r="B1290" s="13" t="s">
        <v>1319</v>
      </c>
      <c r="C1290" s="14">
        <v>45763</v>
      </c>
      <c r="D1290" s="13">
        <v>2025</v>
      </c>
      <c r="E1290" s="13" t="s">
        <v>14</v>
      </c>
      <c r="F1290" s="13" t="s">
        <v>34</v>
      </c>
      <c r="G1290" s="15">
        <v>164.78</v>
      </c>
      <c r="H1290" s="15">
        <v>164.78</v>
      </c>
      <c r="I1290" s="13">
        <v>3</v>
      </c>
      <c r="J1290" s="13">
        <v>3</v>
      </c>
      <c r="K1290" s="13" t="s">
        <v>18</v>
      </c>
      <c r="L1290" s="15">
        <v>54.926666666666669</v>
      </c>
      <c r="M1290" s="16">
        <v>54.926666666666669</v>
      </c>
    </row>
    <row r="1291" spans="1:13" s="5" customFormat="1" x14ac:dyDescent="0.25">
      <c r="A1291" s="12" t="s">
        <v>2509</v>
      </c>
      <c r="B1291" s="13" t="s">
        <v>2510</v>
      </c>
      <c r="C1291" s="14">
        <v>45082</v>
      </c>
      <c r="D1291" s="13">
        <v>2023</v>
      </c>
      <c r="E1291" s="13" t="s">
        <v>3347</v>
      </c>
      <c r="F1291" s="13" t="s">
        <v>25</v>
      </c>
      <c r="G1291" s="15">
        <v>610.70000000000005</v>
      </c>
      <c r="H1291" s="15">
        <v>610.70000000000005</v>
      </c>
      <c r="I1291" s="13">
        <v>8</v>
      </c>
      <c r="J1291" s="13">
        <v>8</v>
      </c>
      <c r="K1291" s="13" t="s">
        <v>15</v>
      </c>
      <c r="L1291" s="15">
        <v>76.337500000000006</v>
      </c>
      <c r="M1291" s="16">
        <v>76.337500000000006</v>
      </c>
    </row>
    <row r="1292" spans="1:13" s="5" customFormat="1" x14ac:dyDescent="0.25">
      <c r="A1292" s="12" t="s">
        <v>2511</v>
      </c>
      <c r="B1292" s="13" t="s">
        <v>2512</v>
      </c>
      <c r="C1292" s="14">
        <v>45827</v>
      </c>
      <c r="D1292" s="13">
        <v>2025</v>
      </c>
      <c r="E1292" s="13" t="s">
        <v>10</v>
      </c>
      <c r="F1292" s="13" t="s">
        <v>22</v>
      </c>
      <c r="G1292" s="15">
        <v>12.05</v>
      </c>
      <c r="H1292" s="15">
        <v>12.05</v>
      </c>
      <c r="I1292" s="13">
        <v>2</v>
      </c>
      <c r="J1292" s="13">
        <v>2</v>
      </c>
      <c r="K1292" s="13" t="s">
        <v>15</v>
      </c>
      <c r="L1292" s="15">
        <v>6.0250000000000004</v>
      </c>
      <c r="M1292" s="16">
        <v>6.0250000000000004</v>
      </c>
    </row>
    <row r="1293" spans="1:13" s="5" customFormat="1" x14ac:dyDescent="0.25">
      <c r="A1293" s="12" t="s">
        <v>2513</v>
      </c>
      <c r="B1293" s="13" t="s">
        <v>2514</v>
      </c>
      <c r="C1293" s="14">
        <v>45160</v>
      </c>
      <c r="D1293" s="13">
        <v>2023</v>
      </c>
      <c r="E1293" s="13" t="s">
        <v>10</v>
      </c>
      <c r="F1293" s="13" t="s">
        <v>11</v>
      </c>
      <c r="G1293" s="15">
        <v>1912.4</v>
      </c>
      <c r="H1293" s="15">
        <v>1912.4</v>
      </c>
      <c r="I1293" s="13">
        <v>2</v>
      </c>
      <c r="J1293" s="13">
        <v>2</v>
      </c>
      <c r="K1293" s="13" t="s">
        <v>3348</v>
      </c>
      <c r="L1293" s="15">
        <v>956.2</v>
      </c>
      <c r="M1293" s="16">
        <v>956.2</v>
      </c>
    </row>
    <row r="1294" spans="1:13" s="5" customFormat="1" x14ac:dyDescent="0.25">
      <c r="A1294" s="12" t="s">
        <v>2515</v>
      </c>
      <c r="B1294" s="13" t="s">
        <v>2516</v>
      </c>
      <c r="C1294" s="14">
        <v>45450</v>
      </c>
      <c r="D1294" s="13">
        <v>2024</v>
      </c>
      <c r="E1294" s="13" t="s">
        <v>3347</v>
      </c>
      <c r="F1294" s="13" t="s">
        <v>34</v>
      </c>
      <c r="G1294" s="15">
        <v>1993.99</v>
      </c>
      <c r="H1294" s="15">
        <v>1993.99</v>
      </c>
      <c r="I1294" s="13">
        <v>1</v>
      </c>
      <c r="J1294" s="13">
        <v>1</v>
      </c>
      <c r="K1294" s="13" t="s">
        <v>18</v>
      </c>
      <c r="L1294" s="15">
        <v>1993.99</v>
      </c>
      <c r="M1294" s="16">
        <v>1993.99</v>
      </c>
    </row>
    <row r="1295" spans="1:13" s="5" customFormat="1" x14ac:dyDescent="0.25">
      <c r="A1295" s="12" t="s">
        <v>2517</v>
      </c>
      <c r="B1295" s="13" t="s">
        <v>2518</v>
      </c>
      <c r="C1295" s="14">
        <v>45173</v>
      </c>
      <c r="D1295" s="13">
        <v>2023</v>
      </c>
      <c r="E1295" s="13" t="s">
        <v>14</v>
      </c>
      <c r="F1295" s="13" t="s">
        <v>25</v>
      </c>
      <c r="G1295" s="15">
        <v>1386.56</v>
      </c>
      <c r="H1295" s="15">
        <v>1386.56</v>
      </c>
      <c r="I1295" s="13">
        <v>3</v>
      </c>
      <c r="J1295" s="13">
        <v>3</v>
      </c>
      <c r="K1295" s="13" t="s">
        <v>18</v>
      </c>
      <c r="L1295" s="15">
        <v>462.18666666666667</v>
      </c>
      <c r="M1295" s="16">
        <v>500.10511666666662</v>
      </c>
    </row>
    <row r="1296" spans="1:13" s="5" customFormat="1" x14ac:dyDescent="0.25">
      <c r="A1296" s="12" t="s">
        <v>2519</v>
      </c>
      <c r="B1296" s="13" t="s">
        <v>2520</v>
      </c>
      <c r="C1296" s="14">
        <v>45550</v>
      </c>
      <c r="D1296" s="13">
        <v>2024</v>
      </c>
      <c r="E1296" s="13" t="s">
        <v>21</v>
      </c>
      <c r="F1296" s="13" t="s">
        <v>34</v>
      </c>
      <c r="G1296" s="15">
        <v>1776.6</v>
      </c>
      <c r="H1296" s="15">
        <v>1776.6</v>
      </c>
      <c r="I1296" s="13">
        <v>3</v>
      </c>
      <c r="J1296" s="13">
        <v>3</v>
      </c>
      <c r="K1296" s="13" t="s">
        <v>18</v>
      </c>
      <c r="L1296" s="15">
        <v>592.19999999999993</v>
      </c>
      <c r="M1296" s="16">
        <v>592.19999999999993</v>
      </c>
    </row>
    <row r="1297" spans="1:13" s="5" customFormat="1" x14ac:dyDescent="0.25">
      <c r="A1297" s="12" t="s">
        <v>2521</v>
      </c>
      <c r="B1297" s="13" t="s">
        <v>2522</v>
      </c>
      <c r="C1297" s="14">
        <v>45276</v>
      </c>
      <c r="D1297" s="13">
        <v>2023</v>
      </c>
      <c r="E1297" s="13" t="s">
        <v>21</v>
      </c>
      <c r="F1297" s="13" t="s">
        <v>34</v>
      </c>
      <c r="G1297" s="15">
        <v>1975.95</v>
      </c>
      <c r="H1297" s="15">
        <v>1975.95</v>
      </c>
      <c r="I1297" s="13">
        <v>5</v>
      </c>
      <c r="J1297" s="13">
        <v>5</v>
      </c>
      <c r="K1297" s="13" t="s">
        <v>3346</v>
      </c>
      <c r="L1297" s="15">
        <v>395.19</v>
      </c>
      <c r="M1297" s="16">
        <v>395.19</v>
      </c>
    </row>
    <row r="1298" spans="1:13" s="5" customFormat="1" x14ac:dyDescent="0.25">
      <c r="A1298" s="12" t="s">
        <v>2523</v>
      </c>
      <c r="B1298" s="13" t="s">
        <v>2524</v>
      </c>
      <c r="C1298" s="14">
        <v>45753</v>
      </c>
      <c r="D1298" s="13">
        <v>2025</v>
      </c>
      <c r="E1298" s="13" t="s">
        <v>10</v>
      </c>
      <c r="F1298" s="13" t="s">
        <v>11</v>
      </c>
      <c r="G1298" s="15">
        <v>730.55</v>
      </c>
      <c r="H1298" s="15">
        <v>730.55</v>
      </c>
      <c r="I1298" s="13">
        <v>6</v>
      </c>
      <c r="J1298" s="13">
        <v>6</v>
      </c>
      <c r="K1298" s="13" t="s">
        <v>35</v>
      </c>
      <c r="L1298" s="15">
        <v>121.75833333333333</v>
      </c>
      <c r="M1298" s="16">
        <v>121.75833333333333</v>
      </c>
    </row>
    <row r="1299" spans="1:13" s="5" customFormat="1" x14ac:dyDescent="0.25">
      <c r="A1299" s="12" t="s">
        <v>2525</v>
      </c>
      <c r="B1299" s="13" t="s">
        <v>1927</v>
      </c>
      <c r="C1299" s="14">
        <v>45350</v>
      </c>
      <c r="D1299" s="13">
        <v>2024</v>
      </c>
      <c r="E1299" s="13" t="s">
        <v>14</v>
      </c>
      <c r="F1299" s="13" t="s">
        <v>11</v>
      </c>
      <c r="G1299" s="15">
        <v>5003.8999999999996</v>
      </c>
      <c r="H1299" s="15">
        <v>3548.2821388888883</v>
      </c>
      <c r="I1299" s="13">
        <v>4</v>
      </c>
      <c r="J1299" s="13">
        <v>4</v>
      </c>
      <c r="K1299" s="13" t="s">
        <v>3348</v>
      </c>
      <c r="L1299" s="15">
        <v>1250.9749999999999</v>
      </c>
      <c r="M1299" s="16">
        <v>1250.9749999999999</v>
      </c>
    </row>
    <row r="1300" spans="1:13" s="5" customFormat="1" x14ac:dyDescent="0.25">
      <c r="A1300" s="12" t="s">
        <v>2526</v>
      </c>
      <c r="B1300" s="13" t="s">
        <v>2527</v>
      </c>
      <c r="C1300" s="14">
        <v>45517</v>
      </c>
      <c r="D1300" s="13">
        <v>2024</v>
      </c>
      <c r="E1300" s="13" t="s">
        <v>10</v>
      </c>
      <c r="F1300" s="13" t="s">
        <v>34</v>
      </c>
      <c r="G1300" s="15">
        <v>1924.1</v>
      </c>
      <c r="H1300" s="15">
        <v>1924.1</v>
      </c>
      <c r="I1300" s="13">
        <v>2</v>
      </c>
      <c r="J1300" s="13">
        <v>2</v>
      </c>
      <c r="K1300" s="13" t="s">
        <v>18</v>
      </c>
      <c r="L1300" s="15">
        <v>962.05</v>
      </c>
      <c r="M1300" s="16">
        <v>962.05</v>
      </c>
    </row>
    <row r="1301" spans="1:13" s="5" customFormat="1" x14ac:dyDescent="0.25">
      <c r="A1301" s="12" t="s">
        <v>2528</v>
      </c>
      <c r="B1301" s="13" t="s">
        <v>2529</v>
      </c>
      <c r="C1301" s="14">
        <v>45183</v>
      </c>
      <c r="D1301" s="13">
        <v>2023</v>
      </c>
      <c r="E1301" s="13" t="s">
        <v>21</v>
      </c>
      <c r="F1301" s="13" t="s">
        <v>22</v>
      </c>
      <c r="G1301" s="15">
        <v>1714.56</v>
      </c>
      <c r="H1301" s="15">
        <v>1714.56</v>
      </c>
      <c r="I1301" s="13">
        <v>6</v>
      </c>
      <c r="J1301" s="13">
        <v>6</v>
      </c>
      <c r="K1301" s="13" t="s">
        <v>15</v>
      </c>
      <c r="L1301" s="15">
        <v>285.76</v>
      </c>
      <c r="M1301" s="16">
        <v>285.76</v>
      </c>
    </row>
    <row r="1302" spans="1:13" s="5" customFormat="1" x14ac:dyDescent="0.25">
      <c r="A1302" s="12" t="s">
        <v>2530</v>
      </c>
      <c r="B1302" s="13" t="s">
        <v>2531</v>
      </c>
      <c r="C1302" s="14">
        <v>45931</v>
      </c>
      <c r="D1302" s="13">
        <v>2025</v>
      </c>
      <c r="E1302" s="13" t="s">
        <v>3347</v>
      </c>
      <c r="F1302" s="13" t="s">
        <v>34</v>
      </c>
      <c r="G1302" s="15">
        <v>547.34</v>
      </c>
      <c r="H1302" s="15">
        <v>547.34</v>
      </c>
      <c r="I1302" s="13">
        <v>7</v>
      </c>
      <c r="J1302" s="13">
        <v>7</v>
      </c>
      <c r="K1302" s="13" t="s">
        <v>15</v>
      </c>
      <c r="L1302" s="15">
        <v>78.191428571428574</v>
      </c>
      <c r="M1302" s="16">
        <v>78.191428571428574</v>
      </c>
    </row>
    <row r="1303" spans="1:13" s="5" customFormat="1" x14ac:dyDescent="0.25">
      <c r="A1303" s="12" t="s">
        <v>2532</v>
      </c>
      <c r="B1303" s="13" t="s">
        <v>2533</v>
      </c>
      <c r="C1303" s="14">
        <v>45388</v>
      </c>
      <c r="D1303" s="13">
        <v>2024</v>
      </c>
      <c r="E1303" s="13" t="s">
        <v>21</v>
      </c>
      <c r="F1303" s="13" t="s">
        <v>25</v>
      </c>
      <c r="G1303" s="15">
        <v>871.29</v>
      </c>
      <c r="H1303" s="15">
        <v>871.29</v>
      </c>
      <c r="I1303" s="13">
        <v>4</v>
      </c>
      <c r="J1303" s="13">
        <v>4</v>
      </c>
      <c r="K1303" s="13" t="s">
        <v>18</v>
      </c>
      <c r="L1303" s="15">
        <v>217.82249999999999</v>
      </c>
      <c r="M1303" s="16">
        <v>217.82249999999999</v>
      </c>
    </row>
    <row r="1304" spans="1:13" s="5" customFormat="1" x14ac:dyDescent="0.25">
      <c r="A1304" s="12" t="s">
        <v>2534</v>
      </c>
      <c r="B1304" s="13" t="s">
        <v>2535</v>
      </c>
      <c r="C1304" s="14">
        <v>45056</v>
      </c>
      <c r="D1304" s="13">
        <v>2023</v>
      </c>
      <c r="E1304" s="13" t="s">
        <v>10</v>
      </c>
      <c r="F1304" s="13" t="s">
        <v>34</v>
      </c>
      <c r="G1304" s="15">
        <v>1143.9000000000001</v>
      </c>
      <c r="H1304" s="15">
        <v>1143.9000000000001</v>
      </c>
      <c r="I1304" s="13">
        <v>4</v>
      </c>
      <c r="J1304" s="13">
        <v>4</v>
      </c>
      <c r="K1304" s="13" t="s">
        <v>3346</v>
      </c>
      <c r="L1304" s="15">
        <v>285.97500000000002</v>
      </c>
      <c r="M1304" s="16">
        <v>285.97500000000002</v>
      </c>
    </row>
    <row r="1305" spans="1:13" s="5" customFormat="1" x14ac:dyDescent="0.25">
      <c r="A1305" s="12" t="s">
        <v>2536</v>
      </c>
      <c r="B1305" s="13" t="s">
        <v>2537</v>
      </c>
      <c r="C1305" s="14">
        <v>45182</v>
      </c>
      <c r="D1305" s="13">
        <v>2023</v>
      </c>
      <c r="E1305" s="13" t="s">
        <v>21</v>
      </c>
      <c r="F1305" s="13" t="s">
        <v>25</v>
      </c>
      <c r="G1305" s="15">
        <v>199.91</v>
      </c>
      <c r="H1305" s="15">
        <v>199.91</v>
      </c>
      <c r="I1305" s="13">
        <v>7</v>
      </c>
      <c r="J1305" s="13">
        <v>7</v>
      </c>
      <c r="K1305" s="13" t="s">
        <v>35</v>
      </c>
      <c r="L1305" s="15">
        <v>28.55857142857143</v>
      </c>
      <c r="M1305" s="16">
        <v>28.55857142857143</v>
      </c>
    </row>
    <row r="1306" spans="1:13" s="5" customFormat="1" x14ac:dyDescent="0.25">
      <c r="A1306" s="12" t="s">
        <v>2538</v>
      </c>
      <c r="B1306" s="13" t="s">
        <v>2539</v>
      </c>
      <c r="C1306" s="14">
        <v>45704</v>
      </c>
      <c r="D1306" s="13">
        <v>2025</v>
      </c>
      <c r="E1306" s="13" t="s">
        <v>3347</v>
      </c>
      <c r="F1306" s="13" t="s">
        <v>25</v>
      </c>
      <c r="G1306" s="15">
        <v>1974.79</v>
      </c>
      <c r="H1306" s="15">
        <v>1974.79</v>
      </c>
      <c r="I1306" s="13">
        <v>11</v>
      </c>
      <c r="J1306" s="13">
        <v>10</v>
      </c>
      <c r="K1306" s="13" t="s">
        <v>18</v>
      </c>
      <c r="L1306" s="15">
        <v>179.52636363636364</v>
      </c>
      <c r="M1306" s="16">
        <v>179.03353571428573</v>
      </c>
    </row>
    <row r="1307" spans="1:13" s="5" customFormat="1" x14ac:dyDescent="0.25">
      <c r="A1307" s="12" t="s">
        <v>2540</v>
      </c>
      <c r="B1307" s="13" t="s">
        <v>2541</v>
      </c>
      <c r="C1307" s="14">
        <v>45938</v>
      </c>
      <c r="D1307" s="13">
        <v>2025</v>
      </c>
      <c r="E1307" s="13" t="s">
        <v>21</v>
      </c>
      <c r="F1307" s="13" t="s">
        <v>25</v>
      </c>
      <c r="G1307" s="15">
        <v>135.61000000000001</v>
      </c>
      <c r="H1307" s="15">
        <v>135.61000000000001</v>
      </c>
      <c r="I1307" s="13">
        <v>6</v>
      </c>
      <c r="J1307" s="13">
        <v>6</v>
      </c>
      <c r="K1307" s="13" t="s">
        <v>3348</v>
      </c>
      <c r="L1307" s="15">
        <v>22.60166666666667</v>
      </c>
      <c r="M1307" s="16">
        <v>22.60166666666667</v>
      </c>
    </row>
    <row r="1308" spans="1:13" s="5" customFormat="1" x14ac:dyDescent="0.25">
      <c r="A1308" s="12" t="s">
        <v>2542</v>
      </c>
      <c r="B1308" s="13" t="s">
        <v>2543</v>
      </c>
      <c r="C1308" s="14">
        <v>45556</v>
      </c>
      <c r="D1308" s="13">
        <v>2024</v>
      </c>
      <c r="E1308" s="13" t="s">
        <v>3347</v>
      </c>
      <c r="F1308" s="13" t="s">
        <v>22</v>
      </c>
      <c r="G1308" s="15">
        <v>1817.88</v>
      </c>
      <c r="H1308" s="15">
        <v>1817.88</v>
      </c>
      <c r="I1308" s="13">
        <v>3</v>
      </c>
      <c r="J1308" s="13">
        <v>3</v>
      </c>
      <c r="K1308" s="13" t="s">
        <v>15</v>
      </c>
      <c r="L1308" s="15">
        <v>605.96</v>
      </c>
      <c r="M1308" s="16">
        <v>605.96</v>
      </c>
    </row>
    <row r="1309" spans="1:13" s="5" customFormat="1" x14ac:dyDescent="0.25">
      <c r="A1309" s="12" t="s">
        <v>2544</v>
      </c>
      <c r="B1309" s="13" t="s">
        <v>2545</v>
      </c>
      <c r="C1309" s="14">
        <v>45570</v>
      </c>
      <c r="D1309" s="13">
        <v>2024</v>
      </c>
      <c r="E1309" s="13" t="s">
        <v>14</v>
      </c>
      <c r="F1309" s="13" t="s">
        <v>22</v>
      </c>
      <c r="G1309" s="15">
        <v>39.840000000000003</v>
      </c>
      <c r="H1309" s="15">
        <v>39.840000000000003</v>
      </c>
      <c r="I1309" s="13">
        <v>10</v>
      </c>
      <c r="J1309" s="13">
        <v>10</v>
      </c>
      <c r="K1309" s="13" t="s">
        <v>3346</v>
      </c>
      <c r="L1309" s="15">
        <v>3.9840000000000004</v>
      </c>
      <c r="M1309" s="16">
        <v>3.9840000000000004</v>
      </c>
    </row>
    <row r="1310" spans="1:13" s="5" customFormat="1" x14ac:dyDescent="0.25">
      <c r="A1310" s="12" t="s">
        <v>2546</v>
      </c>
      <c r="B1310" s="13" t="s">
        <v>2547</v>
      </c>
      <c r="C1310" s="14">
        <v>45697</v>
      </c>
      <c r="D1310" s="13">
        <v>2025</v>
      </c>
      <c r="E1310" s="13" t="s">
        <v>14</v>
      </c>
      <c r="F1310" s="13" t="s">
        <v>22</v>
      </c>
      <c r="G1310" s="15">
        <v>1608.61</v>
      </c>
      <c r="H1310" s="15">
        <v>1608.61</v>
      </c>
      <c r="I1310" s="13">
        <v>1</v>
      </c>
      <c r="J1310" s="13">
        <v>1</v>
      </c>
      <c r="K1310" s="13" t="s">
        <v>3348</v>
      </c>
      <c r="L1310" s="15">
        <v>1608.61</v>
      </c>
      <c r="M1310" s="16">
        <v>1608.61</v>
      </c>
    </row>
    <row r="1311" spans="1:13" s="5" customFormat="1" x14ac:dyDescent="0.25">
      <c r="A1311" s="12" t="s">
        <v>2548</v>
      </c>
      <c r="B1311" s="13" t="s">
        <v>2549</v>
      </c>
      <c r="C1311" s="14">
        <v>45913</v>
      </c>
      <c r="D1311" s="13">
        <v>2025</v>
      </c>
      <c r="E1311" s="13" t="s">
        <v>14</v>
      </c>
      <c r="F1311" s="13" t="s">
        <v>22</v>
      </c>
      <c r="G1311" s="15">
        <v>856.37</v>
      </c>
      <c r="H1311" s="15">
        <v>856.37</v>
      </c>
      <c r="I1311" s="13">
        <v>6</v>
      </c>
      <c r="J1311" s="13">
        <v>6</v>
      </c>
      <c r="K1311" s="13" t="s">
        <v>35</v>
      </c>
      <c r="L1311" s="15">
        <v>142.72833333333332</v>
      </c>
      <c r="M1311" s="16">
        <v>142.72833333333332</v>
      </c>
    </row>
    <row r="1312" spans="1:13" s="5" customFormat="1" x14ac:dyDescent="0.25">
      <c r="A1312" s="12" t="s">
        <v>2550</v>
      </c>
      <c r="B1312" s="13" t="s">
        <v>2551</v>
      </c>
      <c r="C1312" s="14">
        <v>45807</v>
      </c>
      <c r="D1312" s="13">
        <v>2025</v>
      </c>
      <c r="E1312" s="13" t="s">
        <v>14</v>
      </c>
      <c r="F1312" s="13" t="s">
        <v>34</v>
      </c>
      <c r="G1312" s="15">
        <v>1919.54</v>
      </c>
      <c r="H1312" s="15">
        <v>1919.54</v>
      </c>
      <c r="I1312" s="13">
        <v>2</v>
      </c>
      <c r="J1312" s="13">
        <v>2</v>
      </c>
      <c r="K1312" s="13" t="s">
        <v>18</v>
      </c>
      <c r="L1312" s="15">
        <v>959.77</v>
      </c>
      <c r="M1312" s="16">
        <v>959.77</v>
      </c>
    </row>
    <row r="1313" spans="1:13" s="5" customFormat="1" x14ac:dyDescent="0.25">
      <c r="A1313" s="12" t="s">
        <v>2552</v>
      </c>
      <c r="B1313" s="13" t="s">
        <v>2553</v>
      </c>
      <c r="C1313" s="14">
        <v>45042</v>
      </c>
      <c r="D1313" s="13">
        <v>2023</v>
      </c>
      <c r="E1313" s="13" t="s">
        <v>21</v>
      </c>
      <c r="F1313" s="13" t="s">
        <v>11</v>
      </c>
      <c r="G1313" s="15">
        <v>1623.76</v>
      </c>
      <c r="H1313" s="15">
        <v>1623.76</v>
      </c>
      <c r="I1313" s="13">
        <v>4</v>
      </c>
      <c r="J1313" s="13">
        <v>4</v>
      </c>
      <c r="K1313" s="13" t="s">
        <v>3348</v>
      </c>
      <c r="L1313" s="15">
        <v>405.94</v>
      </c>
      <c r="M1313" s="16">
        <v>405.94</v>
      </c>
    </row>
    <row r="1314" spans="1:13" s="5" customFormat="1" x14ac:dyDescent="0.25">
      <c r="A1314" s="12" t="s">
        <v>2554</v>
      </c>
      <c r="B1314" s="13" t="s">
        <v>2555</v>
      </c>
      <c r="C1314" s="14">
        <v>45195</v>
      </c>
      <c r="D1314" s="13">
        <v>2023</v>
      </c>
      <c r="E1314" s="13" t="s">
        <v>14</v>
      </c>
      <c r="F1314" s="13" t="s">
        <v>25</v>
      </c>
      <c r="G1314" s="15">
        <v>1172.1099999999999</v>
      </c>
      <c r="H1314" s="15">
        <v>1172.1099999999999</v>
      </c>
      <c r="I1314" s="13">
        <v>6</v>
      </c>
      <c r="J1314" s="13">
        <v>6</v>
      </c>
      <c r="K1314" s="13" t="s">
        <v>35</v>
      </c>
      <c r="L1314" s="15">
        <v>195.35166666666666</v>
      </c>
      <c r="M1314" s="16">
        <v>195.35166666666666</v>
      </c>
    </row>
    <row r="1315" spans="1:13" s="5" customFormat="1" x14ac:dyDescent="0.25">
      <c r="A1315" s="12" t="s">
        <v>2556</v>
      </c>
      <c r="B1315" s="13" t="s">
        <v>2557</v>
      </c>
      <c r="C1315" s="14">
        <v>45270</v>
      </c>
      <c r="D1315" s="13">
        <v>2023</v>
      </c>
      <c r="E1315" s="13" t="s">
        <v>10</v>
      </c>
      <c r="F1315" s="13" t="s">
        <v>34</v>
      </c>
      <c r="G1315" s="15">
        <v>1536.43</v>
      </c>
      <c r="H1315" s="15">
        <v>1536.43</v>
      </c>
      <c r="I1315" s="13">
        <v>7</v>
      </c>
      <c r="J1315" s="13">
        <v>7</v>
      </c>
      <c r="K1315" s="13" t="s">
        <v>15</v>
      </c>
      <c r="L1315" s="15">
        <v>219.49</v>
      </c>
      <c r="M1315" s="16">
        <v>219.49</v>
      </c>
    </row>
    <row r="1316" spans="1:13" s="5" customFormat="1" x14ac:dyDescent="0.25">
      <c r="A1316" s="12" t="s">
        <v>2558</v>
      </c>
      <c r="B1316" s="13" t="s">
        <v>2559</v>
      </c>
      <c r="C1316" s="14">
        <v>45265</v>
      </c>
      <c r="D1316" s="13">
        <v>2023</v>
      </c>
      <c r="E1316" s="13" t="s">
        <v>10</v>
      </c>
      <c r="F1316" s="13" t="s">
        <v>34</v>
      </c>
      <c r="G1316" s="15">
        <v>498.21</v>
      </c>
      <c r="H1316" s="15">
        <v>498.21</v>
      </c>
      <c r="I1316" s="13">
        <v>10</v>
      </c>
      <c r="J1316" s="13">
        <v>10</v>
      </c>
      <c r="K1316" s="13" t="s">
        <v>3346</v>
      </c>
      <c r="L1316" s="15">
        <v>49.820999999999998</v>
      </c>
      <c r="M1316" s="16">
        <v>49.820999999999998</v>
      </c>
    </row>
    <row r="1317" spans="1:13" s="5" customFormat="1" x14ac:dyDescent="0.25">
      <c r="A1317" s="12" t="s">
        <v>2560</v>
      </c>
      <c r="B1317" s="13" t="s">
        <v>571</v>
      </c>
      <c r="C1317" s="14">
        <v>45309</v>
      </c>
      <c r="D1317" s="13">
        <v>2024</v>
      </c>
      <c r="E1317" s="13" t="s">
        <v>3347</v>
      </c>
      <c r="F1317" s="13" t="s">
        <v>25</v>
      </c>
      <c r="G1317" s="15">
        <v>1669.73</v>
      </c>
      <c r="H1317" s="15">
        <v>1669.73</v>
      </c>
      <c r="I1317" s="13">
        <v>10</v>
      </c>
      <c r="J1317" s="13">
        <v>10</v>
      </c>
      <c r="K1317" s="13" t="s">
        <v>35</v>
      </c>
      <c r="L1317" s="15">
        <v>166.97300000000001</v>
      </c>
      <c r="M1317" s="16">
        <v>166.97300000000001</v>
      </c>
    </row>
    <row r="1318" spans="1:13" s="5" customFormat="1" x14ac:dyDescent="0.25">
      <c r="A1318" s="12" t="s">
        <v>2561</v>
      </c>
      <c r="B1318" s="13" t="s">
        <v>2562</v>
      </c>
      <c r="C1318" s="14">
        <v>45861</v>
      </c>
      <c r="D1318" s="13">
        <v>2025</v>
      </c>
      <c r="E1318" s="13" t="s">
        <v>10</v>
      </c>
      <c r="F1318" s="13" t="s">
        <v>22</v>
      </c>
      <c r="G1318" s="15">
        <v>1326.02</v>
      </c>
      <c r="H1318" s="15">
        <v>1326.02</v>
      </c>
      <c r="I1318" s="13">
        <v>9</v>
      </c>
      <c r="J1318" s="13">
        <v>9</v>
      </c>
      <c r="K1318" s="13" t="s">
        <v>3348</v>
      </c>
      <c r="L1318" s="15">
        <v>147.33555555555554</v>
      </c>
      <c r="M1318" s="16">
        <v>147.33555555555554</v>
      </c>
    </row>
    <row r="1319" spans="1:13" s="5" customFormat="1" x14ac:dyDescent="0.25">
      <c r="A1319" s="12" t="s">
        <v>2563</v>
      </c>
      <c r="B1319" s="13" t="s">
        <v>2564</v>
      </c>
      <c r="C1319" s="14">
        <v>45571</v>
      </c>
      <c r="D1319" s="13">
        <v>2024</v>
      </c>
      <c r="E1319" s="13" t="s">
        <v>3347</v>
      </c>
      <c r="F1319" s="13" t="s">
        <v>22</v>
      </c>
      <c r="G1319" s="15">
        <v>1668.17</v>
      </c>
      <c r="H1319" s="15">
        <v>1668.17</v>
      </c>
      <c r="I1319" s="13">
        <v>5</v>
      </c>
      <c r="J1319" s="13">
        <v>5</v>
      </c>
      <c r="K1319" s="13" t="s">
        <v>15</v>
      </c>
      <c r="L1319" s="15">
        <v>333.63400000000001</v>
      </c>
      <c r="M1319" s="16">
        <v>333.63400000000001</v>
      </c>
    </row>
    <row r="1320" spans="1:13" s="5" customFormat="1" x14ac:dyDescent="0.25">
      <c r="A1320" s="12" t="s">
        <v>2565</v>
      </c>
      <c r="B1320" s="13" t="s">
        <v>2566</v>
      </c>
      <c r="C1320" s="14">
        <v>44907</v>
      </c>
      <c r="D1320" s="13">
        <v>2022</v>
      </c>
      <c r="E1320" s="13" t="s">
        <v>3347</v>
      </c>
      <c r="F1320" s="13" t="s">
        <v>11</v>
      </c>
      <c r="G1320" s="15">
        <v>1122.06</v>
      </c>
      <c r="H1320" s="15">
        <v>1122.06</v>
      </c>
      <c r="I1320" s="13">
        <v>8</v>
      </c>
      <c r="J1320" s="13">
        <v>8</v>
      </c>
      <c r="K1320" s="13" t="s">
        <v>3348</v>
      </c>
      <c r="L1320" s="15">
        <v>140.25749999999999</v>
      </c>
      <c r="M1320" s="16">
        <v>140.25749999999999</v>
      </c>
    </row>
    <row r="1321" spans="1:13" s="5" customFormat="1" x14ac:dyDescent="0.25">
      <c r="A1321" s="12" t="s">
        <v>2567</v>
      </c>
      <c r="B1321" s="13" t="s">
        <v>2568</v>
      </c>
      <c r="C1321" s="14">
        <v>45870</v>
      </c>
      <c r="D1321" s="13">
        <v>2025</v>
      </c>
      <c r="E1321" s="13" t="s">
        <v>21</v>
      </c>
      <c r="F1321" s="13" t="s">
        <v>25</v>
      </c>
      <c r="G1321" s="15">
        <v>986.42</v>
      </c>
      <c r="H1321" s="15">
        <v>986.42</v>
      </c>
      <c r="I1321" s="13">
        <v>1</v>
      </c>
      <c r="J1321" s="13">
        <v>1</v>
      </c>
      <c r="K1321" s="13" t="s">
        <v>18</v>
      </c>
      <c r="L1321" s="15">
        <v>986.42</v>
      </c>
      <c r="M1321" s="16">
        <v>986.42</v>
      </c>
    </row>
    <row r="1322" spans="1:13" s="5" customFormat="1" x14ac:dyDescent="0.25">
      <c r="A1322" s="12" t="s">
        <v>2569</v>
      </c>
      <c r="B1322" s="13" t="s">
        <v>2570</v>
      </c>
      <c r="C1322" s="14">
        <v>45506</v>
      </c>
      <c r="D1322" s="13">
        <v>2024</v>
      </c>
      <c r="E1322" s="13" t="s">
        <v>14</v>
      </c>
      <c r="F1322" s="13" t="s">
        <v>11</v>
      </c>
      <c r="G1322" s="15">
        <v>630.08000000000004</v>
      </c>
      <c r="H1322" s="15">
        <v>630.08000000000004</v>
      </c>
      <c r="I1322" s="13">
        <v>2</v>
      </c>
      <c r="J1322" s="13">
        <v>2</v>
      </c>
      <c r="K1322" s="13" t="s">
        <v>35</v>
      </c>
      <c r="L1322" s="15">
        <v>315.04000000000002</v>
      </c>
      <c r="M1322" s="16">
        <v>333.42691666666667</v>
      </c>
    </row>
    <row r="1323" spans="1:13" s="5" customFormat="1" x14ac:dyDescent="0.25">
      <c r="A1323" s="12" t="s">
        <v>2571</v>
      </c>
      <c r="B1323" s="13" t="s">
        <v>2572</v>
      </c>
      <c r="C1323" s="14">
        <v>45713</v>
      </c>
      <c r="D1323" s="13">
        <v>2025</v>
      </c>
      <c r="E1323" s="13" t="s">
        <v>14</v>
      </c>
      <c r="F1323" s="13" t="s">
        <v>25</v>
      </c>
      <c r="G1323" s="15">
        <v>915.46</v>
      </c>
      <c r="H1323" s="15">
        <v>915.46</v>
      </c>
      <c r="I1323" s="13">
        <v>5</v>
      </c>
      <c r="J1323" s="13">
        <v>5</v>
      </c>
      <c r="K1323" s="13" t="s">
        <v>15</v>
      </c>
      <c r="L1323" s="15">
        <v>183.09200000000001</v>
      </c>
      <c r="M1323" s="16">
        <v>183.09200000000001</v>
      </c>
    </row>
    <row r="1324" spans="1:13" s="5" customFormat="1" x14ac:dyDescent="0.25">
      <c r="A1324" s="12" t="s">
        <v>2573</v>
      </c>
      <c r="B1324" s="13" t="s">
        <v>2574</v>
      </c>
      <c r="C1324" s="14">
        <v>45503</v>
      </c>
      <c r="D1324" s="13">
        <v>2024</v>
      </c>
      <c r="E1324" s="13" t="s">
        <v>3347</v>
      </c>
      <c r="F1324" s="13" t="s">
        <v>22</v>
      </c>
      <c r="G1324" s="15">
        <v>314.77999999999997</v>
      </c>
      <c r="H1324" s="15">
        <v>314.77999999999997</v>
      </c>
      <c r="I1324" s="13">
        <v>8</v>
      </c>
      <c r="J1324" s="13">
        <v>8</v>
      </c>
      <c r="K1324" s="13" t="s">
        <v>3346</v>
      </c>
      <c r="L1324" s="15">
        <v>39.347499999999997</v>
      </c>
      <c r="M1324" s="16">
        <v>39.347499999999997</v>
      </c>
    </row>
    <row r="1325" spans="1:13" s="5" customFormat="1" x14ac:dyDescent="0.25">
      <c r="A1325" s="12" t="s">
        <v>2575</v>
      </c>
      <c r="B1325" s="13" t="s">
        <v>2576</v>
      </c>
      <c r="C1325" s="14">
        <v>45037</v>
      </c>
      <c r="D1325" s="13">
        <v>2023</v>
      </c>
      <c r="E1325" s="13" t="s">
        <v>3347</v>
      </c>
      <c r="F1325" s="13" t="s">
        <v>25</v>
      </c>
      <c r="G1325" s="15">
        <v>415.39</v>
      </c>
      <c r="H1325" s="15">
        <v>415.39</v>
      </c>
      <c r="I1325" s="13">
        <v>9</v>
      </c>
      <c r="J1325" s="13">
        <v>9</v>
      </c>
      <c r="K1325" s="13" t="s">
        <v>35</v>
      </c>
      <c r="L1325" s="15">
        <v>46.154444444444444</v>
      </c>
      <c r="M1325" s="16">
        <v>46.154444444444444</v>
      </c>
    </row>
    <row r="1326" spans="1:13" s="5" customFormat="1" x14ac:dyDescent="0.25">
      <c r="A1326" s="12" t="s">
        <v>2577</v>
      </c>
      <c r="B1326" s="13" t="s">
        <v>1276</v>
      </c>
      <c r="C1326" s="14">
        <v>45859</v>
      </c>
      <c r="D1326" s="13">
        <v>2025</v>
      </c>
      <c r="E1326" s="13" t="s">
        <v>10</v>
      </c>
      <c r="F1326" s="13" t="s">
        <v>22</v>
      </c>
      <c r="G1326" s="15">
        <v>115.92</v>
      </c>
      <c r="H1326" s="15">
        <v>115.92</v>
      </c>
      <c r="I1326" s="13">
        <v>4</v>
      </c>
      <c r="J1326" s="13">
        <v>4</v>
      </c>
      <c r="K1326" s="13" t="s">
        <v>35</v>
      </c>
      <c r="L1326" s="15">
        <v>28.98</v>
      </c>
      <c r="M1326" s="16">
        <v>28.98</v>
      </c>
    </row>
    <row r="1327" spans="1:13" s="5" customFormat="1" x14ac:dyDescent="0.25">
      <c r="A1327" s="12" t="s">
        <v>2578</v>
      </c>
      <c r="B1327" s="13" t="s">
        <v>2360</v>
      </c>
      <c r="C1327" s="14">
        <v>45337</v>
      </c>
      <c r="D1327" s="13">
        <v>2024</v>
      </c>
      <c r="E1327" s="13" t="s">
        <v>3347</v>
      </c>
      <c r="F1327" s="13" t="s">
        <v>34</v>
      </c>
      <c r="G1327" s="15">
        <v>1688.06</v>
      </c>
      <c r="H1327" s="15">
        <v>1688.06</v>
      </c>
      <c r="I1327" s="13">
        <v>5</v>
      </c>
      <c r="J1327" s="13">
        <v>5</v>
      </c>
      <c r="K1327" s="13" t="s">
        <v>3346</v>
      </c>
      <c r="L1327" s="15">
        <v>337.61199999999997</v>
      </c>
      <c r="M1327" s="16">
        <v>345.64232738095234</v>
      </c>
    </row>
    <row r="1328" spans="1:13" s="5" customFormat="1" x14ac:dyDescent="0.25">
      <c r="A1328" s="12" t="s">
        <v>2579</v>
      </c>
      <c r="B1328" s="13" t="s">
        <v>2580</v>
      </c>
      <c r="C1328" s="14">
        <v>45765</v>
      </c>
      <c r="D1328" s="13">
        <v>2025</v>
      </c>
      <c r="E1328" s="13" t="s">
        <v>21</v>
      </c>
      <c r="F1328" s="13" t="s">
        <v>34</v>
      </c>
      <c r="G1328" s="15">
        <v>1300.6099999999999</v>
      </c>
      <c r="H1328" s="15">
        <v>1300.6099999999999</v>
      </c>
      <c r="I1328" s="13">
        <v>3</v>
      </c>
      <c r="J1328" s="13">
        <v>3</v>
      </c>
      <c r="K1328" s="13" t="s">
        <v>3348</v>
      </c>
      <c r="L1328" s="15">
        <v>433.53666666666663</v>
      </c>
      <c r="M1328" s="16">
        <v>433.53666666666663</v>
      </c>
    </row>
    <row r="1329" spans="1:13" s="5" customFormat="1" x14ac:dyDescent="0.25">
      <c r="A1329" s="12" t="s">
        <v>2581</v>
      </c>
      <c r="B1329" s="13" t="s">
        <v>2582</v>
      </c>
      <c r="C1329" s="14">
        <v>45124</v>
      </c>
      <c r="D1329" s="13">
        <v>2023</v>
      </c>
      <c r="E1329" s="13" t="s">
        <v>10</v>
      </c>
      <c r="F1329" s="13" t="s">
        <v>25</v>
      </c>
      <c r="G1329" s="15">
        <v>1358.32</v>
      </c>
      <c r="H1329" s="15">
        <v>1358.32</v>
      </c>
      <c r="I1329" s="13">
        <v>8</v>
      </c>
      <c r="J1329" s="13">
        <v>8</v>
      </c>
      <c r="K1329" s="13" t="s">
        <v>18</v>
      </c>
      <c r="L1329" s="15">
        <v>169.79</v>
      </c>
      <c r="M1329" s="16">
        <v>169.79</v>
      </c>
    </row>
    <row r="1330" spans="1:13" s="5" customFormat="1" x14ac:dyDescent="0.25">
      <c r="A1330" s="12" t="s">
        <v>2583</v>
      </c>
      <c r="B1330" s="13" t="s">
        <v>1701</v>
      </c>
      <c r="C1330" s="14">
        <v>45060</v>
      </c>
      <c r="D1330" s="13">
        <v>2023</v>
      </c>
      <c r="E1330" s="13" t="s">
        <v>14</v>
      </c>
      <c r="F1330" s="13" t="s">
        <v>34</v>
      </c>
      <c r="G1330" s="15">
        <v>1370.01</v>
      </c>
      <c r="H1330" s="15">
        <v>1370.01</v>
      </c>
      <c r="I1330" s="13">
        <v>8</v>
      </c>
      <c r="J1330" s="13">
        <v>8</v>
      </c>
      <c r="K1330" s="13" t="s">
        <v>18</v>
      </c>
      <c r="L1330" s="15">
        <v>171.25125</v>
      </c>
      <c r="M1330" s="16">
        <v>171.25125</v>
      </c>
    </row>
    <row r="1331" spans="1:13" s="5" customFormat="1" x14ac:dyDescent="0.25">
      <c r="A1331" s="12" t="s">
        <v>2584</v>
      </c>
      <c r="B1331" s="13" t="s">
        <v>2585</v>
      </c>
      <c r="C1331" s="14">
        <v>45210</v>
      </c>
      <c r="D1331" s="13">
        <v>2023</v>
      </c>
      <c r="E1331" s="13" t="s">
        <v>21</v>
      </c>
      <c r="F1331" s="13" t="s">
        <v>22</v>
      </c>
      <c r="G1331" s="15">
        <v>14.67</v>
      </c>
      <c r="H1331" s="15">
        <v>14.67</v>
      </c>
      <c r="I1331" s="13">
        <v>8</v>
      </c>
      <c r="J1331" s="13">
        <v>8</v>
      </c>
      <c r="K1331" s="13" t="s">
        <v>35</v>
      </c>
      <c r="L1331" s="15">
        <v>1.83375</v>
      </c>
      <c r="M1331" s="16">
        <v>1.83375</v>
      </c>
    </row>
    <row r="1332" spans="1:13" s="5" customFormat="1" x14ac:dyDescent="0.25">
      <c r="A1332" s="12" t="s">
        <v>2586</v>
      </c>
      <c r="B1332" s="13" t="s">
        <v>2048</v>
      </c>
      <c r="C1332" s="14">
        <v>45235</v>
      </c>
      <c r="D1332" s="13">
        <v>2023</v>
      </c>
      <c r="E1332" s="13" t="s">
        <v>10</v>
      </c>
      <c r="F1332" s="13" t="s">
        <v>25</v>
      </c>
      <c r="G1332" s="15">
        <v>679.46</v>
      </c>
      <c r="H1332" s="15">
        <v>679.46</v>
      </c>
      <c r="I1332" s="13">
        <v>10</v>
      </c>
      <c r="J1332" s="13">
        <v>10</v>
      </c>
      <c r="K1332" s="13" t="s">
        <v>3348</v>
      </c>
      <c r="L1332" s="15">
        <v>67.945999999999998</v>
      </c>
      <c r="M1332" s="16">
        <v>67.945999999999998</v>
      </c>
    </row>
    <row r="1333" spans="1:13" s="5" customFormat="1" x14ac:dyDescent="0.25">
      <c r="A1333" s="12" t="s">
        <v>2587</v>
      </c>
      <c r="B1333" s="13" t="s">
        <v>2588</v>
      </c>
      <c r="C1333" s="14">
        <v>45021</v>
      </c>
      <c r="D1333" s="13">
        <v>2023</v>
      </c>
      <c r="E1333" s="13" t="s">
        <v>10</v>
      </c>
      <c r="F1333" s="13" t="s">
        <v>11</v>
      </c>
      <c r="G1333" s="15">
        <v>1845.6</v>
      </c>
      <c r="H1333" s="15">
        <v>1845.6</v>
      </c>
      <c r="I1333" s="13">
        <v>3</v>
      </c>
      <c r="J1333" s="13">
        <v>3</v>
      </c>
      <c r="K1333" s="13" t="s">
        <v>35</v>
      </c>
      <c r="L1333" s="15">
        <v>615.19999999999993</v>
      </c>
      <c r="M1333" s="16">
        <v>582.61855555555553</v>
      </c>
    </row>
    <row r="1334" spans="1:13" s="5" customFormat="1" x14ac:dyDescent="0.25">
      <c r="A1334" s="12" t="s">
        <v>2589</v>
      </c>
      <c r="B1334" s="13" t="s">
        <v>2590</v>
      </c>
      <c r="C1334" s="14">
        <v>45360</v>
      </c>
      <c r="D1334" s="13">
        <v>2024</v>
      </c>
      <c r="E1334" s="13" t="s">
        <v>21</v>
      </c>
      <c r="F1334" s="13" t="s">
        <v>34</v>
      </c>
      <c r="G1334" s="15">
        <v>1831.9</v>
      </c>
      <c r="H1334" s="15">
        <v>1831.9</v>
      </c>
      <c r="I1334" s="13">
        <v>10</v>
      </c>
      <c r="J1334" s="13">
        <v>10</v>
      </c>
      <c r="K1334" s="13" t="s">
        <v>3346</v>
      </c>
      <c r="L1334" s="15">
        <v>183.19</v>
      </c>
      <c r="M1334" s="16">
        <v>183.19</v>
      </c>
    </row>
    <row r="1335" spans="1:13" s="5" customFormat="1" x14ac:dyDescent="0.25">
      <c r="A1335" s="12" t="s">
        <v>2591</v>
      </c>
      <c r="B1335" s="13" t="s">
        <v>2592</v>
      </c>
      <c r="C1335" s="14">
        <v>45398</v>
      </c>
      <c r="D1335" s="13">
        <v>2024</v>
      </c>
      <c r="E1335" s="13" t="s">
        <v>10</v>
      </c>
      <c r="F1335" s="13" t="s">
        <v>34</v>
      </c>
      <c r="G1335" s="15">
        <v>1600.42</v>
      </c>
      <c r="H1335" s="15">
        <v>1600.42</v>
      </c>
      <c r="I1335" s="13">
        <v>9</v>
      </c>
      <c r="J1335" s="13">
        <v>9</v>
      </c>
      <c r="K1335" s="13" t="s">
        <v>35</v>
      </c>
      <c r="L1335" s="15">
        <v>177.82444444444445</v>
      </c>
      <c r="M1335" s="16">
        <v>177.82444444444445</v>
      </c>
    </row>
    <row r="1336" spans="1:13" s="5" customFormat="1" x14ac:dyDescent="0.25">
      <c r="A1336" s="12" t="s">
        <v>2593</v>
      </c>
      <c r="B1336" s="13" t="s">
        <v>1648</v>
      </c>
      <c r="C1336" s="14">
        <v>45801</v>
      </c>
      <c r="D1336" s="13">
        <v>2025</v>
      </c>
      <c r="E1336" s="13" t="s">
        <v>21</v>
      </c>
      <c r="F1336" s="13" t="s">
        <v>34</v>
      </c>
      <c r="G1336" s="15">
        <v>1220.31</v>
      </c>
      <c r="H1336" s="15">
        <v>1220.31</v>
      </c>
      <c r="I1336" s="13">
        <v>6</v>
      </c>
      <c r="J1336" s="13">
        <v>6</v>
      </c>
      <c r="K1336" s="13" t="s">
        <v>3348</v>
      </c>
      <c r="L1336" s="15">
        <v>203.38499999999999</v>
      </c>
      <c r="M1336" s="16">
        <v>203.38499999999999</v>
      </c>
    </row>
    <row r="1337" spans="1:13" s="5" customFormat="1" x14ac:dyDescent="0.25">
      <c r="A1337" s="12" t="s">
        <v>2594</v>
      </c>
      <c r="B1337" s="13" t="s">
        <v>2595</v>
      </c>
      <c r="C1337" s="14">
        <v>45707</v>
      </c>
      <c r="D1337" s="13">
        <v>2025</v>
      </c>
      <c r="E1337" s="13" t="s">
        <v>3347</v>
      </c>
      <c r="F1337" s="13" t="s">
        <v>34</v>
      </c>
      <c r="G1337" s="15">
        <v>554.80999999999995</v>
      </c>
      <c r="H1337" s="15">
        <v>554.80999999999995</v>
      </c>
      <c r="I1337" s="13">
        <v>10</v>
      </c>
      <c r="J1337" s="13">
        <v>10</v>
      </c>
      <c r="K1337" s="13" t="s">
        <v>15</v>
      </c>
      <c r="L1337" s="15">
        <v>55.480999999999995</v>
      </c>
      <c r="M1337" s="16">
        <v>55.480999999999995</v>
      </c>
    </row>
    <row r="1338" spans="1:13" s="5" customFormat="1" x14ac:dyDescent="0.25">
      <c r="A1338" s="12" t="s">
        <v>2596</v>
      </c>
      <c r="B1338" s="13" t="s">
        <v>2597</v>
      </c>
      <c r="C1338" s="14">
        <v>45705</v>
      </c>
      <c r="D1338" s="13">
        <v>2025</v>
      </c>
      <c r="E1338" s="13" t="s">
        <v>3347</v>
      </c>
      <c r="F1338" s="13" t="s">
        <v>25</v>
      </c>
      <c r="G1338" s="15">
        <v>794.62</v>
      </c>
      <c r="H1338" s="15">
        <v>794.62</v>
      </c>
      <c r="I1338" s="13">
        <v>10</v>
      </c>
      <c r="J1338" s="13">
        <v>10</v>
      </c>
      <c r="K1338" s="13" t="s">
        <v>18</v>
      </c>
      <c r="L1338" s="15">
        <v>79.462000000000003</v>
      </c>
      <c r="M1338" s="16">
        <v>79.462000000000003</v>
      </c>
    </row>
    <row r="1339" spans="1:13" s="5" customFormat="1" x14ac:dyDescent="0.25">
      <c r="A1339" s="12" t="s">
        <v>2598</v>
      </c>
      <c r="B1339" s="13" t="s">
        <v>2599</v>
      </c>
      <c r="C1339" s="14">
        <v>45661</v>
      </c>
      <c r="D1339" s="13">
        <v>2025</v>
      </c>
      <c r="E1339" s="13" t="s">
        <v>10</v>
      </c>
      <c r="F1339" s="13" t="s">
        <v>11</v>
      </c>
      <c r="G1339" s="15">
        <v>995.94</v>
      </c>
      <c r="H1339" s="15">
        <v>995.94</v>
      </c>
      <c r="I1339" s="13">
        <v>7</v>
      </c>
      <c r="J1339" s="13">
        <v>7</v>
      </c>
      <c r="K1339" s="13" t="s">
        <v>18</v>
      </c>
      <c r="L1339" s="15">
        <v>142.27714285714288</v>
      </c>
      <c r="M1339" s="16">
        <v>142.27714285714288</v>
      </c>
    </row>
    <row r="1340" spans="1:13" s="5" customFormat="1" x14ac:dyDescent="0.25">
      <c r="A1340" s="12" t="s">
        <v>2600</v>
      </c>
      <c r="B1340" s="13" t="s">
        <v>2601</v>
      </c>
      <c r="C1340" s="14">
        <v>45948</v>
      </c>
      <c r="D1340" s="13">
        <v>2025</v>
      </c>
      <c r="E1340" s="13" t="s">
        <v>21</v>
      </c>
      <c r="F1340" s="13" t="s">
        <v>34</v>
      </c>
      <c r="G1340" s="15">
        <v>1777.9</v>
      </c>
      <c r="H1340" s="15">
        <v>1777.9</v>
      </c>
      <c r="I1340" s="13">
        <v>4</v>
      </c>
      <c r="J1340" s="13">
        <v>4</v>
      </c>
      <c r="K1340" s="13" t="s">
        <v>35</v>
      </c>
      <c r="L1340" s="15">
        <v>444.47500000000002</v>
      </c>
      <c r="M1340" s="16">
        <v>444.47500000000002</v>
      </c>
    </row>
    <row r="1341" spans="1:13" s="5" customFormat="1" x14ac:dyDescent="0.25">
      <c r="A1341" s="12" t="s">
        <v>2602</v>
      </c>
      <c r="B1341" s="13" t="s">
        <v>2603</v>
      </c>
      <c r="C1341" s="14">
        <v>44991</v>
      </c>
      <c r="D1341" s="13">
        <v>2023</v>
      </c>
      <c r="E1341" s="13" t="s">
        <v>3347</v>
      </c>
      <c r="F1341" s="13" t="s">
        <v>11</v>
      </c>
      <c r="G1341" s="15">
        <v>1856.04</v>
      </c>
      <c r="H1341" s="15">
        <v>1856.04</v>
      </c>
      <c r="I1341" s="13">
        <v>8</v>
      </c>
      <c r="J1341" s="13">
        <v>8</v>
      </c>
      <c r="K1341" s="13" t="s">
        <v>35</v>
      </c>
      <c r="L1341" s="15">
        <v>232.005</v>
      </c>
      <c r="M1341" s="16">
        <v>232.005</v>
      </c>
    </row>
    <row r="1342" spans="1:13" s="5" customFormat="1" x14ac:dyDescent="0.25">
      <c r="A1342" s="12" t="s">
        <v>2604</v>
      </c>
      <c r="B1342" s="13" t="s">
        <v>2605</v>
      </c>
      <c r="C1342" s="14">
        <v>45664</v>
      </c>
      <c r="D1342" s="13">
        <v>2025</v>
      </c>
      <c r="E1342" s="13" t="s">
        <v>21</v>
      </c>
      <c r="F1342" s="13" t="s">
        <v>22</v>
      </c>
      <c r="G1342" s="15">
        <v>738.36</v>
      </c>
      <c r="H1342" s="15">
        <v>738.36</v>
      </c>
      <c r="I1342" s="13">
        <v>5</v>
      </c>
      <c r="J1342" s="13">
        <v>5</v>
      </c>
      <c r="K1342" s="13" t="s">
        <v>35</v>
      </c>
      <c r="L1342" s="15">
        <v>147.672</v>
      </c>
      <c r="M1342" s="16">
        <v>147.672</v>
      </c>
    </row>
    <row r="1343" spans="1:13" s="5" customFormat="1" x14ac:dyDescent="0.25">
      <c r="A1343" s="12" t="s">
        <v>2606</v>
      </c>
      <c r="B1343" s="13" t="s">
        <v>2607</v>
      </c>
      <c r="C1343" s="14">
        <v>45559</v>
      </c>
      <c r="D1343" s="13">
        <v>2024</v>
      </c>
      <c r="E1343" s="13" t="s">
        <v>14</v>
      </c>
      <c r="F1343" s="13" t="s">
        <v>34</v>
      </c>
      <c r="G1343" s="15">
        <v>858.56</v>
      </c>
      <c r="H1343" s="15">
        <v>858.56</v>
      </c>
      <c r="I1343" s="13">
        <v>9</v>
      </c>
      <c r="J1343" s="13">
        <v>9</v>
      </c>
      <c r="K1343" s="13" t="s">
        <v>3348</v>
      </c>
      <c r="L1343" s="15">
        <v>95.395555555555546</v>
      </c>
      <c r="M1343" s="16">
        <v>95.395555555555546</v>
      </c>
    </row>
    <row r="1344" spans="1:13" s="5" customFormat="1" x14ac:dyDescent="0.25">
      <c r="A1344" s="12" t="s">
        <v>2608</v>
      </c>
      <c r="B1344" s="13" t="s">
        <v>2609</v>
      </c>
      <c r="C1344" s="14">
        <v>44875</v>
      </c>
      <c r="D1344" s="13">
        <v>2022</v>
      </c>
      <c r="E1344" s="13" t="s">
        <v>14</v>
      </c>
      <c r="F1344" s="13" t="s">
        <v>34</v>
      </c>
      <c r="G1344" s="15">
        <v>1849.39</v>
      </c>
      <c r="H1344" s="15">
        <v>1849.39</v>
      </c>
      <c r="I1344" s="13">
        <v>8</v>
      </c>
      <c r="J1344" s="13">
        <v>8</v>
      </c>
      <c r="K1344" s="13" t="s">
        <v>35</v>
      </c>
      <c r="L1344" s="15">
        <v>231.17375000000001</v>
      </c>
      <c r="M1344" s="16">
        <v>231.17375000000001</v>
      </c>
    </row>
    <row r="1345" spans="1:13" s="5" customFormat="1" x14ac:dyDescent="0.25">
      <c r="A1345" s="12" t="s">
        <v>2610</v>
      </c>
      <c r="B1345" s="13" t="s">
        <v>2611</v>
      </c>
      <c r="C1345" s="14">
        <v>44860</v>
      </c>
      <c r="D1345" s="13">
        <v>2022</v>
      </c>
      <c r="E1345" s="13" t="s">
        <v>21</v>
      </c>
      <c r="F1345" s="13" t="s">
        <v>34</v>
      </c>
      <c r="G1345" s="15">
        <v>166.02</v>
      </c>
      <c r="H1345" s="15">
        <v>166.02</v>
      </c>
      <c r="I1345" s="13">
        <v>1</v>
      </c>
      <c r="J1345" s="13">
        <v>1</v>
      </c>
      <c r="K1345" s="13" t="s">
        <v>35</v>
      </c>
      <c r="L1345" s="15">
        <v>166.02</v>
      </c>
      <c r="M1345" s="16">
        <v>166.02</v>
      </c>
    </row>
    <row r="1346" spans="1:13" s="5" customFormat="1" x14ac:dyDescent="0.25">
      <c r="A1346" s="12" t="s">
        <v>2612</v>
      </c>
      <c r="B1346" s="13" t="s">
        <v>391</v>
      </c>
      <c r="C1346" s="14">
        <v>45539</v>
      </c>
      <c r="D1346" s="13">
        <v>2024</v>
      </c>
      <c r="E1346" s="13" t="s">
        <v>3347</v>
      </c>
      <c r="F1346" s="13" t="s">
        <v>34</v>
      </c>
      <c r="G1346" s="15">
        <v>540.03</v>
      </c>
      <c r="H1346" s="15">
        <v>540.03</v>
      </c>
      <c r="I1346" s="13">
        <v>9</v>
      </c>
      <c r="J1346" s="13">
        <v>9</v>
      </c>
      <c r="K1346" s="13" t="s">
        <v>15</v>
      </c>
      <c r="L1346" s="15">
        <v>60.00333333333333</v>
      </c>
      <c r="M1346" s="16">
        <v>60.00333333333333</v>
      </c>
    </row>
    <row r="1347" spans="1:13" s="5" customFormat="1" x14ac:dyDescent="0.25">
      <c r="A1347" s="12" t="s">
        <v>2613</v>
      </c>
      <c r="B1347" s="13" t="s">
        <v>2614</v>
      </c>
      <c r="C1347" s="14">
        <v>45158</v>
      </c>
      <c r="D1347" s="13">
        <v>2023</v>
      </c>
      <c r="E1347" s="13" t="s">
        <v>14</v>
      </c>
      <c r="F1347" s="13" t="s">
        <v>34</v>
      </c>
      <c r="G1347" s="15">
        <v>1116.77</v>
      </c>
      <c r="H1347" s="15">
        <v>1116.77</v>
      </c>
      <c r="I1347" s="13">
        <v>2</v>
      </c>
      <c r="J1347" s="13">
        <v>2</v>
      </c>
      <c r="K1347" s="13" t="s">
        <v>3348</v>
      </c>
      <c r="L1347" s="15">
        <v>558.38499999999999</v>
      </c>
      <c r="M1347" s="16">
        <v>558.38499999999999</v>
      </c>
    </row>
    <row r="1348" spans="1:13" s="5" customFormat="1" x14ac:dyDescent="0.25">
      <c r="A1348" s="12" t="s">
        <v>2615</v>
      </c>
      <c r="B1348" s="13" t="s">
        <v>2616</v>
      </c>
      <c r="C1348" s="14">
        <v>45520</v>
      </c>
      <c r="D1348" s="13">
        <v>2024</v>
      </c>
      <c r="E1348" s="13" t="s">
        <v>10</v>
      </c>
      <c r="F1348" s="13" t="s">
        <v>11</v>
      </c>
      <c r="G1348" s="15">
        <v>1348.0838095238096</v>
      </c>
      <c r="H1348" s="15">
        <v>1348.0838095238096</v>
      </c>
      <c r="I1348" s="13">
        <v>10</v>
      </c>
      <c r="J1348" s="13">
        <v>10</v>
      </c>
      <c r="K1348" s="13" t="s">
        <v>18</v>
      </c>
      <c r="L1348" s="15">
        <v>134.80838095238096</v>
      </c>
      <c r="M1348" s="16">
        <v>134.80838095238096</v>
      </c>
    </row>
    <row r="1349" spans="1:13" s="5" customFormat="1" x14ac:dyDescent="0.25">
      <c r="A1349" s="12" t="s">
        <v>2617</v>
      </c>
      <c r="B1349" s="13" t="s">
        <v>2618</v>
      </c>
      <c r="C1349" s="14">
        <v>45088</v>
      </c>
      <c r="D1349" s="13">
        <v>2023</v>
      </c>
      <c r="E1349" s="13" t="s">
        <v>21</v>
      </c>
      <c r="F1349" s="13" t="s">
        <v>11</v>
      </c>
      <c r="G1349" s="15">
        <v>654.09</v>
      </c>
      <c r="H1349" s="15">
        <v>654.09</v>
      </c>
      <c r="I1349" s="13">
        <v>3</v>
      </c>
      <c r="J1349" s="13">
        <v>3</v>
      </c>
      <c r="K1349" s="13" t="s">
        <v>35</v>
      </c>
      <c r="L1349" s="15">
        <v>218.03</v>
      </c>
      <c r="M1349" s="16">
        <v>218.03</v>
      </c>
    </row>
    <row r="1350" spans="1:13" s="5" customFormat="1" x14ac:dyDescent="0.25">
      <c r="A1350" s="12" t="s">
        <v>2619</v>
      </c>
      <c r="B1350" s="13" t="s">
        <v>2620</v>
      </c>
      <c r="C1350" s="14">
        <v>45285</v>
      </c>
      <c r="D1350" s="13">
        <v>2023</v>
      </c>
      <c r="E1350" s="13" t="s">
        <v>3347</v>
      </c>
      <c r="F1350" s="13" t="s">
        <v>22</v>
      </c>
      <c r="G1350" s="15">
        <v>457.16</v>
      </c>
      <c r="H1350" s="15">
        <v>457.16</v>
      </c>
      <c r="I1350" s="13">
        <v>1</v>
      </c>
      <c r="J1350" s="13">
        <v>1</v>
      </c>
      <c r="K1350" s="13" t="s">
        <v>3346</v>
      </c>
      <c r="L1350" s="15">
        <v>457.16</v>
      </c>
      <c r="M1350" s="16">
        <v>457.16</v>
      </c>
    </row>
    <row r="1351" spans="1:13" s="5" customFormat="1" x14ac:dyDescent="0.25">
      <c r="A1351" s="12" t="s">
        <v>2621</v>
      </c>
      <c r="B1351" s="13" t="s">
        <v>2622</v>
      </c>
      <c r="C1351" s="14">
        <v>45657</v>
      </c>
      <c r="D1351" s="13">
        <v>2024</v>
      </c>
      <c r="E1351" s="13" t="s">
        <v>21</v>
      </c>
      <c r="F1351" s="13" t="s">
        <v>34</v>
      </c>
      <c r="G1351" s="15">
        <v>827.55</v>
      </c>
      <c r="H1351" s="15">
        <v>827.55</v>
      </c>
      <c r="I1351" s="13">
        <v>4</v>
      </c>
      <c r="J1351" s="13">
        <v>4</v>
      </c>
      <c r="K1351" s="13" t="s">
        <v>18</v>
      </c>
      <c r="L1351" s="15">
        <v>206.88749999999999</v>
      </c>
      <c r="M1351" s="16">
        <v>206.88749999999999</v>
      </c>
    </row>
    <row r="1352" spans="1:13" s="5" customFormat="1" x14ac:dyDescent="0.25">
      <c r="A1352" s="12" t="s">
        <v>2623</v>
      </c>
      <c r="B1352" s="13" t="s">
        <v>2624</v>
      </c>
      <c r="C1352" s="14">
        <v>45772</v>
      </c>
      <c r="D1352" s="13">
        <v>2025</v>
      </c>
      <c r="E1352" s="13" t="s">
        <v>3347</v>
      </c>
      <c r="F1352" s="13" t="s">
        <v>34</v>
      </c>
      <c r="G1352" s="15">
        <v>128.85</v>
      </c>
      <c r="H1352" s="15">
        <v>128.85</v>
      </c>
      <c r="I1352" s="13">
        <v>9</v>
      </c>
      <c r="J1352" s="13">
        <v>9</v>
      </c>
      <c r="K1352" s="13" t="s">
        <v>3348</v>
      </c>
      <c r="L1352" s="15">
        <v>14.316666666666666</v>
      </c>
      <c r="M1352" s="16">
        <v>14.316666666666666</v>
      </c>
    </row>
    <row r="1353" spans="1:13" s="5" customFormat="1" x14ac:dyDescent="0.25">
      <c r="A1353" s="12" t="s">
        <v>2625</v>
      </c>
      <c r="B1353" s="13" t="s">
        <v>1964</v>
      </c>
      <c r="C1353" s="14">
        <v>45300</v>
      </c>
      <c r="D1353" s="13">
        <v>2024</v>
      </c>
      <c r="E1353" s="13" t="s">
        <v>14</v>
      </c>
      <c r="F1353" s="13" t="s">
        <v>34</v>
      </c>
      <c r="G1353" s="15">
        <v>385.08</v>
      </c>
      <c r="H1353" s="15">
        <v>385.08</v>
      </c>
      <c r="I1353" s="13">
        <v>2</v>
      </c>
      <c r="J1353" s="13">
        <v>2</v>
      </c>
      <c r="K1353" s="13" t="s">
        <v>35</v>
      </c>
      <c r="L1353" s="15">
        <v>192.54</v>
      </c>
      <c r="M1353" s="16">
        <v>192.54</v>
      </c>
    </row>
    <row r="1354" spans="1:13" s="5" customFormat="1" x14ac:dyDescent="0.25">
      <c r="A1354" s="12" t="s">
        <v>2626</v>
      </c>
      <c r="B1354" s="13" t="s">
        <v>2627</v>
      </c>
      <c r="C1354" s="14">
        <v>45769</v>
      </c>
      <c r="D1354" s="13">
        <v>2025</v>
      </c>
      <c r="E1354" s="13" t="s">
        <v>21</v>
      </c>
      <c r="F1354" s="13" t="s">
        <v>22</v>
      </c>
      <c r="G1354" s="15">
        <v>1253.78</v>
      </c>
      <c r="H1354" s="15">
        <v>1253.78</v>
      </c>
      <c r="I1354" s="13">
        <v>10</v>
      </c>
      <c r="J1354" s="13">
        <v>10</v>
      </c>
      <c r="K1354" s="13" t="s">
        <v>35</v>
      </c>
      <c r="L1354" s="15">
        <v>125.378</v>
      </c>
      <c r="M1354" s="16">
        <v>125.378</v>
      </c>
    </row>
    <row r="1355" spans="1:13" s="5" customFormat="1" x14ac:dyDescent="0.25">
      <c r="A1355" s="12" t="s">
        <v>2628</v>
      </c>
      <c r="B1355" s="13" t="s">
        <v>2629</v>
      </c>
      <c r="C1355" s="14">
        <v>45521</v>
      </c>
      <c r="D1355" s="13">
        <v>2024</v>
      </c>
      <c r="E1355" s="13" t="s">
        <v>14</v>
      </c>
      <c r="F1355" s="13" t="s">
        <v>22</v>
      </c>
      <c r="G1355" s="15">
        <v>897.74</v>
      </c>
      <c r="H1355" s="15">
        <v>897.74</v>
      </c>
      <c r="I1355" s="13">
        <v>1</v>
      </c>
      <c r="J1355" s="13">
        <v>1</v>
      </c>
      <c r="K1355" s="13" t="s">
        <v>35</v>
      </c>
      <c r="L1355" s="15">
        <v>897.74</v>
      </c>
      <c r="M1355" s="16">
        <v>897.74</v>
      </c>
    </row>
    <row r="1356" spans="1:13" s="5" customFormat="1" x14ac:dyDescent="0.25">
      <c r="A1356" s="12" t="s">
        <v>2630</v>
      </c>
      <c r="B1356" s="13" t="s">
        <v>2631</v>
      </c>
      <c r="C1356" s="14">
        <v>45333</v>
      </c>
      <c r="D1356" s="13">
        <v>2024</v>
      </c>
      <c r="E1356" s="13" t="s">
        <v>14</v>
      </c>
      <c r="F1356" s="13" t="s">
        <v>34</v>
      </c>
      <c r="G1356" s="15">
        <v>634.12</v>
      </c>
      <c r="H1356" s="15">
        <v>634.12</v>
      </c>
      <c r="I1356" s="13">
        <v>5</v>
      </c>
      <c r="J1356" s="13">
        <v>5</v>
      </c>
      <c r="K1356" s="13" t="s">
        <v>15</v>
      </c>
      <c r="L1356" s="15">
        <v>126.824</v>
      </c>
      <c r="M1356" s="16">
        <v>126.824</v>
      </c>
    </row>
    <row r="1357" spans="1:13" s="5" customFormat="1" x14ac:dyDescent="0.25">
      <c r="A1357" s="12" t="s">
        <v>2632</v>
      </c>
      <c r="B1357" s="13" t="s">
        <v>2633</v>
      </c>
      <c r="C1357" s="14">
        <v>45633</v>
      </c>
      <c r="D1357" s="13">
        <v>2024</v>
      </c>
      <c r="E1357" s="13" t="s">
        <v>21</v>
      </c>
      <c r="F1357" s="13" t="s">
        <v>11</v>
      </c>
      <c r="G1357" s="15">
        <v>790.04444444444437</v>
      </c>
      <c r="H1357" s="15">
        <v>790.04444444444437</v>
      </c>
      <c r="I1357" s="13">
        <v>4</v>
      </c>
      <c r="J1357" s="13">
        <v>4</v>
      </c>
      <c r="K1357" s="13" t="s">
        <v>3348</v>
      </c>
      <c r="L1357" s="15">
        <v>197.51111111111109</v>
      </c>
      <c r="M1357" s="16">
        <v>197.51111111111109</v>
      </c>
    </row>
    <row r="1358" spans="1:13" s="5" customFormat="1" x14ac:dyDescent="0.25">
      <c r="A1358" s="12" t="s">
        <v>2634</v>
      </c>
      <c r="B1358" s="13" t="s">
        <v>2635</v>
      </c>
      <c r="C1358" s="14">
        <v>45905</v>
      </c>
      <c r="D1358" s="13">
        <v>2025</v>
      </c>
      <c r="E1358" s="13" t="s">
        <v>14</v>
      </c>
      <c r="F1358" s="13" t="s">
        <v>11</v>
      </c>
      <c r="G1358" s="15">
        <v>511.6</v>
      </c>
      <c r="H1358" s="15">
        <v>511.6</v>
      </c>
      <c r="I1358" s="13">
        <v>6</v>
      </c>
      <c r="J1358" s="13">
        <v>6</v>
      </c>
      <c r="K1358" s="13" t="s">
        <v>3348</v>
      </c>
      <c r="L1358" s="15">
        <v>85.266666666666666</v>
      </c>
      <c r="M1358" s="16">
        <v>85.266666666666666</v>
      </c>
    </row>
    <row r="1359" spans="1:13" s="5" customFormat="1" x14ac:dyDescent="0.25">
      <c r="A1359" s="12" t="s">
        <v>2636</v>
      </c>
      <c r="B1359" s="13" t="s">
        <v>655</v>
      </c>
      <c r="C1359" s="14">
        <v>45950</v>
      </c>
      <c r="D1359" s="13">
        <v>2025</v>
      </c>
      <c r="E1359" s="13" t="s">
        <v>10</v>
      </c>
      <c r="F1359" s="13" t="s">
        <v>22</v>
      </c>
      <c r="G1359" s="15">
        <v>179.81813095238098</v>
      </c>
      <c r="H1359" s="15">
        <v>179.81813095238098</v>
      </c>
      <c r="I1359" s="13">
        <v>1</v>
      </c>
      <c r="J1359" s="13">
        <v>1</v>
      </c>
      <c r="K1359" s="13" t="s">
        <v>35</v>
      </c>
      <c r="L1359" s="15">
        <v>179.81813095238098</v>
      </c>
      <c r="M1359" s="16">
        <v>179.81813095238098</v>
      </c>
    </row>
    <row r="1360" spans="1:13" s="5" customFormat="1" x14ac:dyDescent="0.25">
      <c r="A1360" s="12" t="s">
        <v>2637</v>
      </c>
      <c r="B1360" s="13" t="s">
        <v>2638</v>
      </c>
      <c r="C1360" s="14">
        <v>45815</v>
      </c>
      <c r="D1360" s="13">
        <v>2025</v>
      </c>
      <c r="E1360" s="13" t="s">
        <v>14</v>
      </c>
      <c r="F1360" s="13" t="s">
        <v>22</v>
      </c>
      <c r="G1360" s="15">
        <v>282.67</v>
      </c>
      <c r="H1360" s="15">
        <v>282.67</v>
      </c>
      <c r="I1360" s="13">
        <v>4</v>
      </c>
      <c r="J1360" s="13">
        <v>4</v>
      </c>
      <c r="K1360" s="13" t="s">
        <v>15</v>
      </c>
      <c r="L1360" s="15">
        <v>70.667500000000004</v>
      </c>
      <c r="M1360" s="16">
        <v>70.667500000000004</v>
      </c>
    </row>
    <row r="1361" spans="1:13" s="5" customFormat="1" x14ac:dyDescent="0.25">
      <c r="A1361" s="12" t="s">
        <v>2639</v>
      </c>
      <c r="B1361" s="13" t="s">
        <v>2640</v>
      </c>
      <c r="C1361" s="14">
        <v>45944</v>
      </c>
      <c r="D1361" s="13">
        <v>2025</v>
      </c>
      <c r="E1361" s="13" t="s">
        <v>14</v>
      </c>
      <c r="F1361" s="13" t="s">
        <v>22</v>
      </c>
      <c r="G1361" s="15">
        <v>1634</v>
      </c>
      <c r="H1361" s="15">
        <v>1634</v>
      </c>
      <c r="I1361" s="13">
        <v>10</v>
      </c>
      <c r="J1361" s="13">
        <v>10</v>
      </c>
      <c r="K1361" s="13" t="s">
        <v>15</v>
      </c>
      <c r="L1361" s="15">
        <v>163.4</v>
      </c>
      <c r="M1361" s="16">
        <v>163.4</v>
      </c>
    </row>
    <row r="1362" spans="1:13" s="5" customFormat="1" x14ac:dyDescent="0.25">
      <c r="A1362" s="12" t="s">
        <v>2641</v>
      </c>
      <c r="B1362" s="13" t="s">
        <v>2642</v>
      </c>
      <c r="C1362" s="14">
        <v>44894</v>
      </c>
      <c r="D1362" s="13">
        <v>2022</v>
      </c>
      <c r="E1362" s="13" t="s">
        <v>14</v>
      </c>
      <c r="F1362" s="13" t="s">
        <v>22</v>
      </c>
      <c r="G1362" s="15">
        <v>1487.37</v>
      </c>
      <c r="H1362" s="15">
        <v>1487.37</v>
      </c>
      <c r="I1362" s="13">
        <v>9</v>
      </c>
      <c r="J1362" s="13">
        <v>9</v>
      </c>
      <c r="K1362" s="13" t="s">
        <v>3348</v>
      </c>
      <c r="L1362" s="15">
        <v>165.26333333333332</v>
      </c>
      <c r="M1362" s="16">
        <v>165.26333333333332</v>
      </c>
    </row>
    <row r="1363" spans="1:13" s="5" customFormat="1" x14ac:dyDescent="0.25">
      <c r="A1363" s="12" t="s">
        <v>2643</v>
      </c>
      <c r="B1363" s="13" t="s">
        <v>2644</v>
      </c>
      <c r="C1363" s="14">
        <v>45693</v>
      </c>
      <c r="D1363" s="13">
        <v>2025</v>
      </c>
      <c r="E1363" s="13" t="s">
        <v>10</v>
      </c>
      <c r="F1363" s="13" t="s">
        <v>11</v>
      </c>
      <c r="G1363" s="15">
        <v>1308.99</v>
      </c>
      <c r="H1363" s="15">
        <v>1308.99</v>
      </c>
      <c r="I1363" s="13">
        <v>8</v>
      </c>
      <c r="J1363" s="13">
        <v>8</v>
      </c>
      <c r="K1363" s="13" t="s">
        <v>18</v>
      </c>
      <c r="L1363" s="15">
        <v>163.62375</v>
      </c>
      <c r="M1363" s="16">
        <v>163.62375</v>
      </c>
    </row>
    <row r="1364" spans="1:13" s="5" customFormat="1" x14ac:dyDescent="0.25">
      <c r="A1364" s="12" t="s">
        <v>2645</v>
      </c>
      <c r="B1364" s="13" t="s">
        <v>2646</v>
      </c>
      <c r="C1364" s="14">
        <v>44875</v>
      </c>
      <c r="D1364" s="13">
        <v>2022</v>
      </c>
      <c r="E1364" s="13" t="s">
        <v>10</v>
      </c>
      <c r="F1364" s="13" t="s">
        <v>34</v>
      </c>
      <c r="G1364" s="15">
        <v>134.6</v>
      </c>
      <c r="H1364" s="15">
        <v>134.6</v>
      </c>
      <c r="I1364" s="13">
        <v>5</v>
      </c>
      <c r="J1364" s="13">
        <v>5</v>
      </c>
      <c r="K1364" s="13" t="s">
        <v>35</v>
      </c>
      <c r="L1364" s="15">
        <v>26.919999999999998</v>
      </c>
      <c r="M1364" s="16">
        <v>26.919999999999998</v>
      </c>
    </row>
    <row r="1365" spans="1:13" s="5" customFormat="1" x14ac:dyDescent="0.25">
      <c r="A1365" s="12" t="s">
        <v>2647</v>
      </c>
      <c r="B1365" s="13" t="s">
        <v>2648</v>
      </c>
      <c r="C1365" s="14">
        <v>44862</v>
      </c>
      <c r="D1365" s="13">
        <v>2022</v>
      </c>
      <c r="E1365" s="13" t="s">
        <v>10</v>
      </c>
      <c r="F1365" s="13" t="s">
        <v>25</v>
      </c>
      <c r="G1365" s="15">
        <v>1076.67</v>
      </c>
      <c r="H1365" s="15">
        <v>1076.67</v>
      </c>
      <c r="I1365" s="13">
        <v>9</v>
      </c>
      <c r="J1365" s="13">
        <v>9</v>
      </c>
      <c r="K1365" s="13" t="s">
        <v>3346</v>
      </c>
      <c r="L1365" s="15">
        <v>119.63000000000001</v>
      </c>
      <c r="M1365" s="16">
        <v>119.63000000000001</v>
      </c>
    </row>
    <row r="1366" spans="1:13" s="5" customFormat="1" x14ac:dyDescent="0.25">
      <c r="A1366" s="12" t="s">
        <v>2649</v>
      </c>
      <c r="B1366" s="13" t="s">
        <v>2650</v>
      </c>
      <c r="C1366" s="14">
        <v>45499</v>
      </c>
      <c r="D1366" s="13">
        <v>2024</v>
      </c>
      <c r="E1366" s="13" t="s">
        <v>14</v>
      </c>
      <c r="F1366" s="13" t="s">
        <v>25</v>
      </c>
      <c r="G1366" s="15">
        <v>1255</v>
      </c>
      <c r="H1366" s="15">
        <v>1255</v>
      </c>
      <c r="I1366" s="13">
        <v>3</v>
      </c>
      <c r="J1366" s="13">
        <v>3</v>
      </c>
      <c r="K1366" s="13" t="s">
        <v>15</v>
      </c>
      <c r="L1366" s="15">
        <v>418.33333333333331</v>
      </c>
      <c r="M1366" s="16">
        <v>418.33333333333331</v>
      </c>
    </row>
    <row r="1367" spans="1:13" s="5" customFormat="1" x14ac:dyDescent="0.25">
      <c r="A1367" s="12" t="s">
        <v>2651</v>
      </c>
      <c r="B1367" s="13" t="s">
        <v>2652</v>
      </c>
      <c r="C1367" s="14">
        <v>45494</v>
      </c>
      <c r="D1367" s="13">
        <v>2024</v>
      </c>
      <c r="E1367" s="13" t="s">
        <v>3347</v>
      </c>
      <c r="F1367" s="13" t="s">
        <v>22</v>
      </c>
      <c r="G1367" s="15">
        <v>845.36</v>
      </c>
      <c r="H1367" s="15">
        <v>845.36</v>
      </c>
      <c r="I1367" s="13">
        <v>4</v>
      </c>
      <c r="J1367" s="13">
        <v>4</v>
      </c>
      <c r="K1367" s="13" t="s">
        <v>3348</v>
      </c>
      <c r="L1367" s="15">
        <v>211.34</v>
      </c>
      <c r="M1367" s="16">
        <v>211.34</v>
      </c>
    </row>
    <row r="1368" spans="1:13" s="5" customFormat="1" x14ac:dyDescent="0.25">
      <c r="A1368" s="12" t="s">
        <v>2653</v>
      </c>
      <c r="B1368" s="13" t="s">
        <v>2654</v>
      </c>
      <c r="C1368" s="14">
        <v>45086</v>
      </c>
      <c r="D1368" s="13">
        <v>2023</v>
      </c>
      <c r="E1368" s="13" t="s">
        <v>14</v>
      </c>
      <c r="F1368" s="13" t="s">
        <v>25</v>
      </c>
      <c r="G1368" s="15">
        <v>1082.53</v>
      </c>
      <c r="H1368" s="15">
        <v>1082.53</v>
      </c>
      <c r="I1368" s="13">
        <v>8</v>
      </c>
      <c r="J1368" s="13">
        <v>8</v>
      </c>
      <c r="K1368" s="13" t="s">
        <v>18</v>
      </c>
      <c r="L1368" s="15">
        <v>135.31625</v>
      </c>
      <c r="M1368" s="16">
        <v>135.31625</v>
      </c>
    </row>
    <row r="1369" spans="1:13" s="5" customFormat="1" x14ac:dyDescent="0.25">
      <c r="A1369" s="12" t="s">
        <v>2655</v>
      </c>
      <c r="B1369" s="13" t="s">
        <v>2656</v>
      </c>
      <c r="C1369" s="14">
        <v>45714</v>
      </c>
      <c r="D1369" s="13">
        <v>2025</v>
      </c>
      <c r="E1369" s="13" t="s">
        <v>21</v>
      </c>
      <c r="F1369" s="13" t="s">
        <v>34</v>
      </c>
      <c r="G1369" s="15">
        <v>1358.64</v>
      </c>
      <c r="H1369" s="15">
        <v>1358.64</v>
      </c>
      <c r="I1369" s="13">
        <v>5</v>
      </c>
      <c r="J1369" s="13">
        <v>5</v>
      </c>
      <c r="K1369" s="13" t="s">
        <v>3346</v>
      </c>
      <c r="L1369" s="15">
        <v>271.72800000000001</v>
      </c>
      <c r="M1369" s="16">
        <v>271.72800000000001</v>
      </c>
    </row>
    <row r="1370" spans="1:13" s="5" customFormat="1" x14ac:dyDescent="0.25">
      <c r="A1370" s="12" t="s">
        <v>2657</v>
      </c>
      <c r="B1370" s="13" t="s">
        <v>2658</v>
      </c>
      <c r="C1370" s="14">
        <v>45266</v>
      </c>
      <c r="D1370" s="13">
        <v>2023</v>
      </c>
      <c r="E1370" s="13" t="s">
        <v>10</v>
      </c>
      <c r="F1370" s="13" t="s">
        <v>22</v>
      </c>
      <c r="G1370" s="15">
        <v>1972.26</v>
      </c>
      <c r="H1370" s="15">
        <v>1972.26</v>
      </c>
      <c r="I1370" s="13">
        <v>2</v>
      </c>
      <c r="J1370" s="13">
        <v>2</v>
      </c>
      <c r="K1370" s="13" t="s">
        <v>18</v>
      </c>
      <c r="L1370" s="15">
        <v>986.13</v>
      </c>
      <c r="M1370" s="16">
        <v>986.13</v>
      </c>
    </row>
    <row r="1371" spans="1:13" s="5" customFormat="1" x14ac:dyDescent="0.25">
      <c r="A1371" s="12" t="s">
        <v>2659</v>
      </c>
      <c r="B1371" s="13" t="s">
        <v>2660</v>
      </c>
      <c r="C1371" s="14">
        <v>45437</v>
      </c>
      <c r="D1371" s="13">
        <v>2024</v>
      </c>
      <c r="E1371" s="13" t="s">
        <v>21</v>
      </c>
      <c r="F1371" s="13" t="s">
        <v>22</v>
      </c>
      <c r="G1371" s="15">
        <v>1699.83</v>
      </c>
      <c r="H1371" s="15">
        <v>1699.83</v>
      </c>
      <c r="I1371" s="13">
        <v>8</v>
      </c>
      <c r="J1371" s="13">
        <v>8</v>
      </c>
      <c r="K1371" s="13" t="s">
        <v>3346</v>
      </c>
      <c r="L1371" s="15">
        <v>212.47874999999999</v>
      </c>
      <c r="M1371" s="16">
        <v>212.47874999999999</v>
      </c>
    </row>
    <row r="1372" spans="1:13" s="5" customFormat="1" x14ac:dyDescent="0.25">
      <c r="A1372" s="12" t="s">
        <v>2661</v>
      </c>
      <c r="B1372" s="13" t="s">
        <v>2662</v>
      </c>
      <c r="C1372" s="14">
        <v>45695</v>
      </c>
      <c r="D1372" s="13">
        <v>2025</v>
      </c>
      <c r="E1372" s="13" t="s">
        <v>14</v>
      </c>
      <c r="F1372" s="13" t="s">
        <v>25</v>
      </c>
      <c r="G1372" s="15">
        <v>1521.1</v>
      </c>
      <c r="H1372" s="15">
        <v>1521.1</v>
      </c>
      <c r="I1372" s="13">
        <v>4</v>
      </c>
      <c r="J1372" s="13">
        <v>4</v>
      </c>
      <c r="K1372" s="13" t="s">
        <v>15</v>
      </c>
      <c r="L1372" s="15">
        <v>380.27499999999998</v>
      </c>
      <c r="M1372" s="16">
        <v>380.27499999999998</v>
      </c>
    </row>
    <row r="1373" spans="1:13" s="5" customFormat="1" x14ac:dyDescent="0.25">
      <c r="A1373" s="12" t="s">
        <v>2663</v>
      </c>
      <c r="B1373" s="13" t="s">
        <v>2664</v>
      </c>
      <c r="C1373" s="14">
        <v>45864</v>
      </c>
      <c r="D1373" s="13">
        <v>2025</v>
      </c>
      <c r="E1373" s="13" t="s">
        <v>14</v>
      </c>
      <c r="F1373" s="13" t="s">
        <v>22</v>
      </c>
      <c r="G1373" s="15">
        <v>395.92644444444443</v>
      </c>
      <c r="H1373" s="15">
        <v>395.92644444444443</v>
      </c>
      <c r="I1373" s="13">
        <v>2</v>
      </c>
      <c r="J1373" s="13">
        <v>2</v>
      </c>
      <c r="K1373" s="13" t="s">
        <v>35</v>
      </c>
      <c r="L1373" s="15">
        <v>197.96322222222221</v>
      </c>
      <c r="M1373" s="16">
        <v>197.96322222222221</v>
      </c>
    </row>
    <row r="1374" spans="1:13" s="5" customFormat="1" x14ac:dyDescent="0.25">
      <c r="A1374" s="12" t="s">
        <v>2665</v>
      </c>
      <c r="B1374" s="13" t="s">
        <v>2666</v>
      </c>
      <c r="C1374" s="14">
        <v>44970</v>
      </c>
      <c r="D1374" s="13">
        <v>2023</v>
      </c>
      <c r="E1374" s="13" t="s">
        <v>10</v>
      </c>
      <c r="F1374" s="13" t="s">
        <v>25</v>
      </c>
      <c r="G1374" s="15">
        <v>1380.24</v>
      </c>
      <c r="H1374" s="15">
        <v>1380.24</v>
      </c>
      <c r="I1374" s="13">
        <v>3</v>
      </c>
      <c r="J1374" s="13">
        <v>3</v>
      </c>
      <c r="K1374" s="13" t="s">
        <v>15</v>
      </c>
      <c r="L1374" s="15">
        <v>460.08</v>
      </c>
      <c r="M1374" s="16">
        <v>460.08</v>
      </c>
    </row>
    <row r="1375" spans="1:13" s="5" customFormat="1" x14ac:dyDescent="0.25">
      <c r="A1375" s="12" t="s">
        <v>2667</v>
      </c>
      <c r="B1375" s="13" t="s">
        <v>2668</v>
      </c>
      <c r="C1375" s="14">
        <v>45485</v>
      </c>
      <c r="D1375" s="13">
        <v>2024</v>
      </c>
      <c r="E1375" s="13" t="s">
        <v>14</v>
      </c>
      <c r="F1375" s="13" t="s">
        <v>22</v>
      </c>
      <c r="G1375" s="15">
        <v>958.47</v>
      </c>
      <c r="H1375" s="15">
        <v>958.47</v>
      </c>
      <c r="I1375" s="13">
        <v>6</v>
      </c>
      <c r="J1375" s="13">
        <v>6</v>
      </c>
      <c r="K1375" s="13" t="s">
        <v>18</v>
      </c>
      <c r="L1375" s="15">
        <v>159.745</v>
      </c>
      <c r="M1375" s="16">
        <v>159.745</v>
      </c>
    </row>
    <row r="1376" spans="1:13" s="5" customFormat="1" x14ac:dyDescent="0.25">
      <c r="A1376" s="12" t="s">
        <v>2669</v>
      </c>
      <c r="B1376" s="13" t="s">
        <v>2670</v>
      </c>
      <c r="C1376" s="14">
        <v>45378</v>
      </c>
      <c r="D1376" s="13">
        <v>2024</v>
      </c>
      <c r="E1376" s="13" t="s">
        <v>10</v>
      </c>
      <c r="F1376" s="13" t="s">
        <v>25</v>
      </c>
      <c r="G1376" s="15">
        <v>844.67</v>
      </c>
      <c r="H1376" s="15">
        <v>844.67</v>
      </c>
      <c r="I1376" s="13">
        <v>6</v>
      </c>
      <c r="J1376" s="13">
        <v>6</v>
      </c>
      <c r="K1376" s="13" t="s">
        <v>15</v>
      </c>
      <c r="L1376" s="15">
        <v>140.77833333333334</v>
      </c>
      <c r="M1376" s="16">
        <v>140.77833333333334</v>
      </c>
    </row>
    <row r="1377" spans="1:13" s="5" customFormat="1" x14ac:dyDescent="0.25">
      <c r="A1377" s="12" t="s">
        <v>2671</v>
      </c>
      <c r="B1377" s="13" t="s">
        <v>2672</v>
      </c>
      <c r="C1377" s="14">
        <v>45136</v>
      </c>
      <c r="D1377" s="13">
        <v>2023</v>
      </c>
      <c r="E1377" s="13" t="s">
        <v>3347</v>
      </c>
      <c r="F1377" s="13" t="s">
        <v>34</v>
      </c>
      <c r="G1377" s="15">
        <v>1500.4104953703702</v>
      </c>
      <c r="H1377" s="15">
        <v>1500.4104953703702</v>
      </c>
      <c r="I1377" s="13">
        <v>7</v>
      </c>
      <c r="J1377" s="13">
        <v>7</v>
      </c>
      <c r="K1377" s="13" t="s">
        <v>18</v>
      </c>
      <c r="L1377" s="15">
        <v>214.34435648148147</v>
      </c>
      <c r="M1377" s="16">
        <v>214.34435648148147</v>
      </c>
    </row>
    <row r="1378" spans="1:13" s="5" customFormat="1" x14ac:dyDescent="0.25">
      <c r="A1378" s="12" t="s">
        <v>2673</v>
      </c>
      <c r="B1378" s="13" t="s">
        <v>2674</v>
      </c>
      <c r="C1378" s="14">
        <v>45348</v>
      </c>
      <c r="D1378" s="13">
        <v>2024</v>
      </c>
      <c r="E1378" s="13" t="s">
        <v>3347</v>
      </c>
      <c r="F1378" s="13" t="s">
        <v>22</v>
      </c>
      <c r="G1378" s="15">
        <v>1277.43</v>
      </c>
      <c r="H1378" s="15">
        <v>1277.43</v>
      </c>
      <c r="I1378" s="13">
        <v>5</v>
      </c>
      <c r="J1378" s="13">
        <v>5</v>
      </c>
      <c r="K1378" s="13" t="s">
        <v>3346</v>
      </c>
      <c r="L1378" s="15">
        <v>255.48600000000002</v>
      </c>
      <c r="M1378" s="16">
        <v>255.48600000000002</v>
      </c>
    </row>
    <row r="1379" spans="1:13" s="5" customFormat="1" x14ac:dyDescent="0.25">
      <c r="A1379" s="12" t="s">
        <v>2675</v>
      </c>
      <c r="B1379" s="13" t="s">
        <v>2676</v>
      </c>
      <c r="C1379" s="14">
        <v>45343</v>
      </c>
      <c r="D1379" s="13">
        <v>2024</v>
      </c>
      <c r="E1379" s="13" t="s">
        <v>14</v>
      </c>
      <c r="F1379" s="13" t="s">
        <v>34</v>
      </c>
      <c r="G1379" s="15">
        <v>756.07</v>
      </c>
      <c r="H1379" s="15">
        <v>756.07</v>
      </c>
      <c r="I1379" s="13">
        <v>7</v>
      </c>
      <c r="J1379" s="13">
        <v>7</v>
      </c>
      <c r="K1379" s="13" t="s">
        <v>35</v>
      </c>
      <c r="L1379" s="15">
        <v>108.01</v>
      </c>
      <c r="M1379" s="16">
        <v>108.01</v>
      </c>
    </row>
    <row r="1380" spans="1:13" s="5" customFormat="1" x14ac:dyDescent="0.25">
      <c r="A1380" s="12" t="s">
        <v>2677</v>
      </c>
      <c r="B1380" s="13" t="s">
        <v>401</v>
      </c>
      <c r="C1380" s="14">
        <v>45419</v>
      </c>
      <c r="D1380" s="13">
        <v>2024</v>
      </c>
      <c r="E1380" s="13" t="s">
        <v>3347</v>
      </c>
      <c r="F1380" s="13" t="s">
        <v>22</v>
      </c>
      <c r="G1380" s="15">
        <v>896.59</v>
      </c>
      <c r="H1380" s="15">
        <v>896.59</v>
      </c>
      <c r="I1380" s="13">
        <v>2</v>
      </c>
      <c r="J1380" s="13">
        <v>2</v>
      </c>
      <c r="K1380" s="13" t="s">
        <v>3346</v>
      </c>
      <c r="L1380" s="15">
        <v>448.29500000000002</v>
      </c>
      <c r="M1380" s="16">
        <v>448.29500000000002</v>
      </c>
    </row>
    <row r="1381" spans="1:13" s="5" customFormat="1" x14ac:dyDescent="0.25">
      <c r="A1381" s="12" t="s">
        <v>2678</v>
      </c>
      <c r="B1381" s="13" t="s">
        <v>2679</v>
      </c>
      <c r="C1381" s="14">
        <v>44937</v>
      </c>
      <c r="D1381" s="13">
        <v>2023</v>
      </c>
      <c r="E1381" s="13" t="s">
        <v>14</v>
      </c>
      <c r="F1381" s="13" t="s">
        <v>34</v>
      </c>
      <c r="G1381" s="15">
        <v>364.78</v>
      </c>
      <c r="H1381" s="15">
        <v>364.78</v>
      </c>
      <c r="I1381" s="13">
        <v>5</v>
      </c>
      <c r="J1381" s="13">
        <v>5</v>
      </c>
      <c r="K1381" s="13" t="s">
        <v>3346</v>
      </c>
      <c r="L1381" s="15">
        <v>72.955999999999989</v>
      </c>
      <c r="M1381" s="16">
        <v>72.955999999999989</v>
      </c>
    </row>
    <row r="1382" spans="1:13" s="5" customFormat="1" x14ac:dyDescent="0.25">
      <c r="A1382" s="12" t="s">
        <v>2680</v>
      </c>
      <c r="B1382" s="13" t="s">
        <v>2681</v>
      </c>
      <c r="C1382" s="14">
        <v>45049</v>
      </c>
      <c r="D1382" s="13">
        <v>2023</v>
      </c>
      <c r="E1382" s="13" t="s">
        <v>14</v>
      </c>
      <c r="F1382" s="13" t="s">
        <v>34</v>
      </c>
      <c r="G1382" s="15">
        <v>741.34</v>
      </c>
      <c r="H1382" s="15">
        <v>741.34</v>
      </c>
      <c r="I1382" s="13">
        <v>10</v>
      </c>
      <c r="J1382" s="13">
        <v>10</v>
      </c>
      <c r="K1382" s="13" t="s">
        <v>35</v>
      </c>
      <c r="L1382" s="15">
        <v>74.134</v>
      </c>
      <c r="M1382" s="16">
        <v>74.134</v>
      </c>
    </row>
    <row r="1383" spans="1:13" s="5" customFormat="1" x14ac:dyDescent="0.25">
      <c r="A1383" s="12" t="s">
        <v>2682</v>
      </c>
      <c r="B1383" s="13" t="s">
        <v>682</v>
      </c>
      <c r="C1383" s="14">
        <v>45426</v>
      </c>
      <c r="D1383" s="13">
        <v>2024</v>
      </c>
      <c r="E1383" s="13" t="s">
        <v>14</v>
      </c>
      <c r="F1383" s="13" t="s">
        <v>22</v>
      </c>
      <c r="G1383" s="15">
        <v>24.72</v>
      </c>
      <c r="H1383" s="15">
        <v>24.72</v>
      </c>
      <c r="I1383" s="13">
        <v>5</v>
      </c>
      <c r="J1383" s="13">
        <v>5</v>
      </c>
      <c r="K1383" s="13" t="s">
        <v>3346</v>
      </c>
      <c r="L1383" s="15">
        <v>4.944</v>
      </c>
      <c r="M1383" s="16">
        <v>4.944</v>
      </c>
    </row>
    <row r="1384" spans="1:13" s="5" customFormat="1" x14ac:dyDescent="0.25">
      <c r="A1384" s="12" t="s">
        <v>2683</v>
      </c>
      <c r="B1384" s="13" t="s">
        <v>2684</v>
      </c>
      <c r="C1384" s="14">
        <v>44886</v>
      </c>
      <c r="D1384" s="13">
        <v>2022</v>
      </c>
      <c r="E1384" s="13" t="s">
        <v>14</v>
      </c>
      <c r="F1384" s="13" t="s">
        <v>11</v>
      </c>
      <c r="G1384" s="15">
        <v>1742.27</v>
      </c>
      <c r="H1384" s="15">
        <v>1742.27</v>
      </c>
      <c r="I1384" s="13">
        <v>3</v>
      </c>
      <c r="J1384" s="13">
        <v>3</v>
      </c>
      <c r="K1384" s="13" t="s">
        <v>35</v>
      </c>
      <c r="L1384" s="15">
        <v>580.75666666666666</v>
      </c>
      <c r="M1384" s="16">
        <v>580.75666666666666</v>
      </c>
    </row>
    <row r="1385" spans="1:13" s="5" customFormat="1" x14ac:dyDescent="0.25">
      <c r="A1385" s="12" t="s">
        <v>2685</v>
      </c>
      <c r="B1385" s="13" t="s">
        <v>2686</v>
      </c>
      <c r="C1385" s="14">
        <v>45726</v>
      </c>
      <c r="D1385" s="13">
        <v>2025</v>
      </c>
      <c r="E1385" s="13" t="s">
        <v>14</v>
      </c>
      <c r="F1385" s="13" t="s">
        <v>25</v>
      </c>
      <c r="G1385" s="15">
        <v>1592.42</v>
      </c>
      <c r="H1385" s="15">
        <v>1592.42</v>
      </c>
      <c r="I1385" s="13">
        <v>5</v>
      </c>
      <c r="J1385" s="13">
        <v>5</v>
      </c>
      <c r="K1385" s="13" t="s">
        <v>3346</v>
      </c>
      <c r="L1385" s="15">
        <v>318.48400000000004</v>
      </c>
      <c r="M1385" s="16">
        <v>335.83906194444461</v>
      </c>
    </row>
    <row r="1386" spans="1:13" s="5" customFormat="1" x14ac:dyDescent="0.25">
      <c r="A1386" s="12" t="s">
        <v>2687</v>
      </c>
      <c r="B1386" s="13" t="s">
        <v>2688</v>
      </c>
      <c r="C1386" s="14">
        <v>45184</v>
      </c>
      <c r="D1386" s="13">
        <v>2023</v>
      </c>
      <c r="E1386" s="13" t="s">
        <v>10</v>
      </c>
      <c r="F1386" s="13" t="s">
        <v>11</v>
      </c>
      <c r="G1386" s="15">
        <v>1259.31</v>
      </c>
      <c r="H1386" s="15">
        <v>1259.31</v>
      </c>
      <c r="I1386" s="13">
        <v>1</v>
      </c>
      <c r="J1386" s="13">
        <v>1</v>
      </c>
      <c r="K1386" s="13" t="s">
        <v>35</v>
      </c>
      <c r="L1386" s="15">
        <v>1259.31</v>
      </c>
      <c r="M1386" s="16">
        <v>1259.31</v>
      </c>
    </row>
    <row r="1387" spans="1:13" s="5" customFormat="1" x14ac:dyDescent="0.25">
      <c r="A1387" s="12" t="s">
        <v>2689</v>
      </c>
      <c r="B1387" s="13" t="s">
        <v>1959</v>
      </c>
      <c r="C1387" s="14">
        <v>45512</v>
      </c>
      <c r="D1387" s="13">
        <v>2024</v>
      </c>
      <c r="E1387" s="13" t="s">
        <v>21</v>
      </c>
      <c r="F1387" s="13" t="s">
        <v>25</v>
      </c>
      <c r="G1387" s="15">
        <v>640.53208928571428</v>
      </c>
      <c r="H1387" s="15">
        <v>640.53208928571428</v>
      </c>
      <c r="I1387" s="13">
        <v>3</v>
      </c>
      <c r="J1387" s="13">
        <v>3</v>
      </c>
      <c r="K1387" s="13" t="s">
        <v>18</v>
      </c>
      <c r="L1387" s="15">
        <v>213.51069642857144</v>
      </c>
      <c r="M1387" s="16">
        <v>213.51069642857144</v>
      </c>
    </row>
    <row r="1388" spans="1:13" s="5" customFormat="1" x14ac:dyDescent="0.25">
      <c r="A1388" s="12" t="s">
        <v>2690</v>
      </c>
      <c r="B1388" s="13" t="s">
        <v>2691</v>
      </c>
      <c r="C1388" s="14">
        <v>45043</v>
      </c>
      <c r="D1388" s="13">
        <v>2023</v>
      </c>
      <c r="E1388" s="13" t="s">
        <v>21</v>
      </c>
      <c r="F1388" s="13" t="s">
        <v>34</v>
      </c>
      <c r="G1388" s="15">
        <v>949.11</v>
      </c>
      <c r="H1388" s="15">
        <v>949.11</v>
      </c>
      <c r="I1388" s="13">
        <v>10</v>
      </c>
      <c r="J1388" s="13">
        <v>10</v>
      </c>
      <c r="K1388" s="13" t="s">
        <v>35</v>
      </c>
      <c r="L1388" s="15">
        <v>94.911000000000001</v>
      </c>
      <c r="M1388" s="16">
        <v>94.911000000000001</v>
      </c>
    </row>
    <row r="1389" spans="1:13" s="5" customFormat="1" x14ac:dyDescent="0.25">
      <c r="A1389" s="12" t="s">
        <v>2692</v>
      </c>
      <c r="B1389" s="13" t="s">
        <v>2693</v>
      </c>
      <c r="C1389" s="14">
        <v>45773</v>
      </c>
      <c r="D1389" s="13">
        <v>2025</v>
      </c>
      <c r="E1389" s="13" t="s">
        <v>3347</v>
      </c>
      <c r="F1389" s="13" t="s">
        <v>22</v>
      </c>
      <c r="G1389" s="15">
        <v>1360.3086250000001</v>
      </c>
      <c r="H1389" s="15">
        <v>1360.3086250000001</v>
      </c>
      <c r="I1389" s="13">
        <v>4</v>
      </c>
      <c r="J1389" s="13">
        <v>4</v>
      </c>
      <c r="K1389" s="13" t="s">
        <v>3348</v>
      </c>
      <c r="L1389" s="15">
        <v>340.07715625000003</v>
      </c>
      <c r="M1389" s="16">
        <v>340.07715625000003</v>
      </c>
    </row>
    <row r="1390" spans="1:13" s="5" customFormat="1" x14ac:dyDescent="0.25">
      <c r="A1390" s="12" t="s">
        <v>2694</v>
      </c>
      <c r="B1390" s="13" t="s">
        <v>2695</v>
      </c>
      <c r="C1390" s="14">
        <v>45822</v>
      </c>
      <c r="D1390" s="13">
        <v>2025</v>
      </c>
      <c r="E1390" s="13" t="s">
        <v>21</v>
      </c>
      <c r="F1390" s="13" t="s">
        <v>11</v>
      </c>
      <c r="G1390" s="15">
        <v>1199.76</v>
      </c>
      <c r="H1390" s="15">
        <v>1199.76</v>
      </c>
      <c r="I1390" s="13">
        <v>7</v>
      </c>
      <c r="J1390" s="13">
        <v>7</v>
      </c>
      <c r="K1390" s="13" t="s">
        <v>3346</v>
      </c>
      <c r="L1390" s="15">
        <v>171.3942857142857</v>
      </c>
      <c r="M1390" s="16">
        <v>171.3942857142857</v>
      </c>
    </row>
    <row r="1391" spans="1:13" s="5" customFormat="1" x14ac:dyDescent="0.25">
      <c r="A1391" s="12" t="s">
        <v>2696</v>
      </c>
      <c r="B1391" s="13" t="s">
        <v>1935</v>
      </c>
      <c r="C1391" s="14">
        <v>45920</v>
      </c>
      <c r="D1391" s="13">
        <v>2025</v>
      </c>
      <c r="E1391" s="13" t="s">
        <v>3347</v>
      </c>
      <c r="F1391" s="13" t="s">
        <v>11</v>
      </c>
      <c r="G1391" s="15">
        <v>572.02</v>
      </c>
      <c r="H1391" s="15">
        <v>572.02</v>
      </c>
      <c r="I1391" s="13">
        <v>6</v>
      </c>
      <c r="J1391" s="13">
        <v>6</v>
      </c>
      <c r="K1391" s="13" t="s">
        <v>18</v>
      </c>
      <c r="L1391" s="15">
        <v>95.336666666666659</v>
      </c>
      <c r="M1391" s="16">
        <v>95.336666666666659</v>
      </c>
    </row>
    <row r="1392" spans="1:13" s="5" customFormat="1" x14ac:dyDescent="0.25">
      <c r="A1392" s="12" t="s">
        <v>2697</v>
      </c>
      <c r="B1392" s="13" t="s">
        <v>2698</v>
      </c>
      <c r="C1392" s="14">
        <v>45925</v>
      </c>
      <c r="D1392" s="13">
        <v>2025</v>
      </c>
      <c r="E1392" s="13" t="s">
        <v>14</v>
      </c>
      <c r="F1392" s="13" t="s">
        <v>22</v>
      </c>
      <c r="G1392" s="15">
        <v>1851.38</v>
      </c>
      <c r="H1392" s="15">
        <v>1851.38</v>
      </c>
      <c r="I1392" s="13">
        <v>1</v>
      </c>
      <c r="J1392" s="13">
        <v>1</v>
      </c>
      <c r="K1392" s="13" t="s">
        <v>18</v>
      </c>
      <c r="L1392" s="15">
        <v>1851.38</v>
      </c>
      <c r="M1392" s="16">
        <v>1851.38</v>
      </c>
    </row>
    <row r="1393" spans="1:13" s="5" customFormat="1" x14ac:dyDescent="0.25">
      <c r="A1393" s="12" t="s">
        <v>2699</v>
      </c>
      <c r="B1393" s="13" t="s">
        <v>2700</v>
      </c>
      <c r="C1393" s="14">
        <v>45651</v>
      </c>
      <c r="D1393" s="13">
        <v>2024</v>
      </c>
      <c r="E1393" s="13" t="s">
        <v>3347</v>
      </c>
      <c r="F1393" s="13" t="s">
        <v>34</v>
      </c>
      <c r="G1393" s="15">
        <v>1860.82</v>
      </c>
      <c r="H1393" s="15">
        <v>1860.82</v>
      </c>
      <c r="I1393" s="13">
        <v>1</v>
      </c>
      <c r="J1393" s="13">
        <v>1</v>
      </c>
      <c r="K1393" s="13" t="s">
        <v>35</v>
      </c>
      <c r="L1393" s="15">
        <v>1860.82</v>
      </c>
      <c r="M1393" s="16">
        <v>1860.82</v>
      </c>
    </row>
    <row r="1394" spans="1:13" s="5" customFormat="1" x14ac:dyDescent="0.25">
      <c r="A1394" s="12" t="s">
        <v>2701</v>
      </c>
      <c r="B1394" s="13" t="s">
        <v>2702</v>
      </c>
      <c r="C1394" s="14">
        <v>45046</v>
      </c>
      <c r="D1394" s="13">
        <v>2023</v>
      </c>
      <c r="E1394" s="13" t="s">
        <v>10</v>
      </c>
      <c r="F1394" s="13" t="s">
        <v>22</v>
      </c>
      <c r="G1394" s="15">
        <v>1142.06</v>
      </c>
      <c r="H1394" s="15">
        <v>1142.06</v>
      </c>
      <c r="I1394" s="13">
        <v>5</v>
      </c>
      <c r="J1394" s="13">
        <v>5</v>
      </c>
      <c r="K1394" s="13" t="s">
        <v>3346</v>
      </c>
      <c r="L1394" s="15">
        <v>228.41199999999998</v>
      </c>
      <c r="M1394" s="16">
        <v>228.41199999999998</v>
      </c>
    </row>
    <row r="1395" spans="1:13" s="5" customFormat="1" x14ac:dyDescent="0.25">
      <c r="A1395" s="12" t="s">
        <v>2703</v>
      </c>
      <c r="B1395" s="13" t="s">
        <v>2704</v>
      </c>
      <c r="C1395" s="14">
        <v>45525</v>
      </c>
      <c r="D1395" s="13">
        <v>2024</v>
      </c>
      <c r="E1395" s="13" t="s">
        <v>10</v>
      </c>
      <c r="F1395" s="13" t="s">
        <v>22</v>
      </c>
      <c r="G1395" s="15">
        <v>291.42</v>
      </c>
      <c r="H1395" s="15">
        <v>291.42</v>
      </c>
      <c r="I1395" s="13">
        <v>4</v>
      </c>
      <c r="J1395" s="13">
        <v>4</v>
      </c>
      <c r="K1395" s="13" t="s">
        <v>3348</v>
      </c>
      <c r="L1395" s="15">
        <v>72.855000000000004</v>
      </c>
      <c r="M1395" s="16">
        <v>72.855000000000004</v>
      </c>
    </row>
    <row r="1396" spans="1:13" s="5" customFormat="1" x14ac:dyDescent="0.25">
      <c r="A1396" s="12" t="s">
        <v>2705</v>
      </c>
      <c r="B1396" s="13" t="s">
        <v>2706</v>
      </c>
      <c r="C1396" s="14">
        <v>45805</v>
      </c>
      <c r="D1396" s="13">
        <v>2025</v>
      </c>
      <c r="E1396" s="13" t="s">
        <v>3347</v>
      </c>
      <c r="F1396" s="13" t="s">
        <v>34</v>
      </c>
      <c r="G1396" s="15">
        <v>958.48</v>
      </c>
      <c r="H1396" s="15">
        <v>958.48</v>
      </c>
      <c r="I1396" s="13">
        <v>3</v>
      </c>
      <c r="J1396" s="13">
        <v>3</v>
      </c>
      <c r="K1396" s="13" t="s">
        <v>18</v>
      </c>
      <c r="L1396" s="15">
        <v>319.49333333333334</v>
      </c>
      <c r="M1396" s="16">
        <v>319.49333333333334</v>
      </c>
    </row>
    <row r="1397" spans="1:13" s="5" customFormat="1" x14ac:dyDescent="0.25">
      <c r="A1397" s="12" t="s">
        <v>2707</v>
      </c>
      <c r="B1397" s="13" t="s">
        <v>2708</v>
      </c>
      <c r="C1397" s="14">
        <v>45012</v>
      </c>
      <c r="D1397" s="13">
        <v>2023</v>
      </c>
      <c r="E1397" s="13" t="s">
        <v>10</v>
      </c>
      <c r="F1397" s="13" t="s">
        <v>34</v>
      </c>
      <c r="G1397" s="15">
        <v>586.05999999999995</v>
      </c>
      <c r="H1397" s="15">
        <v>586.05999999999995</v>
      </c>
      <c r="I1397" s="13">
        <v>6</v>
      </c>
      <c r="J1397" s="13">
        <v>6</v>
      </c>
      <c r="K1397" s="13" t="s">
        <v>3346</v>
      </c>
      <c r="L1397" s="15">
        <v>97.676666666666662</v>
      </c>
      <c r="M1397" s="16">
        <v>97.676666666666662</v>
      </c>
    </row>
    <row r="1398" spans="1:13" s="5" customFormat="1" x14ac:dyDescent="0.25">
      <c r="A1398" s="12" t="s">
        <v>2709</v>
      </c>
      <c r="B1398" s="13" t="s">
        <v>2710</v>
      </c>
      <c r="C1398" s="14">
        <v>45426</v>
      </c>
      <c r="D1398" s="13">
        <v>2024</v>
      </c>
      <c r="E1398" s="13" t="s">
        <v>10</v>
      </c>
      <c r="F1398" s="13" t="s">
        <v>22</v>
      </c>
      <c r="G1398" s="15">
        <v>663.27</v>
      </c>
      <c r="H1398" s="15">
        <v>663.27</v>
      </c>
      <c r="I1398" s="13">
        <v>5</v>
      </c>
      <c r="J1398" s="13">
        <v>5</v>
      </c>
      <c r="K1398" s="13" t="s">
        <v>15</v>
      </c>
      <c r="L1398" s="15">
        <v>132.654</v>
      </c>
      <c r="M1398" s="16">
        <v>132.654</v>
      </c>
    </row>
    <row r="1399" spans="1:13" s="5" customFormat="1" x14ac:dyDescent="0.25">
      <c r="A1399" s="12" t="s">
        <v>2711</v>
      </c>
      <c r="B1399" s="13" t="s">
        <v>2712</v>
      </c>
      <c r="C1399" s="14">
        <v>45534</v>
      </c>
      <c r="D1399" s="13">
        <v>2024</v>
      </c>
      <c r="E1399" s="13" t="s">
        <v>3347</v>
      </c>
      <c r="F1399" s="13" t="s">
        <v>11</v>
      </c>
      <c r="G1399" s="15">
        <v>574.75</v>
      </c>
      <c r="H1399" s="15">
        <v>574.75</v>
      </c>
      <c r="I1399" s="13">
        <v>9</v>
      </c>
      <c r="J1399" s="13">
        <v>9</v>
      </c>
      <c r="K1399" s="13" t="s">
        <v>15</v>
      </c>
      <c r="L1399" s="15">
        <v>63.861111111111114</v>
      </c>
      <c r="M1399" s="16">
        <v>63.861111111111114</v>
      </c>
    </row>
    <row r="1400" spans="1:13" s="5" customFormat="1" x14ac:dyDescent="0.25">
      <c r="A1400" s="12" t="s">
        <v>2713</v>
      </c>
      <c r="B1400" s="13" t="s">
        <v>1017</v>
      </c>
      <c r="C1400" s="14">
        <v>45021</v>
      </c>
      <c r="D1400" s="13">
        <v>2023</v>
      </c>
      <c r="E1400" s="13" t="s">
        <v>21</v>
      </c>
      <c r="F1400" s="13" t="s">
        <v>22</v>
      </c>
      <c r="G1400" s="15">
        <v>12.4</v>
      </c>
      <c r="H1400" s="15">
        <v>12.4</v>
      </c>
      <c r="I1400" s="13">
        <v>5</v>
      </c>
      <c r="J1400" s="13">
        <v>5</v>
      </c>
      <c r="K1400" s="13" t="s">
        <v>35</v>
      </c>
      <c r="L1400" s="15">
        <v>2.48</v>
      </c>
      <c r="M1400" s="16">
        <v>2.48</v>
      </c>
    </row>
    <row r="1401" spans="1:13" s="5" customFormat="1" x14ac:dyDescent="0.25">
      <c r="A1401" s="12" t="s">
        <v>2714</v>
      </c>
      <c r="B1401" s="13" t="s">
        <v>2715</v>
      </c>
      <c r="C1401" s="14">
        <v>45655</v>
      </c>
      <c r="D1401" s="13">
        <v>2024</v>
      </c>
      <c r="E1401" s="13" t="s">
        <v>21</v>
      </c>
      <c r="F1401" s="13" t="s">
        <v>34</v>
      </c>
      <c r="G1401" s="15">
        <v>1294.57</v>
      </c>
      <c r="H1401" s="15">
        <v>1294.57</v>
      </c>
      <c r="I1401" s="13">
        <v>4</v>
      </c>
      <c r="J1401" s="13">
        <v>4</v>
      </c>
      <c r="K1401" s="13" t="s">
        <v>3348</v>
      </c>
      <c r="L1401" s="15">
        <v>323.64249999999998</v>
      </c>
      <c r="M1401" s="16">
        <v>323.64249999999998</v>
      </c>
    </row>
    <row r="1402" spans="1:13" s="5" customFormat="1" x14ac:dyDescent="0.25">
      <c r="A1402" s="12" t="s">
        <v>2716</v>
      </c>
      <c r="B1402" s="13" t="s">
        <v>2717</v>
      </c>
      <c r="C1402" s="14">
        <v>45809</v>
      </c>
      <c r="D1402" s="13">
        <v>2025</v>
      </c>
      <c r="E1402" s="13" t="s">
        <v>10</v>
      </c>
      <c r="F1402" s="13" t="s">
        <v>25</v>
      </c>
      <c r="G1402" s="15">
        <v>1514.91</v>
      </c>
      <c r="H1402" s="15">
        <v>1514.91</v>
      </c>
      <c r="I1402" s="13">
        <v>6</v>
      </c>
      <c r="J1402" s="13">
        <v>6</v>
      </c>
      <c r="K1402" s="13" t="s">
        <v>3348</v>
      </c>
      <c r="L1402" s="15">
        <v>252.48500000000001</v>
      </c>
      <c r="M1402" s="16">
        <v>252.48500000000001</v>
      </c>
    </row>
    <row r="1403" spans="1:13" s="5" customFormat="1" x14ac:dyDescent="0.25">
      <c r="A1403" s="12" t="s">
        <v>2718</v>
      </c>
      <c r="B1403" s="13" t="s">
        <v>2719</v>
      </c>
      <c r="C1403" s="14">
        <v>45748</v>
      </c>
      <c r="D1403" s="13">
        <v>2025</v>
      </c>
      <c r="E1403" s="13" t="s">
        <v>10</v>
      </c>
      <c r="F1403" s="13" t="s">
        <v>22</v>
      </c>
      <c r="G1403" s="15">
        <v>1702.44</v>
      </c>
      <c r="H1403" s="15">
        <v>1702.44</v>
      </c>
      <c r="I1403" s="13">
        <v>4</v>
      </c>
      <c r="J1403" s="13">
        <v>4</v>
      </c>
      <c r="K1403" s="13" t="s">
        <v>35</v>
      </c>
      <c r="L1403" s="15">
        <v>425.61</v>
      </c>
      <c r="M1403" s="16">
        <v>425.61</v>
      </c>
    </row>
    <row r="1404" spans="1:13" s="5" customFormat="1" x14ac:dyDescent="0.25">
      <c r="A1404" s="12" t="s">
        <v>2720</v>
      </c>
      <c r="B1404" s="13" t="s">
        <v>2721</v>
      </c>
      <c r="C1404" s="14">
        <v>44942</v>
      </c>
      <c r="D1404" s="13">
        <v>2023</v>
      </c>
      <c r="E1404" s="13" t="s">
        <v>14</v>
      </c>
      <c r="F1404" s="13" t="s">
        <v>25</v>
      </c>
      <c r="G1404" s="15">
        <v>1345.04</v>
      </c>
      <c r="H1404" s="15">
        <v>1345.04</v>
      </c>
      <c r="I1404" s="13">
        <v>6</v>
      </c>
      <c r="J1404" s="13">
        <v>6</v>
      </c>
      <c r="K1404" s="13" t="s">
        <v>18</v>
      </c>
      <c r="L1404" s="15">
        <v>224.17333333333332</v>
      </c>
      <c r="M1404" s="16">
        <v>224.17333333333332</v>
      </c>
    </row>
    <row r="1405" spans="1:13" s="5" customFormat="1" x14ac:dyDescent="0.25">
      <c r="A1405" s="12" t="s">
        <v>2722</v>
      </c>
      <c r="B1405" s="13" t="s">
        <v>2723</v>
      </c>
      <c r="C1405" s="14">
        <v>45553</v>
      </c>
      <c r="D1405" s="13">
        <v>2024</v>
      </c>
      <c r="E1405" s="13" t="s">
        <v>10</v>
      </c>
      <c r="F1405" s="13" t="s">
        <v>22</v>
      </c>
      <c r="G1405" s="15">
        <v>2696.6785714285711</v>
      </c>
      <c r="H1405" s="15">
        <v>2696.6785714285711</v>
      </c>
      <c r="I1405" s="13">
        <v>9</v>
      </c>
      <c r="J1405" s="13">
        <v>9</v>
      </c>
      <c r="K1405" s="13" t="s">
        <v>3348</v>
      </c>
      <c r="L1405" s="15">
        <v>299.63095238095235</v>
      </c>
      <c r="M1405" s="16">
        <v>299.63095238095235</v>
      </c>
    </row>
    <row r="1406" spans="1:13" s="5" customFormat="1" x14ac:dyDescent="0.25">
      <c r="A1406" s="12" t="s">
        <v>2724</v>
      </c>
      <c r="B1406" s="13" t="s">
        <v>2725</v>
      </c>
      <c r="C1406" s="14">
        <v>45512</v>
      </c>
      <c r="D1406" s="13">
        <v>2024</v>
      </c>
      <c r="E1406" s="13" t="s">
        <v>3347</v>
      </c>
      <c r="F1406" s="13" t="s">
        <v>11</v>
      </c>
      <c r="G1406" s="15">
        <v>337.66</v>
      </c>
      <c r="H1406" s="15">
        <v>337.66</v>
      </c>
      <c r="I1406" s="13">
        <v>10</v>
      </c>
      <c r="J1406" s="13">
        <v>10</v>
      </c>
      <c r="K1406" s="13" t="s">
        <v>15</v>
      </c>
      <c r="L1406" s="15">
        <v>33.766000000000005</v>
      </c>
      <c r="M1406" s="16">
        <v>33.766000000000005</v>
      </c>
    </row>
    <row r="1407" spans="1:13" s="5" customFormat="1" x14ac:dyDescent="0.25">
      <c r="A1407" s="12" t="s">
        <v>2726</v>
      </c>
      <c r="B1407" s="13" t="s">
        <v>2727</v>
      </c>
      <c r="C1407" s="14">
        <v>45267</v>
      </c>
      <c r="D1407" s="13">
        <v>2023</v>
      </c>
      <c r="E1407" s="13" t="s">
        <v>3347</v>
      </c>
      <c r="F1407" s="13" t="s">
        <v>22</v>
      </c>
      <c r="G1407" s="15">
        <v>1650.1036666666669</v>
      </c>
      <c r="H1407" s="15">
        <v>1650.1036666666669</v>
      </c>
      <c r="I1407" s="13">
        <v>7</v>
      </c>
      <c r="J1407" s="13">
        <v>7</v>
      </c>
      <c r="K1407" s="13" t="s">
        <v>15</v>
      </c>
      <c r="L1407" s="15">
        <v>235.72909523809525</v>
      </c>
      <c r="M1407" s="16">
        <v>235.72909523809525</v>
      </c>
    </row>
    <row r="1408" spans="1:13" s="5" customFormat="1" x14ac:dyDescent="0.25">
      <c r="A1408" s="12" t="s">
        <v>2728</v>
      </c>
      <c r="B1408" s="13" t="s">
        <v>2729</v>
      </c>
      <c r="C1408" s="14">
        <v>44969</v>
      </c>
      <c r="D1408" s="13">
        <v>2023</v>
      </c>
      <c r="E1408" s="13" t="s">
        <v>14</v>
      </c>
      <c r="F1408" s="13" t="s">
        <v>25</v>
      </c>
      <c r="G1408" s="15">
        <v>622.85</v>
      </c>
      <c r="H1408" s="15">
        <v>622.85</v>
      </c>
      <c r="I1408" s="13">
        <v>1</v>
      </c>
      <c r="J1408" s="13">
        <v>1</v>
      </c>
      <c r="K1408" s="13" t="s">
        <v>15</v>
      </c>
      <c r="L1408" s="15">
        <v>622.85</v>
      </c>
      <c r="M1408" s="16">
        <v>657.95380952380935</v>
      </c>
    </row>
    <row r="1409" spans="1:13" s="5" customFormat="1" x14ac:dyDescent="0.25">
      <c r="A1409" s="12" t="s">
        <v>2730</v>
      </c>
      <c r="B1409" s="13" t="s">
        <v>2731</v>
      </c>
      <c r="C1409" s="14">
        <v>45691</v>
      </c>
      <c r="D1409" s="13">
        <v>2025</v>
      </c>
      <c r="E1409" s="13" t="s">
        <v>14</v>
      </c>
      <c r="F1409" s="13" t="s">
        <v>34</v>
      </c>
      <c r="G1409" s="15">
        <v>915.86129629629613</v>
      </c>
      <c r="H1409" s="15">
        <v>915.86129629629613</v>
      </c>
      <c r="I1409" s="13">
        <v>2</v>
      </c>
      <c r="J1409" s="13">
        <v>2</v>
      </c>
      <c r="K1409" s="13" t="s">
        <v>3348</v>
      </c>
      <c r="L1409" s="15">
        <v>457.93064814814807</v>
      </c>
      <c r="M1409" s="16">
        <v>457.93064814814807</v>
      </c>
    </row>
    <row r="1410" spans="1:13" s="5" customFormat="1" x14ac:dyDescent="0.25">
      <c r="A1410" s="12" t="s">
        <v>2732</v>
      </c>
      <c r="B1410" s="13" t="s">
        <v>1125</v>
      </c>
      <c r="C1410" s="14">
        <v>45776</v>
      </c>
      <c r="D1410" s="13">
        <v>2025</v>
      </c>
      <c r="E1410" s="13" t="s">
        <v>21</v>
      </c>
      <c r="F1410" s="13" t="s">
        <v>34</v>
      </c>
      <c r="G1410" s="15">
        <v>318.02</v>
      </c>
      <c r="H1410" s="15">
        <v>318.02</v>
      </c>
      <c r="I1410" s="13">
        <v>2</v>
      </c>
      <c r="J1410" s="13">
        <v>2</v>
      </c>
      <c r="K1410" s="13" t="s">
        <v>3348</v>
      </c>
      <c r="L1410" s="15">
        <v>159.01</v>
      </c>
      <c r="M1410" s="16">
        <v>159.01</v>
      </c>
    </row>
    <row r="1411" spans="1:13" s="5" customFormat="1" x14ac:dyDescent="0.25">
      <c r="A1411" s="12" t="s">
        <v>2733</v>
      </c>
      <c r="B1411" s="13" t="s">
        <v>2734</v>
      </c>
      <c r="C1411" s="14">
        <v>45089</v>
      </c>
      <c r="D1411" s="13">
        <v>2023</v>
      </c>
      <c r="E1411" s="13" t="s">
        <v>21</v>
      </c>
      <c r="F1411" s="13" t="s">
        <v>22</v>
      </c>
      <c r="G1411" s="15">
        <v>1407.86</v>
      </c>
      <c r="H1411" s="15">
        <v>1407.86</v>
      </c>
      <c r="I1411" s="13">
        <v>10</v>
      </c>
      <c r="J1411" s="13">
        <v>10</v>
      </c>
      <c r="K1411" s="13" t="s">
        <v>3348</v>
      </c>
      <c r="L1411" s="15">
        <v>140.786</v>
      </c>
      <c r="M1411" s="16">
        <v>140.786</v>
      </c>
    </row>
    <row r="1412" spans="1:13" s="5" customFormat="1" x14ac:dyDescent="0.25">
      <c r="A1412" s="12" t="s">
        <v>2735</v>
      </c>
      <c r="B1412" s="13" t="s">
        <v>2736</v>
      </c>
      <c r="C1412" s="14">
        <v>45924</v>
      </c>
      <c r="D1412" s="13">
        <v>2025</v>
      </c>
      <c r="E1412" s="13" t="s">
        <v>21</v>
      </c>
      <c r="F1412" s="13" t="s">
        <v>22</v>
      </c>
      <c r="G1412" s="15">
        <v>1026</v>
      </c>
      <c r="H1412" s="15">
        <v>1026</v>
      </c>
      <c r="I1412" s="13">
        <v>9</v>
      </c>
      <c r="J1412" s="13">
        <v>9</v>
      </c>
      <c r="K1412" s="13" t="s">
        <v>3346</v>
      </c>
      <c r="L1412" s="15">
        <v>114</v>
      </c>
      <c r="M1412" s="16">
        <v>114</v>
      </c>
    </row>
    <row r="1413" spans="1:13" s="5" customFormat="1" x14ac:dyDescent="0.25">
      <c r="A1413" s="12" t="s">
        <v>2737</v>
      </c>
      <c r="B1413" s="13" t="s">
        <v>2738</v>
      </c>
      <c r="C1413" s="14">
        <v>45206</v>
      </c>
      <c r="D1413" s="13">
        <v>2023</v>
      </c>
      <c r="E1413" s="13" t="s">
        <v>14</v>
      </c>
      <c r="F1413" s="13" t="s">
        <v>22</v>
      </c>
      <c r="G1413" s="15">
        <v>1418.05</v>
      </c>
      <c r="H1413" s="15">
        <v>1418.05</v>
      </c>
      <c r="I1413" s="13">
        <v>10</v>
      </c>
      <c r="J1413" s="13">
        <v>10</v>
      </c>
      <c r="K1413" s="13" t="s">
        <v>3348</v>
      </c>
      <c r="L1413" s="15">
        <v>141.80500000000001</v>
      </c>
      <c r="M1413" s="16">
        <v>141.80500000000001</v>
      </c>
    </row>
    <row r="1414" spans="1:13" s="5" customFormat="1" x14ac:dyDescent="0.25">
      <c r="A1414" s="12" t="s">
        <v>2739</v>
      </c>
      <c r="B1414" s="13" t="s">
        <v>2740</v>
      </c>
      <c r="C1414" s="14">
        <v>45612</v>
      </c>
      <c r="D1414" s="13">
        <v>2024</v>
      </c>
      <c r="E1414" s="13" t="s">
        <v>10</v>
      </c>
      <c r="F1414" s="13" t="s">
        <v>25</v>
      </c>
      <c r="G1414" s="15">
        <v>1116.92</v>
      </c>
      <c r="H1414" s="15">
        <v>1116.92</v>
      </c>
      <c r="I1414" s="13">
        <v>4</v>
      </c>
      <c r="J1414" s="13">
        <v>4</v>
      </c>
      <c r="K1414" s="13" t="s">
        <v>3348</v>
      </c>
      <c r="L1414" s="15">
        <v>279.23</v>
      </c>
      <c r="M1414" s="16">
        <v>279.23</v>
      </c>
    </row>
    <row r="1415" spans="1:13" s="5" customFormat="1" x14ac:dyDescent="0.25">
      <c r="A1415" s="12" t="s">
        <v>2741</v>
      </c>
      <c r="B1415" s="13" t="s">
        <v>506</v>
      </c>
      <c r="C1415" s="14">
        <v>45938</v>
      </c>
      <c r="D1415" s="13">
        <v>2025</v>
      </c>
      <c r="E1415" s="13" t="s">
        <v>10</v>
      </c>
      <c r="F1415" s="13" t="s">
        <v>34</v>
      </c>
      <c r="G1415" s="15">
        <v>1678.37</v>
      </c>
      <c r="H1415" s="15">
        <v>1678.37</v>
      </c>
      <c r="I1415" s="13">
        <v>9</v>
      </c>
      <c r="J1415" s="13">
        <v>9</v>
      </c>
      <c r="K1415" s="13" t="s">
        <v>18</v>
      </c>
      <c r="L1415" s="15">
        <v>186.48555555555555</v>
      </c>
      <c r="M1415" s="16">
        <v>186.48555555555555</v>
      </c>
    </row>
    <row r="1416" spans="1:13" s="5" customFormat="1" x14ac:dyDescent="0.25">
      <c r="A1416" s="12" t="s">
        <v>2742</v>
      </c>
      <c r="B1416" s="13" t="s">
        <v>2743</v>
      </c>
      <c r="C1416" s="14">
        <v>45150</v>
      </c>
      <c r="D1416" s="13">
        <v>2023</v>
      </c>
      <c r="E1416" s="13" t="s">
        <v>3347</v>
      </c>
      <c r="F1416" s="13" t="s">
        <v>34</v>
      </c>
      <c r="G1416" s="15">
        <v>34.090000000000003</v>
      </c>
      <c r="H1416" s="15">
        <v>34.090000000000003</v>
      </c>
      <c r="I1416" s="13">
        <v>1</v>
      </c>
      <c r="J1416" s="13">
        <v>1</v>
      </c>
      <c r="K1416" s="13" t="s">
        <v>35</v>
      </c>
      <c r="L1416" s="15">
        <v>34.090000000000003</v>
      </c>
      <c r="M1416" s="16">
        <v>164.27409375000002</v>
      </c>
    </row>
    <row r="1417" spans="1:13" s="5" customFormat="1" x14ac:dyDescent="0.25">
      <c r="A1417" s="12" t="s">
        <v>2744</v>
      </c>
      <c r="B1417" s="13" t="s">
        <v>1263</v>
      </c>
      <c r="C1417" s="14">
        <v>45774</v>
      </c>
      <c r="D1417" s="13">
        <v>2025</v>
      </c>
      <c r="E1417" s="13" t="s">
        <v>3347</v>
      </c>
      <c r="F1417" s="13" t="s">
        <v>25</v>
      </c>
      <c r="G1417" s="15">
        <v>539.08562962962969</v>
      </c>
      <c r="H1417" s="15">
        <v>539.08562962962969</v>
      </c>
      <c r="I1417" s="13">
        <v>4</v>
      </c>
      <c r="J1417" s="13">
        <v>4</v>
      </c>
      <c r="K1417" s="13" t="s">
        <v>35</v>
      </c>
      <c r="L1417" s="15">
        <v>134.77140740740742</v>
      </c>
      <c r="M1417" s="16">
        <v>134.77140740740742</v>
      </c>
    </row>
    <row r="1418" spans="1:13" s="5" customFormat="1" x14ac:dyDescent="0.25">
      <c r="A1418" s="12" t="s">
        <v>2745</v>
      </c>
      <c r="B1418" s="13" t="s">
        <v>2746</v>
      </c>
      <c r="C1418" s="14">
        <v>44976</v>
      </c>
      <c r="D1418" s="13">
        <v>2023</v>
      </c>
      <c r="E1418" s="13" t="s">
        <v>3347</v>
      </c>
      <c r="F1418" s="13" t="s">
        <v>34</v>
      </c>
      <c r="G1418" s="15">
        <v>809.08</v>
      </c>
      <c r="H1418" s="15">
        <v>809.08</v>
      </c>
      <c r="I1418" s="13">
        <v>9</v>
      </c>
      <c r="J1418" s="13">
        <v>9</v>
      </c>
      <c r="K1418" s="13" t="s">
        <v>3346</v>
      </c>
      <c r="L1418" s="15">
        <v>89.897777777777776</v>
      </c>
      <c r="M1418" s="16">
        <v>89.897777777777776</v>
      </c>
    </row>
    <row r="1419" spans="1:13" s="5" customFormat="1" x14ac:dyDescent="0.25">
      <c r="A1419" s="12" t="s">
        <v>2747</v>
      </c>
      <c r="B1419" s="13" t="s">
        <v>2748</v>
      </c>
      <c r="C1419" s="14">
        <v>44993</v>
      </c>
      <c r="D1419" s="13">
        <v>2023</v>
      </c>
      <c r="E1419" s="13" t="s">
        <v>10</v>
      </c>
      <c r="F1419" s="13" t="s">
        <v>25</v>
      </c>
      <c r="G1419" s="15">
        <v>1525.99</v>
      </c>
      <c r="H1419" s="15">
        <v>1525.99</v>
      </c>
      <c r="I1419" s="13">
        <v>1</v>
      </c>
      <c r="J1419" s="13">
        <v>1</v>
      </c>
      <c r="K1419" s="13" t="s">
        <v>15</v>
      </c>
      <c r="L1419" s="15">
        <v>1525.99</v>
      </c>
      <c r="M1419" s="16">
        <v>1525.99</v>
      </c>
    </row>
    <row r="1420" spans="1:13" s="5" customFormat="1" x14ac:dyDescent="0.25">
      <c r="A1420" s="12" t="s">
        <v>2749</v>
      </c>
      <c r="B1420" s="13" t="s">
        <v>2750</v>
      </c>
      <c r="C1420" s="14">
        <v>45653</v>
      </c>
      <c r="D1420" s="13">
        <v>2024</v>
      </c>
      <c r="E1420" s="13" t="s">
        <v>21</v>
      </c>
      <c r="F1420" s="13" t="s">
        <v>22</v>
      </c>
      <c r="G1420" s="15">
        <v>927.16</v>
      </c>
      <c r="H1420" s="15">
        <v>927.16</v>
      </c>
      <c r="I1420" s="13">
        <v>8</v>
      </c>
      <c r="J1420" s="13">
        <v>8</v>
      </c>
      <c r="K1420" s="13" t="s">
        <v>15</v>
      </c>
      <c r="L1420" s="15">
        <v>115.895</v>
      </c>
      <c r="M1420" s="16">
        <v>115.895</v>
      </c>
    </row>
    <row r="1421" spans="1:13" s="5" customFormat="1" x14ac:dyDescent="0.25">
      <c r="A1421" s="12" t="s">
        <v>2751</v>
      </c>
      <c r="B1421" s="13" t="s">
        <v>657</v>
      </c>
      <c r="C1421" s="14">
        <v>45041</v>
      </c>
      <c r="D1421" s="13">
        <v>2023</v>
      </c>
      <c r="E1421" s="13" t="s">
        <v>10</v>
      </c>
      <c r="F1421" s="13" t="s">
        <v>22</v>
      </c>
      <c r="G1421" s="15">
        <v>1817.02</v>
      </c>
      <c r="H1421" s="15">
        <v>1817.02</v>
      </c>
      <c r="I1421" s="13">
        <v>5</v>
      </c>
      <c r="J1421" s="13">
        <v>5</v>
      </c>
      <c r="K1421" s="13" t="s">
        <v>18</v>
      </c>
      <c r="L1421" s="15">
        <v>363.404</v>
      </c>
      <c r="M1421" s="16">
        <v>363.404</v>
      </c>
    </row>
    <row r="1422" spans="1:13" s="5" customFormat="1" x14ac:dyDescent="0.25">
      <c r="A1422" s="12" t="s">
        <v>2752</v>
      </c>
      <c r="B1422" s="13" t="s">
        <v>2753</v>
      </c>
      <c r="C1422" s="14">
        <v>45501</v>
      </c>
      <c r="D1422" s="13">
        <v>2024</v>
      </c>
      <c r="E1422" s="13" t="s">
        <v>3347</v>
      </c>
      <c r="F1422" s="13" t="s">
        <v>11</v>
      </c>
      <c r="G1422" s="15">
        <v>1700.91</v>
      </c>
      <c r="H1422" s="15">
        <v>1700.91</v>
      </c>
      <c r="I1422" s="13">
        <v>6</v>
      </c>
      <c r="J1422" s="13">
        <v>6</v>
      </c>
      <c r="K1422" s="13" t="s">
        <v>15</v>
      </c>
      <c r="L1422" s="15">
        <v>283.48500000000001</v>
      </c>
      <c r="M1422" s="16">
        <v>283.48500000000001</v>
      </c>
    </row>
    <row r="1423" spans="1:13" s="5" customFormat="1" x14ac:dyDescent="0.25">
      <c r="A1423" s="12" t="s">
        <v>2754</v>
      </c>
      <c r="B1423" s="13" t="s">
        <v>2755</v>
      </c>
      <c r="C1423" s="14">
        <v>45590</v>
      </c>
      <c r="D1423" s="13">
        <v>2024</v>
      </c>
      <c r="E1423" s="13" t="s">
        <v>3347</v>
      </c>
      <c r="F1423" s="13" t="s">
        <v>22</v>
      </c>
      <c r="G1423" s="15">
        <v>1528.82</v>
      </c>
      <c r="H1423" s="15">
        <v>1528.82</v>
      </c>
      <c r="I1423" s="13">
        <v>5</v>
      </c>
      <c r="J1423" s="13">
        <v>5</v>
      </c>
      <c r="K1423" s="13" t="s">
        <v>3346</v>
      </c>
      <c r="L1423" s="15">
        <v>305.76400000000001</v>
      </c>
      <c r="M1423" s="16">
        <v>305.76400000000001</v>
      </c>
    </row>
    <row r="1424" spans="1:13" s="5" customFormat="1" x14ac:dyDescent="0.25">
      <c r="A1424" s="12" t="s">
        <v>2756</v>
      </c>
      <c r="B1424" s="13" t="s">
        <v>2757</v>
      </c>
      <c r="C1424" s="14">
        <v>45944</v>
      </c>
      <c r="D1424" s="13">
        <v>2025</v>
      </c>
      <c r="E1424" s="13" t="s">
        <v>10</v>
      </c>
      <c r="F1424" s="13" t="s">
        <v>22</v>
      </c>
      <c r="G1424" s="15">
        <v>1818.15</v>
      </c>
      <c r="H1424" s="15">
        <v>1818.15</v>
      </c>
      <c r="I1424" s="13">
        <v>1</v>
      </c>
      <c r="J1424" s="13">
        <v>1</v>
      </c>
      <c r="K1424" s="13" t="s">
        <v>3348</v>
      </c>
      <c r="L1424" s="15">
        <v>1818.15</v>
      </c>
      <c r="M1424" s="16">
        <v>1818.15</v>
      </c>
    </row>
    <row r="1425" spans="1:13" s="5" customFormat="1" x14ac:dyDescent="0.25">
      <c r="A1425" s="12" t="s">
        <v>2758</v>
      </c>
      <c r="B1425" s="13" t="s">
        <v>2759</v>
      </c>
      <c r="C1425" s="14">
        <v>45456</v>
      </c>
      <c r="D1425" s="13">
        <v>2024</v>
      </c>
      <c r="E1425" s="13" t="s">
        <v>14</v>
      </c>
      <c r="F1425" s="13" t="s">
        <v>11</v>
      </c>
      <c r="G1425" s="15">
        <v>1696.43</v>
      </c>
      <c r="H1425" s="15">
        <v>1696.43</v>
      </c>
      <c r="I1425" s="13">
        <v>1</v>
      </c>
      <c r="J1425" s="13">
        <v>1</v>
      </c>
      <c r="K1425" s="13" t="s">
        <v>3348</v>
      </c>
      <c r="L1425" s="15">
        <v>1696.43</v>
      </c>
      <c r="M1425" s="16">
        <v>1696.43</v>
      </c>
    </row>
    <row r="1426" spans="1:13" s="5" customFormat="1" x14ac:dyDescent="0.25">
      <c r="A1426" s="12" t="s">
        <v>2760</v>
      </c>
      <c r="B1426" s="13" t="s">
        <v>2761</v>
      </c>
      <c r="C1426" s="14">
        <v>45212</v>
      </c>
      <c r="D1426" s="13">
        <v>2023</v>
      </c>
      <c r="E1426" s="13" t="s">
        <v>3347</v>
      </c>
      <c r="F1426" s="13" t="s">
        <v>25</v>
      </c>
      <c r="G1426" s="15">
        <v>536.69000000000005</v>
      </c>
      <c r="H1426" s="15">
        <v>536.69000000000005</v>
      </c>
      <c r="I1426" s="13">
        <v>7</v>
      </c>
      <c r="J1426" s="13">
        <v>7</v>
      </c>
      <c r="K1426" s="13" t="s">
        <v>18</v>
      </c>
      <c r="L1426" s="15">
        <v>76.67</v>
      </c>
      <c r="M1426" s="16">
        <v>76.67</v>
      </c>
    </row>
    <row r="1427" spans="1:13" s="5" customFormat="1" x14ac:dyDescent="0.25">
      <c r="A1427" s="12" t="s">
        <v>2762</v>
      </c>
      <c r="B1427" s="13" t="s">
        <v>2763</v>
      </c>
      <c r="C1427" s="14">
        <v>45646</v>
      </c>
      <c r="D1427" s="13">
        <v>2024</v>
      </c>
      <c r="E1427" s="13" t="s">
        <v>10</v>
      </c>
      <c r="F1427" s="13" t="s">
        <v>34</v>
      </c>
      <c r="G1427" s="15">
        <v>1387.58</v>
      </c>
      <c r="H1427" s="15">
        <v>1387.58</v>
      </c>
      <c r="I1427" s="13">
        <v>9</v>
      </c>
      <c r="J1427" s="13">
        <v>9</v>
      </c>
      <c r="K1427" s="13" t="s">
        <v>3346</v>
      </c>
      <c r="L1427" s="15">
        <v>154.17555555555555</v>
      </c>
      <c r="M1427" s="16">
        <v>154.17555555555555</v>
      </c>
    </row>
    <row r="1428" spans="1:13" s="5" customFormat="1" x14ac:dyDescent="0.25">
      <c r="A1428" s="12" t="s">
        <v>2764</v>
      </c>
      <c r="B1428" s="13" t="s">
        <v>732</v>
      </c>
      <c r="C1428" s="14">
        <v>45414</v>
      </c>
      <c r="D1428" s="13">
        <v>2024</v>
      </c>
      <c r="E1428" s="13" t="s">
        <v>21</v>
      </c>
      <c r="F1428" s="13" t="s">
        <v>34</v>
      </c>
      <c r="G1428" s="15">
        <v>1472.55</v>
      </c>
      <c r="H1428" s="15">
        <v>1472.55</v>
      </c>
      <c r="I1428" s="13">
        <v>7</v>
      </c>
      <c r="J1428" s="13">
        <v>7</v>
      </c>
      <c r="K1428" s="13" t="s">
        <v>35</v>
      </c>
      <c r="L1428" s="15">
        <v>210.3642857142857</v>
      </c>
      <c r="M1428" s="16">
        <v>210.3642857142857</v>
      </c>
    </row>
    <row r="1429" spans="1:13" s="5" customFormat="1" x14ac:dyDescent="0.25">
      <c r="A1429" s="12" t="s">
        <v>2765</v>
      </c>
      <c r="B1429" s="13" t="s">
        <v>2766</v>
      </c>
      <c r="C1429" s="14">
        <v>45892</v>
      </c>
      <c r="D1429" s="13">
        <v>2025</v>
      </c>
      <c r="E1429" s="13" t="s">
        <v>21</v>
      </c>
      <c r="F1429" s="13" t="s">
        <v>22</v>
      </c>
      <c r="G1429" s="15">
        <v>1083.1500000000001</v>
      </c>
      <c r="H1429" s="15">
        <v>1083.1500000000001</v>
      </c>
      <c r="I1429" s="13">
        <v>3</v>
      </c>
      <c r="J1429" s="13">
        <v>3</v>
      </c>
      <c r="K1429" s="13" t="s">
        <v>3346</v>
      </c>
      <c r="L1429" s="15">
        <v>361.05</v>
      </c>
      <c r="M1429" s="16">
        <v>361.05</v>
      </c>
    </row>
    <row r="1430" spans="1:13" s="5" customFormat="1" x14ac:dyDescent="0.25">
      <c r="A1430" s="12" t="s">
        <v>2767</v>
      </c>
      <c r="B1430" s="13" t="s">
        <v>2768</v>
      </c>
      <c r="C1430" s="14">
        <v>45089</v>
      </c>
      <c r="D1430" s="13">
        <v>2023</v>
      </c>
      <c r="E1430" s="13" t="s">
        <v>3347</v>
      </c>
      <c r="F1430" s="13" t="s">
        <v>34</v>
      </c>
      <c r="G1430" s="15">
        <v>1833.43</v>
      </c>
      <c r="H1430" s="15">
        <v>1833.43</v>
      </c>
      <c r="I1430" s="13">
        <v>3</v>
      </c>
      <c r="J1430" s="13">
        <v>3</v>
      </c>
      <c r="K1430" s="13" t="s">
        <v>35</v>
      </c>
      <c r="L1430" s="15">
        <v>611.14333333333332</v>
      </c>
      <c r="M1430" s="16">
        <v>611.14333333333332</v>
      </c>
    </row>
    <row r="1431" spans="1:13" s="5" customFormat="1" x14ac:dyDescent="0.25">
      <c r="A1431" s="12" t="s">
        <v>2769</v>
      </c>
      <c r="B1431" s="13" t="s">
        <v>2770</v>
      </c>
      <c r="C1431" s="14">
        <v>45876</v>
      </c>
      <c r="D1431" s="13">
        <v>2025</v>
      </c>
      <c r="E1431" s="13" t="s">
        <v>3347</v>
      </c>
      <c r="F1431" s="13" t="s">
        <v>34</v>
      </c>
      <c r="G1431" s="15">
        <v>1890.88</v>
      </c>
      <c r="H1431" s="15">
        <v>1890.88</v>
      </c>
      <c r="I1431" s="13">
        <v>9</v>
      </c>
      <c r="J1431" s="13">
        <v>9</v>
      </c>
      <c r="K1431" s="13" t="s">
        <v>15</v>
      </c>
      <c r="L1431" s="15">
        <v>210.09777777777779</v>
      </c>
      <c r="M1431" s="16">
        <v>210.09777777777779</v>
      </c>
    </row>
    <row r="1432" spans="1:13" s="5" customFormat="1" x14ac:dyDescent="0.25">
      <c r="A1432" s="12" t="s">
        <v>2771</v>
      </c>
      <c r="B1432" s="13" t="s">
        <v>2772</v>
      </c>
      <c r="C1432" s="14">
        <v>45652</v>
      </c>
      <c r="D1432" s="13">
        <v>2024</v>
      </c>
      <c r="E1432" s="13" t="s">
        <v>10</v>
      </c>
      <c r="F1432" s="13" t="s">
        <v>22</v>
      </c>
      <c r="G1432" s="15">
        <v>339.38333333333338</v>
      </c>
      <c r="H1432" s="15">
        <v>339.38333333333338</v>
      </c>
      <c r="I1432" s="13">
        <v>1</v>
      </c>
      <c r="J1432" s="13">
        <v>1</v>
      </c>
      <c r="K1432" s="13" t="s">
        <v>15</v>
      </c>
      <c r="L1432" s="15">
        <v>339.38333333333338</v>
      </c>
      <c r="M1432" s="16">
        <v>339.38333333333338</v>
      </c>
    </row>
    <row r="1433" spans="1:13" s="5" customFormat="1" x14ac:dyDescent="0.25">
      <c r="A1433" s="12" t="s">
        <v>2773</v>
      </c>
      <c r="B1433" s="13" t="s">
        <v>2774</v>
      </c>
      <c r="C1433" s="14">
        <v>45903</v>
      </c>
      <c r="D1433" s="13">
        <v>2025</v>
      </c>
      <c r="E1433" s="13" t="s">
        <v>14</v>
      </c>
      <c r="F1433" s="13" t="s">
        <v>22</v>
      </c>
      <c r="G1433" s="15">
        <v>1583.7057777777777</v>
      </c>
      <c r="H1433" s="15">
        <v>1583.7057777777777</v>
      </c>
      <c r="I1433" s="13">
        <v>8</v>
      </c>
      <c r="J1433" s="13">
        <v>8</v>
      </c>
      <c r="K1433" s="13" t="s">
        <v>35</v>
      </c>
      <c r="L1433" s="15">
        <v>197.96322222222221</v>
      </c>
      <c r="M1433" s="16">
        <v>197.96322222222221</v>
      </c>
    </row>
    <row r="1434" spans="1:13" s="5" customFormat="1" x14ac:dyDescent="0.25">
      <c r="A1434" s="12" t="s">
        <v>2775</v>
      </c>
      <c r="B1434" s="13" t="s">
        <v>2776</v>
      </c>
      <c r="C1434" s="14">
        <v>44912</v>
      </c>
      <c r="D1434" s="13">
        <v>2022</v>
      </c>
      <c r="E1434" s="13" t="s">
        <v>3347</v>
      </c>
      <c r="F1434" s="13" t="s">
        <v>11</v>
      </c>
      <c r="G1434" s="15">
        <v>391.08</v>
      </c>
      <c r="H1434" s="15">
        <v>391.08</v>
      </c>
      <c r="I1434" s="13">
        <v>2</v>
      </c>
      <c r="J1434" s="13">
        <v>2</v>
      </c>
      <c r="K1434" s="13" t="s">
        <v>3346</v>
      </c>
      <c r="L1434" s="15">
        <v>195.54</v>
      </c>
      <c r="M1434" s="16">
        <v>195.54</v>
      </c>
    </row>
    <row r="1435" spans="1:13" s="5" customFormat="1" x14ac:dyDescent="0.25">
      <c r="A1435" s="12" t="s">
        <v>2777</v>
      </c>
      <c r="B1435" s="13" t="s">
        <v>1302</v>
      </c>
      <c r="C1435" s="14">
        <v>45165</v>
      </c>
      <c r="D1435" s="13">
        <v>2023</v>
      </c>
      <c r="E1435" s="13" t="s">
        <v>10</v>
      </c>
      <c r="F1435" s="13" t="s">
        <v>22</v>
      </c>
      <c r="G1435" s="15">
        <v>1352.4805555555554</v>
      </c>
      <c r="H1435" s="15">
        <v>1352.4805555555554</v>
      </c>
      <c r="I1435" s="13">
        <v>8</v>
      </c>
      <c r="J1435" s="13">
        <v>8</v>
      </c>
      <c r="K1435" s="13" t="s">
        <v>35</v>
      </c>
      <c r="L1435" s="15">
        <v>169.06006944444442</v>
      </c>
      <c r="M1435" s="16">
        <v>169.06006944444442</v>
      </c>
    </row>
    <row r="1436" spans="1:13" s="5" customFormat="1" x14ac:dyDescent="0.25">
      <c r="A1436" s="12" t="s">
        <v>2778</v>
      </c>
      <c r="B1436" s="13" t="s">
        <v>2779</v>
      </c>
      <c r="C1436" s="14">
        <v>45691</v>
      </c>
      <c r="D1436" s="13">
        <v>2025</v>
      </c>
      <c r="E1436" s="13" t="s">
        <v>14</v>
      </c>
      <c r="F1436" s="13" t="s">
        <v>22</v>
      </c>
      <c r="G1436" s="15">
        <v>17.37</v>
      </c>
      <c r="H1436" s="15">
        <v>17.37</v>
      </c>
      <c r="I1436" s="13">
        <v>1</v>
      </c>
      <c r="J1436" s="13">
        <v>1</v>
      </c>
      <c r="K1436" s="13" t="s">
        <v>15</v>
      </c>
      <c r="L1436" s="15">
        <v>17.37</v>
      </c>
      <c r="M1436" s="16">
        <v>17.37</v>
      </c>
    </row>
    <row r="1437" spans="1:13" s="5" customFormat="1" x14ac:dyDescent="0.25">
      <c r="A1437" s="12" t="s">
        <v>2780</v>
      </c>
      <c r="B1437" s="13" t="s">
        <v>2781</v>
      </c>
      <c r="C1437" s="14">
        <v>45439</v>
      </c>
      <c r="D1437" s="13">
        <v>2024</v>
      </c>
      <c r="E1437" s="13" t="s">
        <v>3347</v>
      </c>
      <c r="F1437" s="13" t="s">
        <v>22</v>
      </c>
      <c r="G1437" s="15">
        <v>235.46</v>
      </c>
      <c r="H1437" s="15">
        <v>235.46</v>
      </c>
      <c r="I1437" s="13">
        <v>7</v>
      </c>
      <c r="J1437" s="13">
        <v>7</v>
      </c>
      <c r="K1437" s="13" t="s">
        <v>3346</v>
      </c>
      <c r="L1437" s="15">
        <v>33.637142857142855</v>
      </c>
      <c r="M1437" s="16">
        <v>33.637142857142855</v>
      </c>
    </row>
    <row r="1438" spans="1:13" s="5" customFormat="1" x14ac:dyDescent="0.25">
      <c r="A1438" s="12" t="s">
        <v>2782</v>
      </c>
      <c r="B1438" s="13" t="s">
        <v>2783</v>
      </c>
      <c r="C1438" s="14">
        <v>44954</v>
      </c>
      <c r="D1438" s="13">
        <v>2023</v>
      </c>
      <c r="E1438" s="13" t="s">
        <v>3347</v>
      </c>
      <c r="F1438" s="13" t="s">
        <v>34</v>
      </c>
      <c r="G1438" s="15">
        <v>1412.31</v>
      </c>
      <c r="H1438" s="15">
        <v>1412.31</v>
      </c>
      <c r="I1438" s="13">
        <v>7</v>
      </c>
      <c r="J1438" s="13">
        <v>7</v>
      </c>
      <c r="K1438" s="13" t="s">
        <v>15</v>
      </c>
      <c r="L1438" s="15">
        <v>201.75857142857143</v>
      </c>
      <c r="M1438" s="16">
        <v>201.75857142857143</v>
      </c>
    </row>
    <row r="1439" spans="1:13" s="5" customFormat="1" x14ac:dyDescent="0.25">
      <c r="A1439" s="12" t="s">
        <v>2784</v>
      </c>
      <c r="B1439" s="13" t="s">
        <v>2785</v>
      </c>
      <c r="C1439" s="14">
        <v>45529</v>
      </c>
      <c r="D1439" s="13">
        <v>2024</v>
      </c>
      <c r="E1439" s="13" t="s">
        <v>14</v>
      </c>
      <c r="F1439" s="13" t="s">
        <v>11</v>
      </c>
      <c r="G1439" s="15">
        <v>1264.5999999999999</v>
      </c>
      <c r="H1439" s="15">
        <v>1264.5999999999999</v>
      </c>
      <c r="I1439" s="13">
        <v>3</v>
      </c>
      <c r="J1439" s="13">
        <v>3</v>
      </c>
      <c r="K1439" s="13" t="s">
        <v>35</v>
      </c>
      <c r="L1439" s="15">
        <v>421.5333333333333</v>
      </c>
      <c r="M1439" s="16">
        <v>421.5333333333333</v>
      </c>
    </row>
    <row r="1440" spans="1:13" s="5" customFormat="1" x14ac:dyDescent="0.25">
      <c r="A1440" s="12" t="s">
        <v>2786</v>
      </c>
      <c r="B1440" s="13" t="s">
        <v>2545</v>
      </c>
      <c r="C1440" s="14">
        <v>45727</v>
      </c>
      <c r="D1440" s="13">
        <v>2025</v>
      </c>
      <c r="E1440" s="13" t="s">
        <v>14</v>
      </c>
      <c r="F1440" s="13" t="s">
        <v>22</v>
      </c>
      <c r="G1440" s="15">
        <v>896.25</v>
      </c>
      <c r="H1440" s="15">
        <v>896.25</v>
      </c>
      <c r="I1440" s="13">
        <v>4</v>
      </c>
      <c r="J1440" s="13">
        <v>4</v>
      </c>
      <c r="K1440" s="13" t="s">
        <v>3348</v>
      </c>
      <c r="L1440" s="15">
        <v>224.0625</v>
      </c>
      <c r="M1440" s="16">
        <v>224.0625</v>
      </c>
    </row>
    <row r="1441" spans="1:13" s="5" customFormat="1" x14ac:dyDescent="0.25">
      <c r="A1441" s="12" t="s">
        <v>2787</v>
      </c>
      <c r="B1441" s="13" t="s">
        <v>2788</v>
      </c>
      <c r="C1441" s="14">
        <v>45689</v>
      </c>
      <c r="D1441" s="13">
        <v>2025</v>
      </c>
      <c r="E1441" s="13" t="s">
        <v>21</v>
      </c>
      <c r="F1441" s="13" t="s">
        <v>34</v>
      </c>
      <c r="G1441" s="15">
        <v>61.87</v>
      </c>
      <c r="H1441" s="15">
        <v>61.87</v>
      </c>
      <c r="I1441" s="13">
        <v>8</v>
      </c>
      <c r="J1441" s="13">
        <v>8</v>
      </c>
      <c r="K1441" s="13" t="s">
        <v>3348</v>
      </c>
      <c r="L1441" s="15">
        <v>7.7337499999999997</v>
      </c>
      <c r="M1441" s="16">
        <v>7.7337499999999997</v>
      </c>
    </row>
    <row r="1442" spans="1:13" s="5" customFormat="1" x14ac:dyDescent="0.25">
      <c r="A1442" s="12" t="s">
        <v>2789</v>
      </c>
      <c r="B1442" s="13" t="s">
        <v>2790</v>
      </c>
      <c r="C1442" s="14">
        <v>45767</v>
      </c>
      <c r="D1442" s="13">
        <v>2025</v>
      </c>
      <c r="E1442" s="13" t="s">
        <v>14</v>
      </c>
      <c r="F1442" s="13" t="s">
        <v>34</v>
      </c>
      <c r="G1442" s="15">
        <v>1942.74</v>
      </c>
      <c r="H1442" s="15">
        <v>1942.74</v>
      </c>
      <c r="I1442" s="13">
        <v>4</v>
      </c>
      <c r="J1442" s="13">
        <v>4</v>
      </c>
      <c r="K1442" s="13" t="s">
        <v>3348</v>
      </c>
      <c r="L1442" s="15">
        <v>485.685</v>
      </c>
      <c r="M1442" s="16">
        <v>457.93064814814807</v>
      </c>
    </row>
    <row r="1443" spans="1:13" s="5" customFormat="1" x14ac:dyDescent="0.25">
      <c r="A1443" s="12" t="s">
        <v>2791</v>
      </c>
      <c r="B1443" s="13" t="s">
        <v>2792</v>
      </c>
      <c r="C1443" s="14">
        <v>45543</v>
      </c>
      <c r="D1443" s="13">
        <v>2024</v>
      </c>
      <c r="E1443" s="13" t="s">
        <v>3347</v>
      </c>
      <c r="F1443" s="13" t="s">
        <v>22</v>
      </c>
      <c r="G1443" s="15">
        <v>787.82</v>
      </c>
      <c r="H1443" s="15">
        <v>787.82</v>
      </c>
      <c r="I1443" s="13">
        <v>7</v>
      </c>
      <c r="J1443" s="13">
        <v>7</v>
      </c>
      <c r="K1443" s="13" t="s">
        <v>3346</v>
      </c>
      <c r="L1443" s="15">
        <v>112.5457142857143</v>
      </c>
      <c r="M1443" s="16">
        <v>112.5457142857143</v>
      </c>
    </row>
    <row r="1444" spans="1:13" s="5" customFormat="1" x14ac:dyDescent="0.25">
      <c r="A1444" s="12" t="s">
        <v>2793</v>
      </c>
      <c r="B1444" s="13" t="s">
        <v>2794</v>
      </c>
      <c r="C1444" s="14">
        <v>45412</v>
      </c>
      <c r="D1444" s="13">
        <v>2024</v>
      </c>
      <c r="E1444" s="13" t="s">
        <v>3347</v>
      </c>
      <c r="F1444" s="13" t="s">
        <v>22</v>
      </c>
      <c r="G1444" s="15">
        <v>488.2</v>
      </c>
      <c r="H1444" s="15">
        <v>488.2</v>
      </c>
      <c r="I1444" s="13">
        <v>9</v>
      </c>
      <c r="J1444" s="13">
        <v>9</v>
      </c>
      <c r="K1444" s="13" t="s">
        <v>18</v>
      </c>
      <c r="L1444" s="15">
        <v>54.24444444444444</v>
      </c>
      <c r="M1444" s="16">
        <v>54.24444444444444</v>
      </c>
    </row>
    <row r="1445" spans="1:13" s="5" customFormat="1" x14ac:dyDescent="0.25">
      <c r="A1445" s="12" t="s">
        <v>2795</v>
      </c>
      <c r="B1445" s="13" t="s">
        <v>2796</v>
      </c>
      <c r="C1445" s="14">
        <v>45601</v>
      </c>
      <c r="D1445" s="13">
        <v>2024</v>
      </c>
      <c r="E1445" s="13" t="s">
        <v>14</v>
      </c>
      <c r="F1445" s="13" t="s">
        <v>22</v>
      </c>
      <c r="G1445" s="15">
        <v>830.90997321428574</v>
      </c>
      <c r="H1445" s="15">
        <v>830.90997321428574</v>
      </c>
      <c r="I1445" s="13">
        <v>6</v>
      </c>
      <c r="J1445" s="13">
        <v>6</v>
      </c>
      <c r="K1445" s="13" t="s">
        <v>3346</v>
      </c>
      <c r="L1445" s="15">
        <v>138.48499553571429</v>
      </c>
      <c r="M1445" s="16">
        <v>138.48499553571429</v>
      </c>
    </row>
    <row r="1446" spans="1:13" s="5" customFormat="1" x14ac:dyDescent="0.25">
      <c r="A1446" s="12" t="s">
        <v>2797</v>
      </c>
      <c r="B1446" s="13" t="s">
        <v>2798</v>
      </c>
      <c r="C1446" s="14">
        <v>45276</v>
      </c>
      <c r="D1446" s="13">
        <v>2023</v>
      </c>
      <c r="E1446" s="13" t="s">
        <v>10</v>
      </c>
      <c r="F1446" s="13" t="s">
        <v>25</v>
      </c>
      <c r="G1446" s="15">
        <v>1204.3699999999999</v>
      </c>
      <c r="H1446" s="15">
        <v>1204.3699999999999</v>
      </c>
      <c r="I1446" s="13">
        <v>9</v>
      </c>
      <c r="J1446" s="13">
        <v>9</v>
      </c>
      <c r="K1446" s="13" t="s">
        <v>3346</v>
      </c>
      <c r="L1446" s="15">
        <v>133.81888888888886</v>
      </c>
      <c r="M1446" s="16">
        <v>131.3463630952381</v>
      </c>
    </row>
    <row r="1447" spans="1:13" s="5" customFormat="1" x14ac:dyDescent="0.25">
      <c r="A1447" s="12" t="s">
        <v>2799</v>
      </c>
      <c r="B1447" s="13" t="s">
        <v>2800</v>
      </c>
      <c r="C1447" s="14">
        <v>45217</v>
      </c>
      <c r="D1447" s="13">
        <v>2023</v>
      </c>
      <c r="E1447" s="13" t="s">
        <v>10</v>
      </c>
      <c r="F1447" s="13" t="s">
        <v>22</v>
      </c>
      <c r="G1447" s="15">
        <v>380.7</v>
      </c>
      <c r="H1447" s="15">
        <v>380.7</v>
      </c>
      <c r="I1447" s="13">
        <v>8</v>
      </c>
      <c r="J1447" s="13">
        <v>8</v>
      </c>
      <c r="K1447" s="13" t="s">
        <v>18</v>
      </c>
      <c r="L1447" s="15">
        <v>47.587499999999999</v>
      </c>
      <c r="M1447" s="16">
        <v>47.587499999999999</v>
      </c>
    </row>
    <row r="1448" spans="1:13" s="5" customFormat="1" x14ac:dyDescent="0.25">
      <c r="A1448" s="12" t="s">
        <v>2801</v>
      </c>
      <c r="B1448" s="13" t="s">
        <v>2802</v>
      </c>
      <c r="C1448" s="14">
        <v>45813</v>
      </c>
      <c r="D1448" s="13">
        <v>2025</v>
      </c>
      <c r="E1448" s="13" t="s">
        <v>14</v>
      </c>
      <c r="F1448" s="13" t="s">
        <v>22</v>
      </c>
      <c r="G1448" s="15">
        <v>1979.632222222222</v>
      </c>
      <c r="H1448" s="15">
        <v>1979.632222222222</v>
      </c>
      <c r="I1448" s="13">
        <v>10</v>
      </c>
      <c r="J1448" s="13">
        <v>10</v>
      </c>
      <c r="K1448" s="13" t="s">
        <v>35</v>
      </c>
      <c r="L1448" s="15">
        <v>197.96322222222221</v>
      </c>
      <c r="M1448" s="16">
        <v>197.96322222222221</v>
      </c>
    </row>
    <row r="1449" spans="1:13" s="5" customFormat="1" x14ac:dyDescent="0.25">
      <c r="A1449" s="12" t="s">
        <v>2803</v>
      </c>
      <c r="B1449" s="13" t="s">
        <v>2804</v>
      </c>
      <c r="C1449" s="14">
        <v>45652</v>
      </c>
      <c r="D1449" s="13">
        <v>2024</v>
      </c>
      <c r="E1449" s="13" t="s">
        <v>3347</v>
      </c>
      <c r="F1449" s="13" t="s">
        <v>22</v>
      </c>
      <c r="G1449" s="15">
        <v>1965.04</v>
      </c>
      <c r="H1449" s="15">
        <v>1965.04</v>
      </c>
      <c r="I1449" s="13">
        <v>9</v>
      </c>
      <c r="J1449" s="13">
        <v>9</v>
      </c>
      <c r="K1449" s="13" t="s">
        <v>3348</v>
      </c>
      <c r="L1449" s="15">
        <v>218.33777777777777</v>
      </c>
      <c r="M1449" s="16">
        <v>218.33777777777777</v>
      </c>
    </row>
    <row r="1450" spans="1:13" s="5" customFormat="1" x14ac:dyDescent="0.25">
      <c r="A1450" s="12" t="s">
        <v>2805</v>
      </c>
      <c r="B1450" s="13" t="s">
        <v>706</v>
      </c>
      <c r="C1450" s="14">
        <v>45651</v>
      </c>
      <c r="D1450" s="13">
        <v>2024</v>
      </c>
      <c r="E1450" s="13" t="s">
        <v>21</v>
      </c>
      <c r="F1450" s="13" t="s">
        <v>34</v>
      </c>
      <c r="G1450" s="15">
        <v>1799.96</v>
      </c>
      <c r="H1450" s="15">
        <v>1799.96</v>
      </c>
      <c r="I1450" s="13">
        <v>1</v>
      </c>
      <c r="J1450" s="13">
        <v>1</v>
      </c>
      <c r="K1450" s="13" t="s">
        <v>3346</v>
      </c>
      <c r="L1450" s="15">
        <v>1799.96</v>
      </c>
      <c r="M1450" s="16">
        <v>1799.96</v>
      </c>
    </row>
    <row r="1451" spans="1:13" s="5" customFormat="1" x14ac:dyDescent="0.25">
      <c r="A1451" s="12" t="s">
        <v>2806</v>
      </c>
      <c r="B1451" s="13" t="s">
        <v>2807</v>
      </c>
      <c r="C1451" s="14">
        <v>45155</v>
      </c>
      <c r="D1451" s="13">
        <v>2023</v>
      </c>
      <c r="E1451" s="13" t="s">
        <v>10</v>
      </c>
      <c r="F1451" s="13" t="s">
        <v>34</v>
      </c>
      <c r="G1451" s="15">
        <v>1849.62</v>
      </c>
      <c r="H1451" s="15">
        <v>1849.62</v>
      </c>
      <c r="I1451" s="13">
        <v>7</v>
      </c>
      <c r="J1451" s="13">
        <v>7</v>
      </c>
      <c r="K1451" s="13" t="s">
        <v>35</v>
      </c>
      <c r="L1451" s="15">
        <v>264.23142857142858</v>
      </c>
      <c r="M1451" s="16">
        <v>264.23142857142858</v>
      </c>
    </row>
    <row r="1452" spans="1:13" s="5" customFormat="1" x14ac:dyDescent="0.25">
      <c r="A1452" s="12" t="s">
        <v>2808</v>
      </c>
      <c r="B1452" s="13" t="s">
        <v>2809</v>
      </c>
      <c r="C1452" s="14">
        <v>45640</v>
      </c>
      <c r="D1452" s="13">
        <v>2024</v>
      </c>
      <c r="E1452" s="13" t="s">
        <v>3347</v>
      </c>
      <c r="F1452" s="13" t="s">
        <v>34</v>
      </c>
      <c r="G1452" s="15">
        <v>830.06</v>
      </c>
      <c r="H1452" s="15">
        <v>830.06</v>
      </c>
      <c r="I1452" s="13">
        <v>2</v>
      </c>
      <c r="J1452" s="13">
        <v>2</v>
      </c>
      <c r="K1452" s="13" t="s">
        <v>35</v>
      </c>
      <c r="L1452" s="15">
        <v>415.03</v>
      </c>
      <c r="M1452" s="16">
        <v>415.03</v>
      </c>
    </row>
    <row r="1453" spans="1:13" s="5" customFormat="1" x14ac:dyDescent="0.25">
      <c r="A1453" s="12" t="s">
        <v>2810</v>
      </c>
      <c r="B1453" s="13" t="s">
        <v>2811</v>
      </c>
      <c r="C1453" s="14">
        <v>45699</v>
      </c>
      <c r="D1453" s="13">
        <v>2025</v>
      </c>
      <c r="E1453" s="13" t="s">
        <v>3347</v>
      </c>
      <c r="F1453" s="13" t="s">
        <v>25</v>
      </c>
      <c r="G1453" s="15">
        <v>260.86</v>
      </c>
      <c r="H1453" s="15">
        <v>260.86</v>
      </c>
      <c r="I1453" s="13">
        <v>5</v>
      </c>
      <c r="J1453" s="13">
        <v>5</v>
      </c>
      <c r="K1453" s="13" t="s">
        <v>35</v>
      </c>
      <c r="L1453" s="15">
        <v>52.172000000000004</v>
      </c>
      <c r="M1453" s="16">
        <v>52.172000000000004</v>
      </c>
    </row>
    <row r="1454" spans="1:13" s="5" customFormat="1" x14ac:dyDescent="0.25">
      <c r="A1454" s="12" t="s">
        <v>2812</v>
      </c>
      <c r="B1454" s="13" t="s">
        <v>2813</v>
      </c>
      <c r="C1454" s="14">
        <v>45496</v>
      </c>
      <c r="D1454" s="13">
        <v>2024</v>
      </c>
      <c r="E1454" s="13" t="s">
        <v>14</v>
      </c>
      <c r="F1454" s="13" t="s">
        <v>34</v>
      </c>
      <c r="G1454" s="15">
        <v>626.86</v>
      </c>
      <c r="H1454" s="15">
        <v>626.86</v>
      </c>
      <c r="I1454" s="13">
        <v>3</v>
      </c>
      <c r="J1454" s="13">
        <v>3</v>
      </c>
      <c r="K1454" s="13" t="s">
        <v>3348</v>
      </c>
      <c r="L1454" s="15">
        <v>208.95333333333335</v>
      </c>
      <c r="M1454" s="16">
        <v>208.95333333333335</v>
      </c>
    </row>
    <row r="1455" spans="1:13" s="5" customFormat="1" x14ac:dyDescent="0.25">
      <c r="A1455" s="12" t="s">
        <v>2814</v>
      </c>
      <c r="B1455" s="13" t="s">
        <v>2815</v>
      </c>
      <c r="C1455" s="14">
        <v>45586</v>
      </c>
      <c r="D1455" s="13">
        <v>2024</v>
      </c>
      <c r="E1455" s="13" t="s">
        <v>3347</v>
      </c>
      <c r="F1455" s="13" t="s">
        <v>25</v>
      </c>
      <c r="G1455" s="15">
        <v>1049.51</v>
      </c>
      <c r="H1455" s="15">
        <v>1049.51</v>
      </c>
      <c r="I1455" s="13">
        <v>2</v>
      </c>
      <c r="J1455" s="13">
        <v>2</v>
      </c>
      <c r="K1455" s="13" t="s">
        <v>3348</v>
      </c>
      <c r="L1455" s="15">
        <v>524.755</v>
      </c>
      <c r="M1455" s="16">
        <v>524.755</v>
      </c>
    </row>
    <row r="1456" spans="1:13" s="5" customFormat="1" x14ac:dyDescent="0.25">
      <c r="A1456" s="12" t="s">
        <v>2816</v>
      </c>
      <c r="B1456" s="13" t="s">
        <v>2817</v>
      </c>
      <c r="C1456" s="14">
        <v>45772</v>
      </c>
      <c r="D1456" s="13">
        <v>2025</v>
      </c>
      <c r="E1456" s="13" t="s">
        <v>3347</v>
      </c>
      <c r="F1456" s="13" t="s">
        <v>22</v>
      </c>
      <c r="G1456" s="15">
        <v>110.75</v>
      </c>
      <c r="H1456" s="15">
        <v>110.75</v>
      </c>
      <c r="I1456" s="13">
        <v>4</v>
      </c>
      <c r="J1456" s="13">
        <v>4</v>
      </c>
      <c r="K1456" s="13" t="s">
        <v>3346</v>
      </c>
      <c r="L1456" s="15">
        <v>27.6875</v>
      </c>
      <c r="M1456" s="16">
        <v>27.6875</v>
      </c>
    </row>
    <row r="1457" spans="1:13" s="5" customFormat="1" x14ac:dyDescent="0.25">
      <c r="A1457" s="12" t="s">
        <v>2818</v>
      </c>
      <c r="B1457" s="13" t="s">
        <v>1236</v>
      </c>
      <c r="C1457" s="14">
        <v>45045</v>
      </c>
      <c r="D1457" s="13">
        <v>2023</v>
      </c>
      <c r="E1457" s="13" t="s">
        <v>10</v>
      </c>
      <c r="F1457" s="13" t="s">
        <v>34</v>
      </c>
      <c r="G1457" s="15">
        <v>541.17999999999995</v>
      </c>
      <c r="H1457" s="15">
        <v>541.17999999999995</v>
      </c>
      <c r="I1457" s="13">
        <v>9</v>
      </c>
      <c r="J1457" s="13">
        <v>9</v>
      </c>
      <c r="K1457" s="13" t="s">
        <v>18</v>
      </c>
      <c r="L1457" s="15">
        <v>60.131111111111103</v>
      </c>
      <c r="M1457" s="16">
        <v>60.131111111111103</v>
      </c>
    </row>
    <row r="1458" spans="1:13" s="5" customFormat="1" x14ac:dyDescent="0.25">
      <c r="A1458" s="12" t="s">
        <v>2819</v>
      </c>
      <c r="B1458" s="13" t="s">
        <v>2820</v>
      </c>
      <c r="C1458" s="14">
        <v>44866</v>
      </c>
      <c r="D1458" s="13">
        <v>2022</v>
      </c>
      <c r="E1458" s="13" t="s">
        <v>14</v>
      </c>
      <c r="F1458" s="13" t="s">
        <v>25</v>
      </c>
      <c r="G1458" s="15">
        <v>180.15</v>
      </c>
      <c r="H1458" s="15">
        <v>180.15</v>
      </c>
      <c r="I1458" s="13">
        <v>7</v>
      </c>
      <c r="J1458" s="13">
        <v>7</v>
      </c>
      <c r="K1458" s="13" t="s">
        <v>3346</v>
      </c>
      <c r="L1458" s="15">
        <v>25.735714285714288</v>
      </c>
      <c r="M1458" s="16">
        <v>25.735714285714288</v>
      </c>
    </row>
    <row r="1459" spans="1:13" s="5" customFormat="1" x14ac:dyDescent="0.25">
      <c r="A1459" s="12" t="s">
        <v>2821</v>
      </c>
      <c r="B1459" s="13" t="s">
        <v>2822</v>
      </c>
      <c r="C1459" s="14">
        <v>45116</v>
      </c>
      <c r="D1459" s="13">
        <v>2023</v>
      </c>
      <c r="E1459" s="13" t="s">
        <v>14</v>
      </c>
      <c r="F1459" s="13" t="s">
        <v>34</v>
      </c>
      <c r="G1459" s="15">
        <v>315.65933080808082</v>
      </c>
      <c r="H1459" s="15">
        <v>315.65933080808082</v>
      </c>
      <c r="I1459" s="13">
        <v>1</v>
      </c>
      <c r="J1459" s="13">
        <v>1</v>
      </c>
      <c r="K1459" s="13" t="s">
        <v>18</v>
      </c>
      <c r="L1459" s="15">
        <v>315.65933080808082</v>
      </c>
      <c r="M1459" s="16">
        <v>315.65933080808082</v>
      </c>
    </row>
    <row r="1460" spans="1:13" s="5" customFormat="1" x14ac:dyDescent="0.25">
      <c r="A1460" s="12" t="s">
        <v>2823</v>
      </c>
      <c r="B1460" s="13" t="s">
        <v>2824</v>
      </c>
      <c r="C1460" s="14">
        <v>45580</v>
      </c>
      <c r="D1460" s="13">
        <v>2024</v>
      </c>
      <c r="E1460" s="13" t="s">
        <v>10</v>
      </c>
      <c r="F1460" s="13" t="s">
        <v>34</v>
      </c>
      <c r="G1460" s="15">
        <v>1690.84</v>
      </c>
      <c r="H1460" s="15">
        <v>1690.84</v>
      </c>
      <c r="I1460" s="13">
        <v>3</v>
      </c>
      <c r="J1460" s="13">
        <v>3</v>
      </c>
      <c r="K1460" s="13" t="s">
        <v>35</v>
      </c>
      <c r="L1460" s="15">
        <v>563.61333333333334</v>
      </c>
      <c r="M1460" s="16">
        <v>563.61333333333334</v>
      </c>
    </row>
    <row r="1461" spans="1:13" s="5" customFormat="1" x14ac:dyDescent="0.25">
      <c r="A1461" s="12" t="s">
        <v>2825</v>
      </c>
      <c r="B1461" s="13" t="s">
        <v>2826</v>
      </c>
      <c r="C1461" s="14">
        <v>45276</v>
      </c>
      <c r="D1461" s="13">
        <v>2023</v>
      </c>
      <c r="E1461" s="13" t="s">
        <v>10</v>
      </c>
      <c r="F1461" s="13" t="s">
        <v>34</v>
      </c>
      <c r="G1461" s="15">
        <v>1047.28</v>
      </c>
      <c r="H1461" s="15">
        <v>1047.28</v>
      </c>
      <c r="I1461" s="13">
        <v>5</v>
      </c>
      <c r="J1461" s="13">
        <v>5</v>
      </c>
      <c r="K1461" s="13" t="s">
        <v>35</v>
      </c>
      <c r="L1461" s="15">
        <v>209.45599999999999</v>
      </c>
      <c r="M1461" s="16">
        <v>209.45599999999999</v>
      </c>
    </row>
    <row r="1462" spans="1:13" s="5" customFormat="1" x14ac:dyDescent="0.25">
      <c r="A1462" s="12" t="s">
        <v>2827</v>
      </c>
      <c r="B1462" s="13" t="s">
        <v>2828</v>
      </c>
      <c r="C1462" s="14">
        <v>45103</v>
      </c>
      <c r="D1462" s="13">
        <v>2023</v>
      </c>
      <c r="E1462" s="13" t="s">
        <v>14</v>
      </c>
      <c r="F1462" s="13" t="s">
        <v>34</v>
      </c>
      <c r="G1462" s="15">
        <v>1572.8716041666667</v>
      </c>
      <c r="H1462" s="15">
        <v>1572.8716041666667</v>
      </c>
      <c r="I1462" s="13">
        <v>3</v>
      </c>
      <c r="J1462" s="13">
        <v>3</v>
      </c>
      <c r="K1462" s="13" t="s">
        <v>35</v>
      </c>
      <c r="L1462" s="15">
        <v>524.29053472222222</v>
      </c>
      <c r="M1462" s="16">
        <v>524.29053472222222</v>
      </c>
    </row>
    <row r="1463" spans="1:13" s="5" customFormat="1" x14ac:dyDescent="0.25">
      <c r="A1463" s="12" t="s">
        <v>2829</v>
      </c>
      <c r="B1463" s="13" t="s">
        <v>2830</v>
      </c>
      <c r="C1463" s="14">
        <v>45416</v>
      </c>
      <c r="D1463" s="13">
        <v>2024</v>
      </c>
      <c r="E1463" s="13" t="s">
        <v>14</v>
      </c>
      <c r="F1463" s="13" t="s">
        <v>22</v>
      </c>
      <c r="G1463" s="15">
        <v>1765.17</v>
      </c>
      <c r="H1463" s="15">
        <v>1765.17</v>
      </c>
      <c r="I1463" s="13">
        <v>6</v>
      </c>
      <c r="J1463" s="13">
        <v>6</v>
      </c>
      <c r="K1463" s="13" t="s">
        <v>3346</v>
      </c>
      <c r="L1463" s="15">
        <v>294.19499999999999</v>
      </c>
      <c r="M1463" s="16">
        <v>294.19499999999999</v>
      </c>
    </row>
    <row r="1464" spans="1:13" s="5" customFormat="1" x14ac:dyDescent="0.25">
      <c r="A1464" s="12" t="s">
        <v>2831</v>
      </c>
      <c r="B1464" s="13" t="s">
        <v>1619</v>
      </c>
      <c r="C1464" s="14">
        <v>45615</v>
      </c>
      <c r="D1464" s="13">
        <v>2024</v>
      </c>
      <c r="E1464" s="13" t="s">
        <v>14</v>
      </c>
      <c r="F1464" s="13" t="s">
        <v>34</v>
      </c>
      <c r="G1464" s="15">
        <v>170.63</v>
      </c>
      <c r="H1464" s="15">
        <v>170.63</v>
      </c>
      <c r="I1464" s="13">
        <v>10</v>
      </c>
      <c r="J1464" s="13">
        <v>10</v>
      </c>
      <c r="K1464" s="13" t="s">
        <v>35</v>
      </c>
      <c r="L1464" s="15">
        <v>17.062999999999999</v>
      </c>
      <c r="M1464" s="16">
        <v>17.062999999999999</v>
      </c>
    </row>
    <row r="1465" spans="1:13" s="5" customFormat="1" x14ac:dyDescent="0.25">
      <c r="A1465" s="12" t="s">
        <v>2832</v>
      </c>
      <c r="B1465" s="13" t="s">
        <v>2833</v>
      </c>
      <c r="C1465" s="14">
        <v>44942</v>
      </c>
      <c r="D1465" s="13">
        <v>2023</v>
      </c>
      <c r="E1465" s="13" t="s">
        <v>3347</v>
      </c>
      <c r="F1465" s="13" t="s">
        <v>22</v>
      </c>
      <c r="G1465" s="15">
        <v>1685.66</v>
      </c>
      <c r="H1465" s="15">
        <v>1685.66</v>
      </c>
      <c r="I1465" s="13">
        <v>6</v>
      </c>
      <c r="J1465" s="13">
        <v>6</v>
      </c>
      <c r="K1465" s="13" t="s">
        <v>18</v>
      </c>
      <c r="L1465" s="15">
        <v>280.94333333333333</v>
      </c>
      <c r="M1465" s="16">
        <v>280.94333333333333</v>
      </c>
    </row>
    <row r="1466" spans="1:13" s="5" customFormat="1" x14ac:dyDescent="0.25">
      <c r="A1466" s="12" t="s">
        <v>2834</v>
      </c>
      <c r="B1466" s="13" t="s">
        <v>2835</v>
      </c>
      <c r="C1466" s="14">
        <v>45428</v>
      </c>
      <c r="D1466" s="13">
        <v>2024</v>
      </c>
      <c r="E1466" s="13" t="s">
        <v>21</v>
      </c>
      <c r="F1466" s="13" t="s">
        <v>22</v>
      </c>
      <c r="G1466" s="15">
        <v>1571.1</v>
      </c>
      <c r="H1466" s="15">
        <v>1571.1</v>
      </c>
      <c r="I1466" s="13">
        <v>10</v>
      </c>
      <c r="J1466" s="13">
        <v>10</v>
      </c>
      <c r="K1466" s="13" t="s">
        <v>3346</v>
      </c>
      <c r="L1466" s="15">
        <v>157.10999999999999</v>
      </c>
      <c r="M1466" s="16">
        <v>157.10999999999999</v>
      </c>
    </row>
    <row r="1467" spans="1:13" s="5" customFormat="1" x14ac:dyDescent="0.25">
      <c r="A1467" s="12" t="s">
        <v>2836</v>
      </c>
      <c r="B1467" s="13" t="s">
        <v>2837</v>
      </c>
      <c r="C1467" s="14">
        <v>45803</v>
      </c>
      <c r="D1467" s="13">
        <v>2025</v>
      </c>
      <c r="E1467" s="13" t="s">
        <v>3347</v>
      </c>
      <c r="F1467" s="13" t="s">
        <v>22</v>
      </c>
      <c r="G1467" s="15">
        <v>1478.36</v>
      </c>
      <c r="H1467" s="15">
        <v>1478.36</v>
      </c>
      <c r="I1467" s="13">
        <v>1</v>
      </c>
      <c r="J1467" s="13">
        <v>1</v>
      </c>
      <c r="K1467" s="13" t="s">
        <v>35</v>
      </c>
      <c r="L1467" s="15">
        <v>1478.36</v>
      </c>
      <c r="M1467" s="16">
        <v>1470.11</v>
      </c>
    </row>
    <row r="1468" spans="1:13" s="5" customFormat="1" x14ac:dyDescent="0.25">
      <c r="A1468" s="12" t="s">
        <v>2838</v>
      </c>
      <c r="B1468" s="13" t="s">
        <v>2839</v>
      </c>
      <c r="C1468" s="14">
        <v>45877</v>
      </c>
      <c r="D1468" s="13">
        <v>2025</v>
      </c>
      <c r="E1468" s="13" t="s">
        <v>3347</v>
      </c>
      <c r="F1468" s="13" t="s">
        <v>22</v>
      </c>
      <c r="G1468" s="15">
        <v>80.62</v>
      </c>
      <c r="H1468" s="15">
        <v>80.62</v>
      </c>
      <c r="I1468" s="13">
        <v>6</v>
      </c>
      <c r="J1468" s="13">
        <v>6</v>
      </c>
      <c r="K1468" s="13" t="s">
        <v>15</v>
      </c>
      <c r="L1468" s="15">
        <v>13.436666666666667</v>
      </c>
      <c r="M1468" s="16">
        <v>13.436666666666667</v>
      </c>
    </row>
    <row r="1469" spans="1:13" s="5" customFormat="1" x14ac:dyDescent="0.25">
      <c r="A1469" s="12" t="s">
        <v>2840</v>
      </c>
      <c r="B1469" s="13" t="s">
        <v>2841</v>
      </c>
      <c r="C1469" s="14">
        <v>45844</v>
      </c>
      <c r="D1469" s="13">
        <v>2025</v>
      </c>
      <c r="E1469" s="13" t="s">
        <v>10</v>
      </c>
      <c r="F1469" s="13" t="s">
        <v>25</v>
      </c>
      <c r="G1469" s="15">
        <v>191.32</v>
      </c>
      <c r="H1469" s="15">
        <v>191.32</v>
      </c>
      <c r="I1469" s="13">
        <v>5</v>
      </c>
      <c r="J1469" s="13">
        <v>5</v>
      </c>
      <c r="K1469" s="13" t="s">
        <v>3348</v>
      </c>
      <c r="L1469" s="15">
        <v>38.263999999999996</v>
      </c>
      <c r="M1469" s="16">
        <v>38.263999999999996</v>
      </c>
    </row>
    <row r="1470" spans="1:13" s="5" customFormat="1" x14ac:dyDescent="0.25">
      <c r="A1470" s="12" t="s">
        <v>2842</v>
      </c>
      <c r="B1470" s="13" t="s">
        <v>2843</v>
      </c>
      <c r="C1470" s="14">
        <v>44993</v>
      </c>
      <c r="D1470" s="13">
        <v>2023</v>
      </c>
      <c r="E1470" s="13" t="s">
        <v>14</v>
      </c>
      <c r="F1470" s="13" t="s">
        <v>34</v>
      </c>
      <c r="G1470" s="15">
        <v>1534.5</v>
      </c>
      <c r="H1470" s="15">
        <v>1534.5</v>
      </c>
      <c r="I1470" s="13">
        <v>4</v>
      </c>
      <c r="J1470" s="13">
        <v>4</v>
      </c>
      <c r="K1470" s="13" t="s">
        <v>18</v>
      </c>
      <c r="L1470" s="15">
        <v>383.625</v>
      </c>
      <c r="M1470" s="16">
        <v>383.625</v>
      </c>
    </row>
    <row r="1471" spans="1:13" s="5" customFormat="1" x14ac:dyDescent="0.25">
      <c r="A1471" s="12" t="s">
        <v>2844</v>
      </c>
      <c r="B1471" s="13" t="s">
        <v>2845</v>
      </c>
      <c r="C1471" s="14">
        <v>45882</v>
      </c>
      <c r="D1471" s="13">
        <v>2025</v>
      </c>
      <c r="E1471" s="13" t="s">
        <v>10</v>
      </c>
      <c r="F1471" s="13" t="s">
        <v>11</v>
      </c>
      <c r="G1471" s="15">
        <v>1852.5</v>
      </c>
      <c r="H1471" s="15">
        <v>1852.5</v>
      </c>
      <c r="I1471" s="13">
        <v>9</v>
      </c>
      <c r="J1471" s="13">
        <v>9</v>
      </c>
      <c r="K1471" s="13" t="s">
        <v>35</v>
      </c>
      <c r="L1471" s="15">
        <v>205.83333333333334</v>
      </c>
      <c r="M1471" s="16">
        <v>205.83333333333334</v>
      </c>
    </row>
    <row r="1472" spans="1:13" s="5" customFormat="1" x14ac:dyDescent="0.25">
      <c r="A1472" s="12" t="s">
        <v>2846</v>
      </c>
      <c r="B1472" s="13" t="s">
        <v>2847</v>
      </c>
      <c r="C1472" s="14">
        <v>45217</v>
      </c>
      <c r="D1472" s="13">
        <v>2023</v>
      </c>
      <c r="E1472" s="13" t="s">
        <v>14</v>
      </c>
      <c r="F1472" s="13" t="s">
        <v>22</v>
      </c>
      <c r="G1472" s="15">
        <v>187.37</v>
      </c>
      <c r="H1472" s="15">
        <v>187.37</v>
      </c>
      <c r="I1472" s="13">
        <v>10</v>
      </c>
      <c r="J1472" s="13">
        <v>10</v>
      </c>
      <c r="K1472" s="13" t="s">
        <v>35</v>
      </c>
      <c r="L1472" s="15">
        <v>18.737000000000002</v>
      </c>
      <c r="M1472" s="16">
        <v>18.737000000000002</v>
      </c>
    </row>
    <row r="1473" spans="1:13" s="5" customFormat="1" x14ac:dyDescent="0.25">
      <c r="A1473" s="12" t="s">
        <v>2848</v>
      </c>
      <c r="B1473" s="13" t="s">
        <v>2849</v>
      </c>
      <c r="C1473" s="14">
        <v>45833</v>
      </c>
      <c r="D1473" s="13">
        <v>2025</v>
      </c>
      <c r="E1473" s="13" t="s">
        <v>21</v>
      </c>
      <c r="F1473" s="13" t="s">
        <v>11</v>
      </c>
      <c r="G1473" s="15">
        <v>408.6275</v>
      </c>
      <c r="H1473" s="15">
        <v>408.6275</v>
      </c>
      <c r="I1473" s="13">
        <v>1</v>
      </c>
      <c r="J1473" s="13">
        <v>1</v>
      </c>
      <c r="K1473" s="13" t="s">
        <v>3348</v>
      </c>
      <c r="L1473" s="15">
        <v>408.6275</v>
      </c>
      <c r="M1473" s="16">
        <v>408.6275</v>
      </c>
    </row>
    <row r="1474" spans="1:13" s="5" customFormat="1" x14ac:dyDescent="0.25">
      <c r="A1474" s="12" t="s">
        <v>2850</v>
      </c>
      <c r="B1474" s="13" t="s">
        <v>2851</v>
      </c>
      <c r="C1474" s="14">
        <v>45002</v>
      </c>
      <c r="D1474" s="13">
        <v>2023</v>
      </c>
      <c r="E1474" s="13" t="s">
        <v>10</v>
      </c>
      <c r="F1474" s="13" t="s">
        <v>34</v>
      </c>
      <c r="G1474" s="15">
        <v>1464.910875</v>
      </c>
      <c r="H1474" s="15">
        <v>1464.910875</v>
      </c>
      <c r="I1474" s="13">
        <v>9</v>
      </c>
      <c r="J1474" s="13">
        <v>9</v>
      </c>
      <c r="K1474" s="13" t="s">
        <v>15</v>
      </c>
      <c r="L1474" s="15">
        <v>162.767875</v>
      </c>
      <c r="M1474" s="16">
        <v>162.767875</v>
      </c>
    </row>
    <row r="1475" spans="1:13" s="5" customFormat="1" x14ac:dyDescent="0.25">
      <c r="A1475" s="12" t="s">
        <v>2852</v>
      </c>
      <c r="B1475" s="13" t="s">
        <v>2853</v>
      </c>
      <c r="C1475" s="14">
        <v>45237</v>
      </c>
      <c r="D1475" s="13">
        <v>2023</v>
      </c>
      <c r="E1475" s="13" t="s">
        <v>21</v>
      </c>
      <c r="F1475" s="13" t="s">
        <v>11</v>
      </c>
      <c r="G1475" s="15">
        <v>1868.12</v>
      </c>
      <c r="H1475" s="15">
        <v>1868.12</v>
      </c>
      <c r="I1475" s="13">
        <v>11</v>
      </c>
      <c r="J1475" s="13">
        <v>10</v>
      </c>
      <c r="K1475" s="13" t="s">
        <v>35</v>
      </c>
      <c r="L1475" s="15">
        <v>169.82909090909089</v>
      </c>
      <c r="M1475" s="16">
        <v>164.35821428571427</v>
      </c>
    </row>
    <row r="1476" spans="1:13" s="5" customFormat="1" x14ac:dyDescent="0.25">
      <c r="A1476" s="12" t="s">
        <v>2854</v>
      </c>
      <c r="B1476" s="13" t="s">
        <v>2855</v>
      </c>
      <c r="C1476" s="14">
        <v>45362</v>
      </c>
      <c r="D1476" s="13">
        <v>2024</v>
      </c>
      <c r="E1476" s="13" t="s">
        <v>21</v>
      </c>
      <c r="F1476" s="13" t="s">
        <v>22</v>
      </c>
      <c r="G1476" s="15">
        <v>1836.85</v>
      </c>
      <c r="H1476" s="15">
        <v>1836.85</v>
      </c>
      <c r="I1476" s="13">
        <v>1</v>
      </c>
      <c r="J1476" s="13">
        <v>1</v>
      </c>
      <c r="K1476" s="13" t="s">
        <v>3348</v>
      </c>
      <c r="L1476" s="15">
        <v>1836.85</v>
      </c>
      <c r="M1476" s="16">
        <v>1836.85</v>
      </c>
    </row>
    <row r="1477" spans="1:13" s="5" customFormat="1" x14ac:dyDescent="0.25">
      <c r="A1477" s="12" t="s">
        <v>2856</v>
      </c>
      <c r="B1477" s="13" t="s">
        <v>2857</v>
      </c>
      <c r="C1477" s="14">
        <v>45273</v>
      </c>
      <c r="D1477" s="13">
        <v>2023</v>
      </c>
      <c r="E1477" s="13" t="s">
        <v>3347</v>
      </c>
      <c r="F1477" s="13" t="s">
        <v>34</v>
      </c>
      <c r="G1477" s="15">
        <v>1758.3459259259259</v>
      </c>
      <c r="H1477" s="15">
        <v>1758.3459259259259</v>
      </c>
      <c r="I1477" s="13">
        <v>5</v>
      </c>
      <c r="J1477" s="13">
        <v>5</v>
      </c>
      <c r="K1477" s="13" t="s">
        <v>3346</v>
      </c>
      <c r="L1477" s="15">
        <v>351.6691851851852</v>
      </c>
      <c r="M1477" s="16">
        <v>351.6691851851852</v>
      </c>
    </row>
    <row r="1478" spans="1:13" s="5" customFormat="1" x14ac:dyDescent="0.25">
      <c r="A1478" s="12" t="s">
        <v>2858</v>
      </c>
      <c r="B1478" s="13" t="s">
        <v>2859</v>
      </c>
      <c r="C1478" s="14">
        <v>45594</v>
      </c>
      <c r="D1478" s="13">
        <v>2024</v>
      </c>
      <c r="E1478" s="13" t="s">
        <v>21</v>
      </c>
      <c r="F1478" s="13" t="s">
        <v>22</v>
      </c>
      <c r="G1478" s="15">
        <v>1194.9000000000001</v>
      </c>
      <c r="H1478" s="15">
        <v>1194.9000000000001</v>
      </c>
      <c r="I1478" s="13">
        <v>3</v>
      </c>
      <c r="J1478" s="13">
        <v>3</v>
      </c>
      <c r="K1478" s="13" t="s">
        <v>18</v>
      </c>
      <c r="L1478" s="15">
        <v>398.3</v>
      </c>
      <c r="M1478" s="16">
        <v>379.20491666666669</v>
      </c>
    </row>
    <row r="1479" spans="1:13" s="5" customFormat="1" x14ac:dyDescent="0.25">
      <c r="A1479" s="12" t="s">
        <v>2860</v>
      </c>
      <c r="B1479" s="13" t="s">
        <v>1984</v>
      </c>
      <c r="C1479" s="14">
        <v>45777</v>
      </c>
      <c r="D1479" s="13">
        <v>2025</v>
      </c>
      <c r="E1479" s="13" t="s">
        <v>10</v>
      </c>
      <c r="F1479" s="13" t="s">
        <v>25</v>
      </c>
      <c r="G1479" s="15">
        <v>1954.88</v>
      </c>
      <c r="H1479" s="15">
        <v>1954.88</v>
      </c>
      <c r="I1479" s="13">
        <v>1</v>
      </c>
      <c r="J1479" s="13">
        <v>1</v>
      </c>
      <c r="K1479" s="13" t="s">
        <v>35</v>
      </c>
      <c r="L1479" s="15">
        <v>1954.88</v>
      </c>
      <c r="M1479" s="16">
        <v>1954.88</v>
      </c>
    </row>
    <row r="1480" spans="1:13" s="5" customFormat="1" x14ac:dyDescent="0.25">
      <c r="A1480" s="12" t="s">
        <v>2861</v>
      </c>
      <c r="B1480" s="13" t="s">
        <v>2862</v>
      </c>
      <c r="C1480" s="14">
        <v>45474</v>
      </c>
      <c r="D1480" s="13">
        <v>2024</v>
      </c>
      <c r="E1480" s="13" t="s">
        <v>10</v>
      </c>
      <c r="F1480" s="13" t="s">
        <v>34</v>
      </c>
      <c r="G1480" s="15">
        <v>120.16</v>
      </c>
      <c r="H1480" s="15">
        <v>120.16</v>
      </c>
      <c r="I1480" s="13">
        <v>1</v>
      </c>
      <c r="J1480" s="13">
        <v>1</v>
      </c>
      <c r="K1480" s="13" t="s">
        <v>3346</v>
      </c>
      <c r="L1480" s="15">
        <v>120.16</v>
      </c>
      <c r="M1480" s="16">
        <v>120.16</v>
      </c>
    </row>
    <row r="1481" spans="1:13" s="5" customFormat="1" x14ac:dyDescent="0.25">
      <c r="A1481" s="12" t="s">
        <v>2863</v>
      </c>
      <c r="B1481" s="13" t="s">
        <v>2864</v>
      </c>
      <c r="C1481" s="14">
        <v>45386</v>
      </c>
      <c r="D1481" s="13">
        <v>2024</v>
      </c>
      <c r="E1481" s="13" t="s">
        <v>21</v>
      </c>
      <c r="F1481" s="13" t="s">
        <v>11</v>
      </c>
      <c r="G1481" s="15">
        <v>1777.6</v>
      </c>
      <c r="H1481" s="15">
        <v>1777.6</v>
      </c>
      <c r="I1481" s="13">
        <v>9</v>
      </c>
      <c r="J1481" s="13">
        <v>9</v>
      </c>
      <c r="K1481" s="13" t="s">
        <v>3348</v>
      </c>
      <c r="L1481" s="15">
        <v>197.51111111111109</v>
      </c>
      <c r="M1481" s="16">
        <v>197.51111111111109</v>
      </c>
    </row>
    <row r="1482" spans="1:13" s="5" customFormat="1" x14ac:dyDescent="0.25">
      <c r="A1482" s="12" t="s">
        <v>2865</v>
      </c>
      <c r="B1482" s="13" t="s">
        <v>2866</v>
      </c>
      <c r="C1482" s="14">
        <v>44932</v>
      </c>
      <c r="D1482" s="13">
        <v>2023</v>
      </c>
      <c r="E1482" s="13" t="s">
        <v>14</v>
      </c>
      <c r="F1482" s="13" t="s">
        <v>25</v>
      </c>
      <c r="G1482" s="15">
        <v>1774.28</v>
      </c>
      <c r="H1482" s="15">
        <v>1774.28</v>
      </c>
      <c r="I1482" s="13">
        <v>8</v>
      </c>
      <c r="J1482" s="13">
        <v>8</v>
      </c>
      <c r="K1482" s="13" t="s">
        <v>35</v>
      </c>
      <c r="L1482" s="15">
        <v>221.785</v>
      </c>
      <c r="M1482" s="16">
        <v>236.49944444444444</v>
      </c>
    </row>
    <row r="1483" spans="1:13" s="5" customFormat="1" x14ac:dyDescent="0.25">
      <c r="A1483" s="12" t="s">
        <v>2867</v>
      </c>
      <c r="B1483" s="13" t="s">
        <v>2868</v>
      </c>
      <c r="C1483" s="14">
        <v>45091</v>
      </c>
      <c r="D1483" s="13">
        <v>2023</v>
      </c>
      <c r="E1483" s="13" t="s">
        <v>10</v>
      </c>
      <c r="F1483" s="13" t="s">
        <v>34</v>
      </c>
      <c r="G1483" s="15">
        <v>651.07150000000001</v>
      </c>
      <c r="H1483" s="15">
        <v>651.07150000000001</v>
      </c>
      <c r="I1483" s="13">
        <v>4</v>
      </c>
      <c r="J1483" s="13">
        <v>4</v>
      </c>
      <c r="K1483" s="13" t="s">
        <v>15</v>
      </c>
      <c r="L1483" s="15">
        <v>162.767875</v>
      </c>
      <c r="M1483" s="16">
        <v>162.767875</v>
      </c>
    </row>
    <row r="1484" spans="1:13" s="5" customFormat="1" x14ac:dyDescent="0.25">
      <c r="A1484" s="12" t="s">
        <v>2869</v>
      </c>
      <c r="B1484" s="13" t="s">
        <v>2870</v>
      </c>
      <c r="C1484" s="14">
        <v>44989</v>
      </c>
      <c r="D1484" s="13">
        <v>2023</v>
      </c>
      <c r="E1484" s="13" t="s">
        <v>3347</v>
      </c>
      <c r="F1484" s="13" t="s">
        <v>11</v>
      </c>
      <c r="G1484" s="15">
        <v>1913.15</v>
      </c>
      <c r="H1484" s="15">
        <v>1913.15</v>
      </c>
      <c r="I1484" s="13">
        <v>4</v>
      </c>
      <c r="J1484" s="13">
        <v>4</v>
      </c>
      <c r="K1484" s="13" t="s">
        <v>3346</v>
      </c>
      <c r="L1484" s="15">
        <v>478.28750000000002</v>
      </c>
      <c r="M1484" s="16">
        <v>478.28750000000002</v>
      </c>
    </row>
    <row r="1485" spans="1:13" s="5" customFormat="1" x14ac:dyDescent="0.25">
      <c r="A1485" s="12" t="s">
        <v>2871</v>
      </c>
      <c r="B1485" s="13" t="s">
        <v>2872</v>
      </c>
      <c r="C1485" s="14">
        <v>45364</v>
      </c>
      <c r="D1485" s="13">
        <v>2024</v>
      </c>
      <c r="E1485" s="13" t="s">
        <v>21</v>
      </c>
      <c r="F1485" s="13" t="s">
        <v>34</v>
      </c>
      <c r="G1485" s="15">
        <v>800.49</v>
      </c>
      <c r="H1485" s="15">
        <v>800.49</v>
      </c>
      <c r="I1485" s="13">
        <v>1</v>
      </c>
      <c r="J1485" s="13">
        <v>1</v>
      </c>
      <c r="K1485" s="13" t="s">
        <v>18</v>
      </c>
      <c r="L1485" s="15">
        <v>800.49</v>
      </c>
      <c r="M1485" s="16">
        <v>800.49</v>
      </c>
    </row>
    <row r="1486" spans="1:13" s="5" customFormat="1" x14ac:dyDescent="0.25">
      <c r="A1486" s="12" t="s">
        <v>2873</v>
      </c>
      <c r="B1486" s="13" t="s">
        <v>2874</v>
      </c>
      <c r="C1486" s="14">
        <v>44951</v>
      </c>
      <c r="D1486" s="13">
        <v>2023</v>
      </c>
      <c r="E1486" s="13" t="s">
        <v>3347</v>
      </c>
      <c r="F1486" s="13" t="s">
        <v>11</v>
      </c>
      <c r="G1486" s="15">
        <v>617.69000000000005</v>
      </c>
      <c r="H1486" s="15">
        <v>617.69000000000005</v>
      </c>
      <c r="I1486" s="13">
        <v>6</v>
      </c>
      <c r="J1486" s="13">
        <v>6</v>
      </c>
      <c r="K1486" s="13" t="s">
        <v>3346</v>
      </c>
      <c r="L1486" s="15">
        <v>102.94833333333334</v>
      </c>
      <c r="M1486" s="16">
        <v>102.94833333333334</v>
      </c>
    </row>
    <row r="1487" spans="1:13" s="5" customFormat="1" x14ac:dyDescent="0.25">
      <c r="A1487" s="12" t="s">
        <v>2875</v>
      </c>
      <c r="B1487" s="13" t="s">
        <v>2876</v>
      </c>
      <c r="C1487" s="14">
        <v>45061</v>
      </c>
      <c r="D1487" s="13">
        <v>2023</v>
      </c>
      <c r="E1487" s="13" t="s">
        <v>14</v>
      </c>
      <c r="F1487" s="13" t="s">
        <v>11</v>
      </c>
      <c r="G1487" s="15">
        <v>1197.79</v>
      </c>
      <c r="H1487" s="15">
        <v>1197.79</v>
      </c>
      <c r="I1487" s="13">
        <v>3</v>
      </c>
      <c r="J1487" s="13">
        <v>3</v>
      </c>
      <c r="K1487" s="13" t="s">
        <v>35</v>
      </c>
      <c r="L1487" s="15">
        <v>399.26333333333332</v>
      </c>
      <c r="M1487" s="16">
        <v>399.26333333333332</v>
      </c>
    </row>
    <row r="1488" spans="1:13" s="5" customFormat="1" x14ac:dyDescent="0.25">
      <c r="A1488" s="12" t="s">
        <v>2877</v>
      </c>
      <c r="B1488" s="13" t="s">
        <v>2878</v>
      </c>
      <c r="C1488" s="14">
        <v>45406</v>
      </c>
      <c r="D1488" s="13">
        <v>2024</v>
      </c>
      <c r="E1488" s="13" t="s">
        <v>14</v>
      </c>
      <c r="F1488" s="13" t="s">
        <v>22</v>
      </c>
      <c r="G1488" s="15">
        <v>284.43</v>
      </c>
      <c r="H1488" s="15">
        <v>284.43</v>
      </c>
      <c r="I1488" s="13">
        <v>8</v>
      </c>
      <c r="J1488" s="13">
        <v>8</v>
      </c>
      <c r="K1488" s="13" t="s">
        <v>18</v>
      </c>
      <c r="L1488" s="15">
        <v>35.553750000000001</v>
      </c>
      <c r="M1488" s="16">
        <v>35.553750000000001</v>
      </c>
    </row>
    <row r="1489" spans="1:13" s="5" customFormat="1" x14ac:dyDescent="0.25">
      <c r="A1489" s="12" t="s">
        <v>2879</v>
      </c>
      <c r="B1489" s="13" t="s">
        <v>2880</v>
      </c>
      <c r="C1489" s="14">
        <v>45140</v>
      </c>
      <c r="D1489" s="13">
        <v>2023</v>
      </c>
      <c r="E1489" s="13" t="s">
        <v>3347</v>
      </c>
      <c r="F1489" s="13" t="s">
        <v>34</v>
      </c>
      <c r="G1489" s="15">
        <v>1536.38</v>
      </c>
      <c r="H1489" s="15">
        <v>1536.38</v>
      </c>
      <c r="I1489" s="13">
        <v>9</v>
      </c>
      <c r="J1489" s="13">
        <v>9</v>
      </c>
      <c r="K1489" s="13" t="s">
        <v>18</v>
      </c>
      <c r="L1489" s="15">
        <v>170.70888888888891</v>
      </c>
      <c r="M1489" s="16">
        <v>170.70888888888891</v>
      </c>
    </row>
    <row r="1490" spans="1:13" s="5" customFormat="1" x14ac:dyDescent="0.25">
      <c r="A1490" s="12" t="s">
        <v>2881</v>
      </c>
      <c r="B1490" s="13" t="s">
        <v>2882</v>
      </c>
      <c r="C1490" s="14">
        <v>45408</v>
      </c>
      <c r="D1490" s="13">
        <v>2024</v>
      </c>
      <c r="E1490" s="13" t="s">
        <v>3347</v>
      </c>
      <c r="F1490" s="13" t="s">
        <v>22</v>
      </c>
      <c r="G1490" s="15">
        <v>539.38</v>
      </c>
      <c r="H1490" s="15">
        <v>539.38</v>
      </c>
      <c r="I1490" s="13">
        <v>10</v>
      </c>
      <c r="J1490" s="13">
        <v>10</v>
      </c>
      <c r="K1490" s="13" t="s">
        <v>15</v>
      </c>
      <c r="L1490" s="15">
        <v>53.938000000000002</v>
      </c>
      <c r="M1490" s="16">
        <v>53.938000000000002</v>
      </c>
    </row>
    <row r="1491" spans="1:13" s="5" customFormat="1" x14ac:dyDescent="0.25">
      <c r="A1491" s="12" t="s">
        <v>2883</v>
      </c>
      <c r="B1491" s="13" t="s">
        <v>2884</v>
      </c>
      <c r="C1491" s="14">
        <v>45455</v>
      </c>
      <c r="D1491" s="13">
        <v>2024</v>
      </c>
      <c r="E1491" s="13" t="s">
        <v>3347</v>
      </c>
      <c r="F1491" s="13" t="s">
        <v>34</v>
      </c>
      <c r="G1491" s="15">
        <v>401.8</v>
      </c>
      <c r="H1491" s="15">
        <v>401.8</v>
      </c>
      <c r="I1491" s="13">
        <v>5</v>
      </c>
      <c r="J1491" s="13">
        <v>5</v>
      </c>
      <c r="K1491" s="13" t="s">
        <v>3346</v>
      </c>
      <c r="L1491" s="15">
        <v>80.36</v>
      </c>
      <c r="M1491" s="16">
        <v>80.36</v>
      </c>
    </row>
    <row r="1492" spans="1:13" s="5" customFormat="1" x14ac:dyDescent="0.25">
      <c r="A1492" s="12" t="s">
        <v>2885</v>
      </c>
      <c r="B1492" s="13" t="s">
        <v>2886</v>
      </c>
      <c r="C1492" s="14">
        <v>44949</v>
      </c>
      <c r="D1492" s="13">
        <v>2023</v>
      </c>
      <c r="E1492" s="13" t="s">
        <v>10</v>
      </c>
      <c r="F1492" s="13" t="s">
        <v>25</v>
      </c>
      <c r="G1492" s="15">
        <v>1253.0999999999999</v>
      </c>
      <c r="H1492" s="15">
        <v>1253.0999999999999</v>
      </c>
      <c r="I1492" s="13">
        <v>1</v>
      </c>
      <c r="J1492" s="13">
        <v>1</v>
      </c>
      <c r="K1492" s="13" t="s">
        <v>3348</v>
      </c>
      <c r="L1492" s="15">
        <v>1253.0999999999999</v>
      </c>
      <c r="M1492" s="16">
        <v>1253.0999999999999</v>
      </c>
    </row>
    <row r="1493" spans="1:13" s="5" customFormat="1" x14ac:dyDescent="0.25">
      <c r="A1493" s="12" t="s">
        <v>2887</v>
      </c>
      <c r="B1493" s="13" t="s">
        <v>2440</v>
      </c>
      <c r="C1493" s="14">
        <v>45192</v>
      </c>
      <c r="D1493" s="13">
        <v>2023</v>
      </c>
      <c r="E1493" s="13" t="s">
        <v>3347</v>
      </c>
      <c r="F1493" s="13" t="s">
        <v>11</v>
      </c>
      <c r="G1493" s="15">
        <v>1871.12</v>
      </c>
      <c r="H1493" s="15">
        <v>1871.12</v>
      </c>
      <c r="I1493" s="13">
        <v>6</v>
      </c>
      <c r="J1493" s="13">
        <v>6</v>
      </c>
      <c r="K1493" s="13" t="s">
        <v>15</v>
      </c>
      <c r="L1493" s="15">
        <v>311.8533333333333</v>
      </c>
      <c r="M1493" s="16">
        <v>311.8533333333333</v>
      </c>
    </row>
    <row r="1494" spans="1:13" s="5" customFormat="1" x14ac:dyDescent="0.25">
      <c r="A1494" s="12" t="s">
        <v>2888</v>
      </c>
      <c r="B1494" s="13" t="s">
        <v>2889</v>
      </c>
      <c r="C1494" s="14">
        <v>45931</v>
      </c>
      <c r="D1494" s="13">
        <v>2025</v>
      </c>
      <c r="E1494" s="13" t="s">
        <v>10</v>
      </c>
      <c r="F1494" s="13" t="s">
        <v>25</v>
      </c>
      <c r="G1494" s="15">
        <v>301.87</v>
      </c>
      <c r="H1494" s="15">
        <v>301.87</v>
      </c>
      <c r="I1494" s="13">
        <v>6</v>
      </c>
      <c r="J1494" s="13">
        <v>6</v>
      </c>
      <c r="K1494" s="13" t="s">
        <v>15</v>
      </c>
      <c r="L1494" s="15">
        <v>50.311666666666667</v>
      </c>
      <c r="M1494" s="16">
        <v>50.311666666666667</v>
      </c>
    </row>
    <row r="1495" spans="1:13" s="5" customFormat="1" x14ac:dyDescent="0.25">
      <c r="A1495" s="12" t="s">
        <v>2890</v>
      </c>
      <c r="B1495" s="13" t="s">
        <v>2891</v>
      </c>
      <c r="C1495" s="14">
        <v>45130</v>
      </c>
      <c r="D1495" s="13">
        <v>2023</v>
      </c>
      <c r="E1495" s="13" t="s">
        <v>21</v>
      </c>
      <c r="F1495" s="13" t="s">
        <v>25</v>
      </c>
      <c r="G1495" s="15">
        <v>978.88</v>
      </c>
      <c r="H1495" s="15">
        <v>978.88</v>
      </c>
      <c r="I1495" s="13">
        <v>9</v>
      </c>
      <c r="J1495" s="13">
        <v>9</v>
      </c>
      <c r="K1495" s="13" t="s">
        <v>3348</v>
      </c>
      <c r="L1495" s="15">
        <v>108.76444444444445</v>
      </c>
      <c r="M1495" s="16">
        <v>108.76444444444445</v>
      </c>
    </row>
    <row r="1496" spans="1:13" s="5" customFormat="1" x14ac:dyDescent="0.25">
      <c r="A1496" s="12" t="s">
        <v>2892</v>
      </c>
      <c r="B1496" s="13" t="s">
        <v>2893</v>
      </c>
      <c r="C1496" s="14">
        <v>44916</v>
      </c>
      <c r="D1496" s="13">
        <v>2022</v>
      </c>
      <c r="E1496" s="13" t="s">
        <v>21</v>
      </c>
      <c r="F1496" s="13" t="s">
        <v>25</v>
      </c>
      <c r="G1496" s="15">
        <v>1931.13</v>
      </c>
      <c r="H1496" s="15">
        <v>1931.13</v>
      </c>
      <c r="I1496" s="13">
        <v>3</v>
      </c>
      <c r="J1496" s="13">
        <v>3</v>
      </c>
      <c r="K1496" s="13" t="s">
        <v>3348</v>
      </c>
      <c r="L1496" s="15">
        <v>643.71</v>
      </c>
      <c r="M1496" s="16">
        <v>643.71</v>
      </c>
    </row>
    <row r="1497" spans="1:13" s="5" customFormat="1" x14ac:dyDescent="0.25">
      <c r="A1497" s="12" t="s">
        <v>2894</v>
      </c>
      <c r="B1497" s="13" t="s">
        <v>2895</v>
      </c>
      <c r="C1497" s="14">
        <v>45104</v>
      </c>
      <c r="D1497" s="13">
        <v>2023</v>
      </c>
      <c r="E1497" s="13" t="s">
        <v>10</v>
      </c>
      <c r="F1497" s="13" t="s">
        <v>11</v>
      </c>
      <c r="G1497" s="15">
        <v>1953.73</v>
      </c>
      <c r="H1497" s="15">
        <v>1953.73</v>
      </c>
      <c r="I1497" s="13">
        <v>5</v>
      </c>
      <c r="J1497" s="13">
        <v>5</v>
      </c>
      <c r="K1497" s="13" t="s">
        <v>3348</v>
      </c>
      <c r="L1497" s="15">
        <v>390.74599999999998</v>
      </c>
      <c r="M1497" s="16">
        <v>383.74898148148145</v>
      </c>
    </row>
    <row r="1498" spans="1:13" s="5" customFormat="1" x14ac:dyDescent="0.25">
      <c r="A1498" s="12" t="s">
        <v>2896</v>
      </c>
      <c r="B1498" s="13" t="s">
        <v>2897</v>
      </c>
      <c r="C1498" s="14">
        <v>45662</v>
      </c>
      <c r="D1498" s="13">
        <v>2025</v>
      </c>
      <c r="E1498" s="13" t="s">
        <v>14</v>
      </c>
      <c r="F1498" s="13" t="s">
        <v>22</v>
      </c>
      <c r="G1498" s="15">
        <v>621.59</v>
      </c>
      <c r="H1498" s="15">
        <v>621.59</v>
      </c>
      <c r="I1498" s="13">
        <v>7</v>
      </c>
      <c r="J1498" s="13">
        <v>7</v>
      </c>
      <c r="K1498" s="13" t="s">
        <v>18</v>
      </c>
      <c r="L1498" s="15">
        <v>88.798571428571435</v>
      </c>
      <c r="M1498" s="16">
        <v>88.798571428571435</v>
      </c>
    </row>
    <row r="1499" spans="1:13" s="5" customFormat="1" x14ac:dyDescent="0.25">
      <c r="A1499" s="12" t="s">
        <v>2898</v>
      </c>
      <c r="B1499" s="13" t="s">
        <v>2899</v>
      </c>
      <c r="C1499" s="14">
        <v>45058</v>
      </c>
      <c r="D1499" s="13">
        <v>2023</v>
      </c>
      <c r="E1499" s="13" t="s">
        <v>3347</v>
      </c>
      <c r="F1499" s="13" t="s">
        <v>25</v>
      </c>
      <c r="G1499" s="15">
        <v>783.58</v>
      </c>
      <c r="H1499" s="15">
        <v>783.58</v>
      </c>
      <c r="I1499" s="13">
        <v>3</v>
      </c>
      <c r="J1499" s="13">
        <v>3</v>
      </c>
      <c r="K1499" s="13" t="s">
        <v>18</v>
      </c>
      <c r="L1499" s="15">
        <v>261.19333333333333</v>
      </c>
      <c r="M1499" s="16">
        <v>261.19333333333333</v>
      </c>
    </row>
    <row r="1500" spans="1:13" s="5" customFormat="1" x14ac:dyDescent="0.25">
      <c r="A1500" s="12" t="s">
        <v>2900</v>
      </c>
      <c r="B1500" s="13" t="s">
        <v>2824</v>
      </c>
      <c r="C1500" s="14">
        <v>45926</v>
      </c>
      <c r="D1500" s="13">
        <v>2025</v>
      </c>
      <c r="E1500" s="13" t="s">
        <v>14</v>
      </c>
      <c r="F1500" s="13" t="s">
        <v>34</v>
      </c>
      <c r="G1500" s="15">
        <v>1506.26</v>
      </c>
      <c r="H1500" s="15">
        <v>1506.26</v>
      </c>
      <c r="I1500" s="13">
        <v>8</v>
      </c>
      <c r="J1500" s="13">
        <v>8</v>
      </c>
      <c r="K1500" s="13" t="s">
        <v>15</v>
      </c>
      <c r="L1500" s="15">
        <v>188.2825</v>
      </c>
      <c r="M1500" s="16">
        <v>189.99304166666667</v>
      </c>
    </row>
    <row r="1501" spans="1:13" s="5" customFormat="1" x14ac:dyDescent="0.25">
      <c r="A1501" s="12" t="s">
        <v>2901</v>
      </c>
      <c r="B1501" s="13" t="s">
        <v>2902</v>
      </c>
      <c r="C1501" s="14">
        <v>45056</v>
      </c>
      <c r="D1501" s="13">
        <v>2023</v>
      </c>
      <c r="E1501" s="13" t="s">
        <v>21</v>
      </c>
      <c r="F1501" s="13" t="s">
        <v>34</v>
      </c>
      <c r="G1501" s="15">
        <v>1086.1099999999999</v>
      </c>
      <c r="H1501" s="15">
        <v>1086.1099999999999</v>
      </c>
      <c r="I1501" s="13">
        <v>5</v>
      </c>
      <c r="J1501" s="13">
        <v>5</v>
      </c>
      <c r="K1501" s="13" t="s">
        <v>18</v>
      </c>
      <c r="L1501" s="15">
        <v>217.22199999999998</v>
      </c>
      <c r="M1501" s="16">
        <v>217.22199999999998</v>
      </c>
    </row>
    <row r="1502" spans="1:13" s="5" customFormat="1" x14ac:dyDescent="0.25">
      <c r="A1502" s="12" t="s">
        <v>2903</v>
      </c>
      <c r="B1502" s="13" t="s">
        <v>2904</v>
      </c>
      <c r="C1502" s="14">
        <v>45388</v>
      </c>
      <c r="D1502" s="13">
        <v>2024</v>
      </c>
      <c r="E1502" s="13" t="s">
        <v>3347</v>
      </c>
      <c r="F1502" s="13" t="s">
        <v>11</v>
      </c>
      <c r="G1502" s="15">
        <v>2169.7369999999996</v>
      </c>
      <c r="H1502" s="15">
        <v>2169.7369999999996</v>
      </c>
      <c r="I1502" s="13">
        <v>9</v>
      </c>
      <c r="J1502" s="13">
        <v>9</v>
      </c>
      <c r="K1502" s="13" t="s">
        <v>18</v>
      </c>
      <c r="L1502" s="15">
        <v>241.08188888888884</v>
      </c>
      <c r="M1502" s="16">
        <v>241.08188888888887</v>
      </c>
    </row>
    <row r="1503" spans="1:13" s="5" customFormat="1" x14ac:dyDescent="0.25">
      <c r="A1503" s="12" t="s">
        <v>2905</v>
      </c>
      <c r="B1503" s="13" t="s">
        <v>2906</v>
      </c>
      <c r="C1503" s="14">
        <v>45357</v>
      </c>
      <c r="D1503" s="13">
        <v>2024</v>
      </c>
      <c r="E1503" s="13" t="s">
        <v>10</v>
      </c>
      <c r="F1503" s="13" t="s">
        <v>11</v>
      </c>
      <c r="G1503" s="15">
        <v>999.07</v>
      </c>
      <c r="H1503" s="15">
        <v>999.07</v>
      </c>
      <c r="I1503" s="13">
        <v>3</v>
      </c>
      <c r="J1503" s="13">
        <v>3</v>
      </c>
      <c r="K1503" s="13" t="s">
        <v>15</v>
      </c>
      <c r="L1503" s="15">
        <v>333.02333333333337</v>
      </c>
      <c r="M1503" s="16">
        <v>333.02333333333337</v>
      </c>
    </row>
    <row r="1504" spans="1:13" s="5" customFormat="1" x14ac:dyDescent="0.25">
      <c r="A1504" s="12" t="s">
        <v>2907</v>
      </c>
      <c r="B1504" s="13" t="s">
        <v>2908</v>
      </c>
      <c r="C1504" s="14">
        <v>45489</v>
      </c>
      <c r="D1504" s="13">
        <v>2024</v>
      </c>
      <c r="E1504" s="13" t="s">
        <v>10</v>
      </c>
      <c r="F1504" s="13" t="s">
        <v>11</v>
      </c>
      <c r="G1504" s="15">
        <v>1196.838611111111</v>
      </c>
      <c r="H1504" s="15">
        <v>1196.838611111111</v>
      </c>
      <c r="I1504" s="13">
        <v>5</v>
      </c>
      <c r="J1504" s="13">
        <v>5</v>
      </c>
      <c r="K1504" s="13" t="s">
        <v>3346</v>
      </c>
      <c r="L1504" s="15">
        <v>239.3677222222222</v>
      </c>
      <c r="M1504" s="16">
        <v>239.36772222222223</v>
      </c>
    </row>
    <row r="1505" spans="1:13" s="5" customFormat="1" x14ac:dyDescent="0.25">
      <c r="A1505" s="12" t="s">
        <v>2909</v>
      </c>
      <c r="B1505" s="13" t="s">
        <v>2910</v>
      </c>
      <c r="C1505" s="14">
        <v>45894</v>
      </c>
      <c r="D1505" s="13">
        <v>2025</v>
      </c>
      <c r="E1505" s="13" t="s">
        <v>14</v>
      </c>
      <c r="F1505" s="13" t="s">
        <v>34</v>
      </c>
      <c r="G1505" s="15">
        <v>298.82</v>
      </c>
      <c r="H1505" s="15">
        <v>298.82</v>
      </c>
      <c r="I1505" s="13">
        <v>4</v>
      </c>
      <c r="J1505" s="13">
        <v>4</v>
      </c>
      <c r="K1505" s="13" t="s">
        <v>18</v>
      </c>
      <c r="L1505" s="15">
        <v>74.704999999999998</v>
      </c>
      <c r="M1505" s="16">
        <v>74.704999999999998</v>
      </c>
    </row>
    <row r="1506" spans="1:13" s="5" customFormat="1" x14ac:dyDescent="0.25">
      <c r="A1506" s="12" t="s">
        <v>2911</v>
      </c>
      <c r="B1506" s="13" t="s">
        <v>2912</v>
      </c>
      <c r="C1506" s="14">
        <v>45385</v>
      </c>
      <c r="D1506" s="13">
        <v>2024</v>
      </c>
      <c r="E1506" s="13" t="s">
        <v>21</v>
      </c>
      <c r="F1506" s="13" t="s">
        <v>34</v>
      </c>
      <c r="G1506" s="15">
        <v>1324.35</v>
      </c>
      <c r="H1506" s="15">
        <v>1324.35</v>
      </c>
      <c r="I1506" s="13">
        <v>9</v>
      </c>
      <c r="J1506" s="13">
        <v>9</v>
      </c>
      <c r="K1506" s="13" t="s">
        <v>18</v>
      </c>
      <c r="L1506" s="15">
        <v>147.14999999999998</v>
      </c>
      <c r="M1506" s="16">
        <v>147.14999999999998</v>
      </c>
    </row>
    <row r="1507" spans="1:13" s="5" customFormat="1" x14ac:dyDescent="0.25">
      <c r="A1507" s="12" t="s">
        <v>2913</v>
      </c>
      <c r="B1507" s="13" t="s">
        <v>2914</v>
      </c>
      <c r="C1507" s="14">
        <v>45726</v>
      </c>
      <c r="D1507" s="13">
        <v>2025</v>
      </c>
      <c r="E1507" s="13" t="s">
        <v>10</v>
      </c>
      <c r="F1507" s="13" t="s">
        <v>22</v>
      </c>
      <c r="G1507" s="15">
        <v>116.07</v>
      </c>
      <c r="H1507" s="15">
        <v>116.07</v>
      </c>
      <c r="I1507" s="13">
        <v>8</v>
      </c>
      <c r="J1507" s="13">
        <v>8</v>
      </c>
      <c r="K1507" s="13" t="s">
        <v>3346</v>
      </c>
      <c r="L1507" s="15">
        <v>14.508749999999999</v>
      </c>
      <c r="M1507" s="16">
        <v>14.508749999999999</v>
      </c>
    </row>
    <row r="1508" spans="1:13" s="5" customFormat="1" x14ac:dyDescent="0.25">
      <c r="A1508" s="12" t="s">
        <v>2915</v>
      </c>
      <c r="B1508" s="13" t="s">
        <v>2916</v>
      </c>
      <c r="C1508" s="14">
        <v>45910</v>
      </c>
      <c r="D1508" s="13">
        <v>2025</v>
      </c>
      <c r="E1508" s="13" t="s">
        <v>10</v>
      </c>
      <c r="F1508" s="13" t="s">
        <v>25</v>
      </c>
      <c r="G1508" s="15">
        <v>1512.88</v>
      </c>
      <c r="H1508" s="15">
        <v>1512.88</v>
      </c>
      <c r="I1508" s="13">
        <v>7</v>
      </c>
      <c r="J1508" s="13">
        <v>7</v>
      </c>
      <c r="K1508" s="13" t="s">
        <v>3348</v>
      </c>
      <c r="L1508" s="15">
        <v>216.12571428571431</v>
      </c>
      <c r="M1508" s="16">
        <v>216.12571428571431</v>
      </c>
    </row>
    <row r="1509" spans="1:13" s="5" customFormat="1" x14ac:dyDescent="0.25">
      <c r="A1509" s="12" t="s">
        <v>2917</v>
      </c>
      <c r="B1509" s="13" t="s">
        <v>1764</v>
      </c>
      <c r="C1509" s="14">
        <v>45800</v>
      </c>
      <c r="D1509" s="13">
        <v>2025</v>
      </c>
      <c r="E1509" s="13" t="s">
        <v>21</v>
      </c>
      <c r="F1509" s="13" t="s">
        <v>22</v>
      </c>
      <c r="G1509" s="15">
        <v>183.39</v>
      </c>
      <c r="H1509" s="15">
        <v>183.39</v>
      </c>
      <c r="I1509" s="13">
        <v>3</v>
      </c>
      <c r="J1509" s="13">
        <v>3</v>
      </c>
      <c r="K1509" s="13" t="s">
        <v>3348</v>
      </c>
      <c r="L1509" s="15">
        <v>61.129999999999995</v>
      </c>
      <c r="M1509" s="16">
        <v>61.129999999999995</v>
      </c>
    </row>
    <row r="1510" spans="1:13" s="5" customFormat="1" x14ac:dyDescent="0.25">
      <c r="A1510" s="12" t="s">
        <v>2918</v>
      </c>
      <c r="B1510" s="13" t="s">
        <v>2919</v>
      </c>
      <c r="C1510" s="14">
        <v>45388</v>
      </c>
      <c r="D1510" s="13">
        <v>2024</v>
      </c>
      <c r="E1510" s="13" t="s">
        <v>3347</v>
      </c>
      <c r="F1510" s="13" t="s">
        <v>25</v>
      </c>
      <c r="G1510" s="15">
        <v>1356.76</v>
      </c>
      <c r="H1510" s="15">
        <v>1356.76</v>
      </c>
      <c r="I1510" s="13">
        <v>3</v>
      </c>
      <c r="J1510" s="13">
        <v>3</v>
      </c>
      <c r="K1510" s="13" t="s">
        <v>3346</v>
      </c>
      <c r="L1510" s="15">
        <v>452.25333333333333</v>
      </c>
      <c r="M1510" s="16">
        <v>452.25333333333333</v>
      </c>
    </row>
    <row r="1511" spans="1:13" s="5" customFormat="1" x14ac:dyDescent="0.25">
      <c r="A1511" s="12" t="s">
        <v>2920</v>
      </c>
      <c r="B1511" s="13" t="s">
        <v>2921</v>
      </c>
      <c r="C1511" s="14">
        <v>45650</v>
      </c>
      <c r="D1511" s="13">
        <v>2024</v>
      </c>
      <c r="E1511" s="13" t="s">
        <v>21</v>
      </c>
      <c r="F1511" s="13" t="s">
        <v>34</v>
      </c>
      <c r="G1511" s="15">
        <v>164.04357142857143</v>
      </c>
      <c r="H1511" s="15">
        <v>164.04357142857143</v>
      </c>
      <c r="I1511" s="13">
        <v>1</v>
      </c>
      <c r="J1511" s="13">
        <v>1</v>
      </c>
      <c r="K1511" s="13" t="s">
        <v>35</v>
      </c>
      <c r="L1511" s="15">
        <v>164.04357142857143</v>
      </c>
      <c r="M1511" s="16">
        <v>164.04357142857143</v>
      </c>
    </row>
    <row r="1512" spans="1:13" s="5" customFormat="1" x14ac:dyDescent="0.25">
      <c r="A1512" s="12" t="s">
        <v>2922</v>
      </c>
      <c r="B1512" s="13" t="s">
        <v>2923</v>
      </c>
      <c r="C1512" s="14">
        <v>45717</v>
      </c>
      <c r="D1512" s="13">
        <v>2025</v>
      </c>
      <c r="E1512" s="13" t="s">
        <v>14</v>
      </c>
      <c r="F1512" s="13" t="s">
        <v>22</v>
      </c>
      <c r="G1512" s="15">
        <v>1206.74</v>
      </c>
      <c r="H1512" s="15">
        <v>1206.74</v>
      </c>
      <c r="I1512" s="13">
        <v>1</v>
      </c>
      <c r="J1512" s="13">
        <v>1</v>
      </c>
      <c r="K1512" s="13" t="s">
        <v>18</v>
      </c>
      <c r="L1512" s="15">
        <v>1206.74</v>
      </c>
      <c r="M1512" s="16">
        <v>1206.74</v>
      </c>
    </row>
    <row r="1513" spans="1:13" s="5" customFormat="1" x14ac:dyDescent="0.25">
      <c r="A1513" s="12" t="s">
        <v>2924</v>
      </c>
      <c r="B1513" s="13" t="s">
        <v>2925</v>
      </c>
      <c r="C1513" s="14">
        <v>45224</v>
      </c>
      <c r="D1513" s="13">
        <v>2023</v>
      </c>
      <c r="E1513" s="13" t="s">
        <v>10</v>
      </c>
      <c r="F1513" s="13" t="s">
        <v>34</v>
      </c>
      <c r="G1513" s="15">
        <v>738.09</v>
      </c>
      <c r="H1513" s="15">
        <v>738.09</v>
      </c>
      <c r="I1513" s="13">
        <v>9</v>
      </c>
      <c r="J1513" s="13">
        <v>9</v>
      </c>
      <c r="K1513" s="13" t="s">
        <v>35</v>
      </c>
      <c r="L1513" s="15">
        <v>82.01</v>
      </c>
      <c r="M1513" s="16">
        <v>82.01</v>
      </c>
    </row>
    <row r="1514" spans="1:13" s="5" customFormat="1" x14ac:dyDescent="0.25">
      <c r="A1514" s="12" t="s">
        <v>2926</v>
      </c>
      <c r="B1514" s="13" t="s">
        <v>2927</v>
      </c>
      <c r="C1514" s="14">
        <v>45258</v>
      </c>
      <c r="D1514" s="13">
        <v>2023</v>
      </c>
      <c r="E1514" s="13" t="s">
        <v>14</v>
      </c>
      <c r="F1514" s="13" t="s">
        <v>25</v>
      </c>
      <c r="G1514" s="15">
        <v>641.97</v>
      </c>
      <c r="H1514" s="15">
        <v>641.97</v>
      </c>
      <c r="I1514" s="13">
        <v>2</v>
      </c>
      <c r="J1514" s="13">
        <v>2</v>
      </c>
      <c r="K1514" s="13" t="s">
        <v>15</v>
      </c>
      <c r="L1514" s="15">
        <v>320.98500000000001</v>
      </c>
      <c r="M1514" s="16">
        <v>320.98500000000001</v>
      </c>
    </row>
    <row r="1515" spans="1:13" s="5" customFormat="1" x14ac:dyDescent="0.25">
      <c r="A1515" s="12" t="s">
        <v>2928</v>
      </c>
      <c r="B1515" s="13" t="s">
        <v>2893</v>
      </c>
      <c r="C1515" s="14">
        <v>45038</v>
      </c>
      <c r="D1515" s="13">
        <v>2023</v>
      </c>
      <c r="E1515" s="13" t="s">
        <v>21</v>
      </c>
      <c r="F1515" s="13" t="s">
        <v>22</v>
      </c>
      <c r="G1515" s="15">
        <v>1672.8291666666667</v>
      </c>
      <c r="H1515" s="15">
        <v>1672.8291666666667</v>
      </c>
      <c r="I1515" s="13">
        <v>10</v>
      </c>
      <c r="J1515" s="13">
        <v>10</v>
      </c>
      <c r="K1515" s="13" t="s">
        <v>18</v>
      </c>
      <c r="L1515" s="15">
        <v>167.28291666666667</v>
      </c>
      <c r="M1515" s="16">
        <v>167.28291666666667</v>
      </c>
    </row>
    <row r="1516" spans="1:13" s="5" customFormat="1" x14ac:dyDescent="0.25">
      <c r="A1516" s="12" t="s">
        <v>2929</v>
      </c>
      <c r="B1516" s="13" t="s">
        <v>978</v>
      </c>
      <c r="C1516" s="14">
        <v>45230</v>
      </c>
      <c r="D1516" s="13">
        <v>2023</v>
      </c>
      <c r="E1516" s="13" t="s">
        <v>10</v>
      </c>
      <c r="F1516" s="13" t="s">
        <v>22</v>
      </c>
      <c r="G1516" s="15">
        <v>1477.49</v>
      </c>
      <c r="H1516" s="15">
        <v>1477.49</v>
      </c>
      <c r="I1516" s="13">
        <v>2</v>
      </c>
      <c r="J1516" s="13">
        <v>2</v>
      </c>
      <c r="K1516" s="13" t="s">
        <v>15</v>
      </c>
      <c r="L1516" s="15">
        <v>738.745</v>
      </c>
      <c r="M1516" s="16">
        <v>738.745</v>
      </c>
    </row>
    <row r="1517" spans="1:13" s="5" customFormat="1" x14ac:dyDescent="0.25">
      <c r="A1517" s="12" t="s">
        <v>2930</v>
      </c>
      <c r="B1517" s="13" t="s">
        <v>2931</v>
      </c>
      <c r="C1517" s="14">
        <v>45581</v>
      </c>
      <c r="D1517" s="13">
        <v>2024</v>
      </c>
      <c r="E1517" s="13" t="s">
        <v>10</v>
      </c>
      <c r="F1517" s="13" t="s">
        <v>34</v>
      </c>
      <c r="G1517" s="15">
        <v>1319.53</v>
      </c>
      <c r="H1517" s="15">
        <v>1319.53</v>
      </c>
      <c r="I1517" s="13">
        <v>6</v>
      </c>
      <c r="J1517" s="13">
        <v>6</v>
      </c>
      <c r="K1517" s="13" t="s">
        <v>15</v>
      </c>
      <c r="L1517" s="15">
        <v>219.92166666666665</v>
      </c>
      <c r="M1517" s="16">
        <v>219.92166666666665</v>
      </c>
    </row>
    <row r="1518" spans="1:13" s="5" customFormat="1" x14ac:dyDescent="0.25">
      <c r="A1518" s="12" t="s">
        <v>2932</v>
      </c>
      <c r="B1518" s="13" t="s">
        <v>2933</v>
      </c>
      <c r="C1518" s="14">
        <v>45391</v>
      </c>
      <c r="D1518" s="13">
        <v>2024</v>
      </c>
      <c r="E1518" s="13" t="s">
        <v>10</v>
      </c>
      <c r="F1518" s="13" t="s">
        <v>22</v>
      </c>
      <c r="G1518" s="15">
        <v>1624.52</v>
      </c>
      <c r="H1518" s="15">
        <v>1624.52</v>
      </c>
      <c r="I1518" s="13">
        <v>10</v>
      </c>
      <c r="J1518" s="13">
        <v>10</v>
      </c>
      <c r="K1518" s="13" t="s">
        <v>3346</v>
      </c>
      <c r="L1518" s="15">
        <v>162.452</v>
      </c>
      <c r="M1518" s="16">
        <v>162.452</v>
      </c>
    </row>
    <row r="1519" spans="1:13" s="5" customFormat="1" x14ac:dyDescent="0.25">
      <c r="A1519" s="12" t="s">
        <v>2934</v>
      </c>
      <c r="B1519" s="13" t="s">
        <v>2935</v>
      </c>
      <c r="C1519" s="14">
        <v>45368</v>
      </c>
      <c r="D1519" s="13">
        <v>2024</v>
      </c>
      <c r="E1519" s="13" t="s">
        <v>21</v>
      </c>
      <c r="F1519" s="13" t="s">
        <v>34</v>
      </c>
      <c r="G1519" s="15">
        <v>1276.44</v>
      </c>
      <c r="H1519" s="15">
        <v>1276.44</v>
      </c>
      <c r="I1519" s="13">
        <v>3</v>
      </c>
      <c r="J1519" s="13">
        <v>3</v>
      </c>
      <c r="K1519" s="13" t="s">
        <v>18</v>
      </c>
      <c r="L1519" s="15">
        <v>425.48</v>
      </c>
      <c r="M1519" s="16">
        <v>377.9392559523809</v>
      </c>
    </row>
    <row r="1520" spans="1:13" s="5" customFormat="1" x14ac:dyDescent="0.25">
      <c r="A1520" s="12" t="s">
        <v>2936</v>
      </c>
      <c r="B1520" s="13" t="s">
        <v>2937</v>
      </c>
      <c r="C1520" s="14">
        <v>44859</v>
      </c>
      <c r="D1520" s="13">
        <v>2022</v>
      </c>
      <c r="E1520" s="13" t="s">
        <v>21</v>
      </c>
      <c r="F1520" s="13" t="s">
        <v>25</v>
      </c>
      <c r="G1520" s="15">
        <v>349.14</v>
      </c>
      <c r="H1520" s="15">
        <v>349.14</v>
      </c>
      <c r="I1520" s="13">
        <v>3</v>
      </c>
      <c r="J1520" s="13">
        <v>3</v>
      </c>
      <c r="K1520" s="13" t="s">
        <v>15</v>
      </c>
      <c r="L1520" s="15">
        <v>116.38</v>
      </c>
      <c r="M1520" s="16">
        <v>116.38</v>
      </c>
    </row>
    <row r="1521" spans="1:13" s="5" customFormat="1" x14ac:dyDescent="0.25">
      <c r="A1521" s="12" t="s">
        <v>2938</v>
      </c>
      <c r="B1521" s="13" t="s">
        <v>2939</v>
      </c>
      <c r="C1521" s="14">
        <v>45770</v>
      </c>
      <c r="D1521" s="13">
        <v>2025</v>
      </c>
      <c r="E1521" s="13" t="s">
        <v>3347</v>
      </c>
      <c r="F1521" s="13" t="s">
        <v>34</v>
      </c>
      <c r="G1521" s="15">
        <v>1529.79</v>
      </c>
      <c r="H1521" s="15">
        <v>1529.79</v>
      </c>
      <c r="I1521" s="13">
        <v>3</v>
      </c>
      <c r="J1521" s="13">
        <v>3</v>
      </c>
      <c r="K1521" s="13" t="s">
        <v>18</v>
      </c>
      <c r="L1521" s="15">
        <v>509.93</v>
      </c>
      <c r="M1521" s="16">
        <v>609.77208333333328</v>
      </c>
    </row>
    <row r="1522" spans="1:13" s="5" customFormat="1" x14ac:dyDescent="0.25">
      <c r="A1522" s="12" t="s">
        <v>2940</v>
      </c>
      <c r="B1522" s="13" t="s">
        <v>2941</v>
      </c>
      <c r="C1522" s="14">
        <v>45094</v>
      </c>
      <c r="D1522" s="13">
        <v>2023</v>
      </c>
      <c r="E1522" s="13" t="s">
        <v>21</v>
      </c>
      <c r="F1522" s="13" t="s">
        <v>22</v>
      </c>
      <c r="G1522" s="15">
        <v>1714.07</v>
      </c>
      <c r="H1522" s="15">
        <v>1714.07</v>
      </c>
      <c r="I1522" s="13">
        <v>2</v>
      </c>
      <c r="J1522" s="13">
        <v>2</v>
      </c>
      <c r="K1522" s="13" t="s">
        <v>15</v>
      </c>
      <c r="L1522" s="15">
        <v>857.03499999999997</v>
      </c>
      <c r="M1522" s="16">
        <v>857.03499999999997</v>
      </c>
    </row>
    <row r="1523" spans="1:13" s="5" customFormat="1" x14ac:dyDescent="0.25">
      <c r="A1523" s="12" t="s">
        <v>2942</v>
      </c>
      <c r="B1523" s="13" t="s">
        <v>2943</v>
      </c>
      <c r="C1523" s="14">
        <v>45059</v>
      </c>
      <c r="D1523" s="13">
        <v>2023</v>
      </c>
      <c r="E1523" s="13" t="s">
        <v>10</v>
      </c>
      <c r="F1523" s="13" t="s">
        <v>25</v>
      </c>
      <c r="G1523" s="15">
        <v>1252.8499999999999</v>
      </c>
      <c r="H1523" s="15">
        <v>1252.8499999999999</v>
      </c>
      <c r="I1523" s="13">
        <v>3</v>
      </c>
      <c r="J1523" s="13">
        <v>3</v>
      </c>
      <c r="K1523" s="13" t="s">
        <v>15</v>
      </c>
      <c r="L1523" s="15">
        <v>417.61666666666662</v>
      </c>
      <c r="M1523" s="16">
        <v>417.61666666666662</v>
      </c>
    </row>
    <row r="1524" spans="1:13" s="5" customFormat="1" x14ac:dyDescent="0.25">
      <c r="A1524" s="12" t="s">
        <v>2944</v>
      </c>
      <c r="B1524" s="13" t="s">
        <v>2945</v>
      </c>
      <c r="C1524" s="14">
        <v>45481</v>
      </c>
      <c r="D1524" s="13">
        <v>2024</v>
      </c>
      <c r="E1524" s="13" t="s">
        <v>14</v>
      </c>
      <c r="F1524" s="13" t="s">
        <v>11</v>
      </c>
      <c r="G1524" s="15">
        <v>1404.15</v>
      </c>
      <c r="H1524" s="15">
        <v>1404.15</v>
      </c>
      <c r="I1524" s="13">
        <v>3</v>
      </c>
      <c r="J1524" s="13">
        <v>3</v>
      </c>
      <c r="K1524" s="13" t="s">
        <v>35</v>
      </c>
      <c r="L1524" s="15">
        <v>468.05</v>
      </c>
      <c r="M1524" s="16">
        <v>468.05</v>
      </c>
    </row>
    <row r="1525" spans="1:13" s="5" customFormat="1" x14ac:dyDescent="0.25">
      <c r="A1525" s="12" t="s">
        <v>2946</v>
      </c>
      <c r="B1525" s="13" t="s">
        <v>2947</v>
      </c>
      <c r="C1525" s="14">
        <v>45767</v>
      </c>
      <c r="D1525" s="13">
        <v>2025</v>
      </c>
      <c r="E1525" s="13" t="s">
        <v>14</v>
      </c>
      <c r="F1525" s="13" t="s">
        <v>11</v>
      </c>
      <c r="G1525" s="15">
        <v>1292.19</v>
      </c>
      <c r="H1525" s="15">
        <v>1292.19</v>
      </c>
      <c r="I1525" s="13">
        <v>9</v>
      </c>
      <c r="J1525" s="13">
        <v>9</v>
      </c>
      <c r="K1525" s="13" t="s">
        <v>18</v>
      </c>
      <c r="L1525" s="15">
        <v>143.57666666666668</v>
      </c>
      <c r="M1525" s="16">
        <v>143.57666666666668</v>
      </c>
    </row>
    <row r="1526" spans="1:13" s="5" customFormat="1" x14ac:dyDescent="0.25">
      <c r="A1526" s="12" t="s">
        <v>2948</v>
      </c>
      <c r="B1526" s="13" t="s">
        <v>2949</v>
      </c>
      <c r="C1526" s="14">
        <v>45550</v>
      </c>
      <c r="D1526" s="13">
        <v>2024</v>
      </c>
      <c r="E1526" s="13" t="s">
        <v>10</v>
      </c>
      <c r="F1526" s="13" t="s">
        <v>11</v>
      </c>
      <c r="G1526" s="15">
        <v>1461.14</v>
      </c>
      <c r="H1526" s="15">
        <v>1461.14</v>
      </c>
      <c r="I1526" s="13">
        <v>6</v>
      </c>
      <c r="J1526" s="13">
        <v>6</v>
      </c>
      <c r="K1526" s="13" t="s">
        <v>35</v>
      </c>
      <c r="L1526" s="15">
        <v>243.52333333333334</v>
      </c>
      <c r="M1526" s="16">
        <v>243.52333333333334</v>
      </c>
    </row>
    <row r="1527" spans="1:13" s="5" customFormat="1" x14ac:dyDescent="0.25">
      <c r="A1527" s="12" t="s">
        <v>2950</v>
      </c>
      <c r="B1527" s="13" t="s">
        <v>2424</v>
      </c>
      <c r="C1527" s="14">
        <v>45578</v>
      </c>
      <c r="D1527" s="13">
        <v>2024</v>
      </c>
      <c r="E1527" s="13" t="s">
        <v>21</v>
      </c>
      <c r="F1527" s="13" t="s">
        <v>11</v>
      </c>
      <c r="G1527" s="15">
        <v>691.13629629629634</v>
      </c>
      <c r="H1527" s="15">
        <v>691.13629629629634</v>
      </c>
      <c r="I1527" s="13">
        <v>2</v>
      </c>
      <c r="J1527" s="13">
        <v>2</v>
      </c>
      <c r="K1527" s="13" t="s">
        <v>15</v>
      </c>
      <c r="L1527" s="15">
        <v>345.56814814814817</v>
      </c>
      <c r="M1527" s="16">
        <v>345.56814814814817</v>
      </c>
    </row>
    <row r="1528" spans="1:13" s="5" customFormat="1" x14ac:dyDescent="0.25">
      <c r="A1528" s="12" t="s">
        <v>2951</v>
      </c>
      <c r="B1528" s="13" t="s">
        <v>2952</v>
      </c>
      <c r="C1528" s="14">
        <v>45395</v>
      </c>
      <c r="D1528" s="13">
        <v>2024</v>
      </c>
      <c r="E1528" s="13" t="s">
        <v>3347</v>
      </c>
      <c r="F1528" s="13" t="s">
        <v>11</v>
      </c>
      <c r="G1528" s="15">
        <v>1931.81</v>
      </c>
      <c r="H1528" s="15">
        <v>1931.81</v>
      </c>
      <c r="I1528" s="13">
        <v>3</v>
      </c>
      <c r="J1528" s="13">
        <v>3</v>
      </c>
      <c r="K1528" s="13" t="s">
        <v>18</v>
      </c>
      <c r="L1528" s="15">
        <v>643.93666666666661</v>
      </c>
      <c r="M1528" s="16">
        <v>643.93666666666661</v>
      </c>
    </row>
    <row r="1529" spans="1:13" s="5" customFormat="1" x14ac:dyDescent="0.25">
      <c r="A1529" s="12" t="s">
        <v>2953</v>
      </c>
      <c r="B1529" s="13" t="s">
        <v>1789</v>
      </c>
      <c r="C1529" s="14">
        <v>45708</v>
      </c>
      <c r="D1529" s="13">
        <v>2025</v>
      </c>
      <c r="E1529" s="13" t="s">
        <v>14</v>
      </c>
      <c r="F1529" s="13" t="s">
        <v>22</v>
      </c>
      <c r="G1529" s="15">
        <v>130.34</v>
      </c>
      <c r="H1529" s="15">
        <v>130.34</v>
      </c>
      <c r="I1529" s="13">
        <v>1</v>
      </c>
      <c r="J1529" s="13">
        <v>1</v>
      </c>
      <c r="K1529" s="13" t="s">
        <v>3346</v>
      </c>
      <c r="L1529" s="15">
        <v>130.34</v>
      </c>
      <c r="M1529" s="16">
        <v>130.34</v>
      </c>
    </row>
    <row r="1530" spans="1:13" s="5" customFormat="1" x14ac:dyDescent="0.25">
      <c r="A1530" s="12" t="s">
        <v>2954</v>
      </c>
      <c r="B1530" s="13" t="s">
        <v>2955</v>
      </c>
      <c r="C1530" s="14">
        <v>45284</v>
      </c>
      <c r="D1530" s="13">
        <v>2023</v>
      </c>
      <c r="E1530" s="13" t="s">
        <v>10</v>
      </c>
      <c r="F1530" s="13" t="s">
        <v>34</v>
      </c>
      <c r="G1530" s="15">
        <v>1272.49</v>
      </c>
      <c r="H1530" s="15">
        <v>1272.49</v>
      </c>
      <c r="I1530" s="13">
        <v>5</v>
      </c>
      <c r="J1530" s="13">
        <v>5</v>
      </c>
      <c r="K1530" s="13" t="s">
        <v>3346</v>
      </c>
      <c r="L1530" s="15">
        <v>254.49799999999999</v>
      </c>
      <c r="M1530" s="16">
        <v>254.49799999999999</v>
      </c>
    </row>
    <row r="1531" spans="1:13" s="5" customFormat="1" x14ac:dyDescent="0.25">
      <c r="A1531" s="12" t="s">
        <v>2956</v>
      </c>
      <c r="B1531" s="13" t="s">
        <v>2957</v>
      </c>
      <c r="C1531" s="14">
        <v>45098</v>
      </c>
      <c r="D1531" s="13">
        <v>2023</v>
      </c>
      <c r="E1531" s="13" t="s">
        <v>21</v>
      </c>
      <c r="F1531" s="13" t="s">
        <v>25</v>
      </c>
      <c r="G1531" s="15">
        <v>1469.430277777778</v>
      </c>
      <c r="H1531" s="15">
        <v>1469.430277777778</v>
      </c>
      <c r="I1531" s="13">
        <v>8</v>
      </c>
      <c r="J1531" s="13">
        <v>8</v>
      </c>
      <c r="K1531" s="13" t="s">
        <v>3346</v>
      </c>
      <c r="L1531" s="15">
        <v>183.67878472222225</v>
      </c>
      <c r="M1531" s="16">
        <v>183.67878472222225</v>
      </c>
    </row>
    <row r="1532" spans="1:13" s="5" customFormat="1" x14ac:dyDescent="0.25">
      <c r="A1532" s="12" t="s">
        <v>2958</v>
      </c>
      <c r="B1532" s="13" t="s">
        <v>2959</v>
      </c>
      <c r="C1532" s="14">
        <v>44900</v>
      </c>
      <c r="D1532" s="13">
        <v>2022</v>
      </c>
      <c r="E1532" s="13" t="s">
        <v>3347</v>
      </c>
      <c r="F1532" s="13" t="s">
        <v>34</v>
      </c>
      <c r="G1532" s="15">
        <v>1429.4363321428573</v>
      </c>
      <c r="H1532" s="15">
        <v>1429.4363321428573</v>
      </c>
      <c r="I1532" s="13">
        <v>6</v>
      </c>
      <c r="J1532" s="13">
        <v>6</v>
      </c>
      <c r="K1532" s="13" t="s">
        <v>18</v>
      </c>
      <c r="L1532" s="15">
        <v>238.2393886904762</v>
      </c>
      <c r="M1532" s="16">
        <v>238.2393886904762</v>
      </c>
    </row>
    <row r="1533" spans="1:13" s="5" customFormat="1" x14ac:dyDescent="0.25">
      <c r="A1533" s="12" t="s">
        <v>2960</v>
      </c>
      <c r="B1533" s="13" t="s">
        <v>2961</v>
      </c>
      <c r="C1533" s="14">
        <v>45784</v>
      </c>
      <c r="D1533" s="13">
        <v>2025</v>
      </c>
      <c r="E1533" s="13" t="s">
        <v>14</v>
      </c>
      <c r="F1533" s="13" t="s">
        <v>25</v>
      </c>
      <c r="G1533" s="15">
        <v>1528.24</v>
      </c>
      <c r="H1533" s="15">
        <v>1528.24</v>
      </c>
      <c r="I1533" s="13">
        <v>6</v>
      </c>
      <c r="J1533" s="13">
        <v>6</v>
      </c>
      <c r="K1533" s="13" t="s">
        <v>18</v>
      </c>
      <c r="L1533" s="15">
        <v>254.70666666666668</v>
      </c>
      <c r="M1533" s="16">
        <v>254.70666666666668</v>
      </c>
    </row>
    <row r="1534" spans="1:13" s="5" customFormat="1" x14ac:dyDescent="0.25">
      <c r="A1534" s="12" t="s">
        <v>2962</v>
      </c>
      <c r="B1534" s="13" t="s">
        <v>2963</v>
      </c>
      <c r="C1534" s="14">
        <v>44952</v>
      </c>
      <c r="D1534" s="13">
        <v>2023</v>
      </c>
      <c r="E1534" s="13" t="s">
        <v>10</v>
      </c>
      <c r="F1534" s="13" t="s">
        <v>34</v>
      </c>
      <c r="G1534" s="15">
        <v>1341.65</v>
      </c>
      <c r="H1534" s="15">
        <v>1341.65</v>
      </c>
      <c r="I1534" s="13">
        <v>9</v>
      </c>
      <c r="J1534" s="13">
        <v>9</v>
      </c>
      <c r="K1534" s="13" t="s">
        <v>18</v>
      </c>
      <c r="L1534" s="15">
        <v>149.07222222222222</v>
      </c>
      <c r="M1534" s="16">
        <v>149.07222222222222</v>
      </c>
    </row>
    <row r="1535" spans="1:13" s="5" customFormat="1" x14ac:dyDescent="0.25">
      <c r="A1535" s="12" t="s">
        <v>2964</v>
      </c>
      <c r="B1535" s="13" t="s">
        <v>2965</v>
      </c>
      <c r="C1535" s="14">
        <v>45688</v>
      </c>
      <c r="D1535" s="13">
        <v>2025</v>
      </c>
      <c r="E1535" s="13" t="s">
        <v>3347</v>
      </c>
      <c r="F1535" s="13" t="s">
        <v>25</v>
      </c>
      <c r="G1535" s="15">
        <v>1214.18625</v>
      </c>
      <c r="H1535" s="15">
        <v>1214.18625</v>
      </c>
      <c r="I1535" s="13">
        <v>2</v>
      </c>
      <c r="J1535" s="13">
        <v>2</v>
      </c>
      <c r="K1535" s="13" t="s">
        <v>3346</v>
      </c>
      <c r="L1535" s="15">
        <v>607.09312499999999</v>
      </c>
      <c r="M1535" s="16">
        <v>607.09312499999999</v>
      </c>
    </row>
    <row r="1536" spans="1:13" s="5" customFormat="1" x14ac:dyDescent="0.25">
      <c r="A1536" s="12" t="s">
        <v>2966</v>
      </c>
      <c r="B1536" s="13" t="s">
        <v>2967</v>
      </c>
      <c r="C1536" s="14">
        <v>45730</v>
      </c>
      <c r="D1536" s="13">
        <v>2025</v>
      </c>
      <c r="E1536" s="13" t="s">
        <v>21</v>
      </c>
      <c r="F1536" s="13" t="s">
        <v>34</v>
      </c>
      <c r="G1536" s="15">
        <v>1508.17</v>
      </c>
      <c r="H1536" s="15">
        <v>1508.17</v>
      </c>
      <c r="I1536" s="13">
        <v>2</v>
      </c>
      <c r="J1536" s="13">
        <v>2</v>
      </c>
      <c r="K1536" s="13" t="s">
        <v>3348</v>
      </c>
      <c r="L1536" s="15">
        <v>754.08500000000004</v>
      </c>
      <c r="M1536" s="16">
        <v>754.08500000000004</v>
      </c>
    </row>
    <row r="1537" spans="1:13" s="5" customFormat="1" x14ac:dyDescent="0.25">
      <c r="A1537" s="12" t="s">
        <v>2968</v>
      </c>
      <c r="B1537" s="13" t="s">
        <v>2969</v>
      </c>
      <c r="C1537" s="14">
        <v>45077</v>
      </c>
      <c r="D1537" s="13">
        <v>2023</v>
      </c>
      <c r="E1537" s="13" t="s">
        <v>21</v>
      </c>
      <c r="F1537" s="13" t="s">
        <v>22</v>
      </c>
      <c r="G1537" s="15">
        <v>1551.64</v>
      </c>
      <c r="H1537" s="15">
        <v>1551.64</v>
      </c>
      <c r="I1537" s="13">
        <v>5</v>
      </c>
      <c r="J1537" s="13">
        <v>5</v>
      </c>
      <c r="K1537" s="13" t="s">
        <v>35</v>
      </c>
      <c r="L1537" s="15">
        <v>310.32800000000003</v>
      </c>
      <c r="M1537" s="16">
        <v>310.32800000000003</v>
      </c>
    </row>
    <row r="1538" spans="1:13" s="5" customFormat="1" x14ac:dyDescent="0.25">
      <c r="A1538" s="12" t="s">
        <v>2970</v>
      </c>
      <c r="B1538" s="13" t="s">
        <v>2971</v>
      </c>
      <c r="C1538" s="14">
        <v>45069</v>
      </c>
      <c r="D1538" s="13">
        <v>2023</v>
      </c>
      <c r="E1538" s="13" t="s">
        <v>14</v>
      </c>
      <c r="F1538" s="13" t="s">
        <v>22</v>
      </c>
      <c r="G1538" s="15">
        <v>725.79</v>
      </c>
      <c r="H1538" s="15">
        <v>725.79</v>
      </c>
      <c r="I1538" s="13">
        <v>3</v>
      </c>
      <c r="J1538" s="13">
        <v>3</v>
      </c>
      <c r="K1538" s="13" t="s">
        <v>18</v>
      </c>
      <c r="L1538" s="15">
        <v>241.92999999999998</v>
      </c>
      <c r="M1538" s="16">
        <v>230.5160595238095</v>
      </c>
    </row>
    <row r="1539" spans="1:13" s="5" customFormat="1" x14ac:dyDescent="0.25">
      <c r="A1539" s="12" t="s">
        <v>2972</v>
      </c>
      <c r="B1539" s="13" t="s">
        <v>2973</v>
      </c>
      <c r="C1539" s="14">
        <v>45326</v>
      </c>
      <c r="D1539" s="13">
        <v>2024</v>
      </c>
      <c r="E1539" s="13" t="s">
        <v>21</v>
      </c>
      <c r="F1539" s="13" t="s">
        <v>25</v>
      </c>
      <c r="G1539" s="15">
        <v>1897.33</v>
      </c>
      <c r="H1539" s="15">
        <v>1897.33</v>
      </c>
      <c r="I1539" s="13">
        <v>10</v>
      </c>
      <c r="J1539" s="13">
        <v>10</v>
      </c>
      <c r="K1539" s="13" t="s">
        <v>15</v>
      </c>
      <c r="L1539" s="15">
        <v>189.733</v>
      </c>
      <c r="M1539" s="16">
        <v>183.05051020408163</v>
      </c>
    </row>
    <row r="1540" spans="1:13" s="5" customFormat="1" x14ac:dyDescent="0.25">
      <c r="A1540" s="12" t="s">
        <v>2974</v>
      </c>
      <c r="B1540" s="13" t="s">
        <v>2975</v>
      </c>
      <c r="C1540" s="14">
        <v>45713</v>
      </c>
      <c r="D1540" s="13">
        <v>2025</v>
      </c>
      <c r="E1540" s="13" t="s">
        <v>10</v>
      </c>
      <c r="F1540" s="13" t="s">
        <v>22</v>
      </c>
      <c r="G1540" s="15">
        <v>957.52</v>
      </c>
      <c r="H1540" s="15">
        <v>957.52</v>
      </c>
      <c r="I1540" s="13">
        <v>3</v>
      </c>
      <c r="J1540" s="13">
        <v>3</v>
      </c>
      <c r="K1540" s="13" t="s">
        <v>18</v>
      </c>
      <c r="L1540" s="15">
        <v>319.17333333333335</v>
      </c>
      <c r="M1540" s="16">
        <v>319.17333333333335</v>
      </c>
    </row>
    <row r="1541" spans="1:13" s="5" customFormat="1" x14ac:dyDescent="0.25">
      <c r="A1541" s="12" t="s">
        <v>2976</v>
      </c>
      <c r="B1541" s="13" t="s">
        <v>2977</v>
      </c>
      <c r="C1541" s="14">
        <v>44990</v>
      </c>
      <c r="D1541" s="13">
        <v>2023</v>
      </c>
      <c r="E1541" s="13" t="s">
        <v>3347</v>
      </c>
      <c r="F1541" s="13" t="s">
        <v>22</v>
      </c>
      <c r="G1541" s="15">
        <v>1663.4</v>
      </c>
      <c r="H1541" s="15">
        <v>1663.4</v>
      </c>
      <c r="I1541" s="13">
        <v>1</v>
      </c>
      <c r="J1541" s="13">
        <v>1</v>
      </c>
      <c r="K1541" s="13" t="s">
        <v>3348</v>
      </c>
      <c r="L1541" s="15">
        <v>1663.4</v>
      </c>
      <c r="M1541" s="16">
        <v>1663.4</v>
      </c>
    </row>
    <row r="1542" spans="1:13" s="5" customFormat="1" x14ac:dyDescent="0.25">
      <c r="A1542" s="12" t="s">
        <v>2978</v>
      </c>
      <c r="B1542" s="13" t="s">
        <v>2979</v>
      </c>
      <c r="C1542" s="14">
        <v>45100</v>
      </c>
      <c r="D1542" s="13">
        <v>2023</v>
      </c>
      <c r="E1542" s="13" t="s">
        <v>3347</v>
      </c>
      <c r="F1542" s="13" t="s">
        <v>22</v>
      </c>
      <c r="G1542" s="15">
        <v>549.16</v>
      </c>
      <c r="H1542" s="15">
        <v>549.16</v>
      </c>
      <c r="I1542" s="13">
        <v>9</v>
      </c>
      <c r="J1542" s="13">
        <v>9</v>
      </c>
      <c r="K1542" s="13" t="s">
        <v>3348</v>
      </c>
      <c r="L1542" s="15">
        <v>61.017777777777773</v>
      </c>
      <c r="M1542" s="16">
        <v>61.017777777777773</v>
      </c>
    </row>
    <row r="1543" spans="1:13" s="5" customFormat="1" x14ac:dyDescent="0.25">
      <c r="A1543" s="12" t="s">
        <v>2980</v>
      </c>
      <c r="B1543" s="13" t="s">
        <v>2981</v>
      </c>
      <c r="C1543" s="14">
        <v>45520</v>
      </c>
      <c r="D1543" s="13">
        <v>2024</v>
      </c>
      <c r="E1543" s="13" t="s">
        <v>10</v>
      </c>
      <c r="F1543" s="13" t="s">
        <v>34</v>
      </c>
      <c r="G1543" s="15">
        <v>251.66</v>
      </c>
      <c r="H1543" s="15">
        <v>251.66</v>
      </c>
      <c r="I1543" s="13">
        <v>9</v>
      </c>
      <c r="J1543" s="13">
        <v>9</v>
      </c>
      <c r="K1543" s="13" t="s">
        <v>3346</v>
      </c>
      <c r="L1543" s="15">
        <v>27.962222222222223</v>
      </c>
      <c r="M1543" s="16">
        <v>27.962222222222223</v>
      </c>
    </row>
    <row r="1544" spans="1:13" s="5" customFormat="1" x14ac:dyDescent="0.25">
      <c r="A1544" s="12" t="s">
        <v>2982</v>
      </c>
      <c r="B1544" s="13" t="s">
        <v>2983</v>
      </c>
      <c r="C1544" s="14">
        <v>44929</v>
      </c>
      <c r="D1544" s="13">
        <v>2023</v>
      </c>
      <c r="E1544" s="13" t="s">
        <v>3347</v>
      </c>
      <c r="F1544" s="13" t="s">
        <v>22</v>
      </c>
      <c r="G1544" s="15">
        <v>1855.05</v>
      </c>
      <c r="H1544" s="15">
        <v>1855.05</v>
      </c>
      <c r="I1544" s="13">
        <v>4</v>
      </c>
      <c r="J1544" s="13">
        <v>4</v>
      </c>
      <c r="K1544" s="13" t="s">
        <v>35</v>
      </c>
      <c r="L1544" s="15">
        <v>463.76249999999999</v>
      </c>
      <c r="M1544" s="16">
        <v>463.76249999999999</v>
      </c>
    </row>
    <row r="1545" spans="1:13" s="5" customFormat="1" x14ac:dyDescent="0.25">
      <c r="A1545" s="12" t="s">
        <v>2984</v>
      </c>
      <c r="B1545" s="13" t="s">
        <v>2985</v>
      </c>
      <c r="C1545" s="14">
        <v>45335</v>
      </c>
      <c r="D1545" s="13">
        <v>2024</v>
      </c>
      <c r="E1545" s="13" t="s">
        <v>10</v>
      </c>
      <c r="F1545" s="13" t="s">
        <v>34</v>
      </c>
      <c r="G1545" s="15">
        <v>1193.8599999999999</v>
      </c>
      <c r="H1545" s="15">
        <v>1193.8599999999999</v>
      </c>
      <c r="I1545" s="13">
        <v>3</v>
      </c>
      <c r="J1545" s="13">
        <v>3</v>
      </c>
      <c r="K1545" s="13" t="s">
        <v>15</v>
      </c>
      <c r="L1545" s="15">
        <v>397.95333333333332</v>
      </c>
      <c r="M1545" s="16">
        <v>397.95333333333332</v>
      </c>
    </row>
    <row r="1546" spans="1:13" s="5" customFormat="1" x14ac:dyDescent="0.25">
      <c r="A1546" s="12" t="s">
        <v>2986</v>
      </c>
      <c r="B1546" s="13" t="s">
        <v>2987</v>
      </c>
      <c r="C1546" s="14">
        <v>45604</v>
      </c>
      <c r="D1546" s="13">
        <v>2024</v>
      </c>
      <c r="E1546" s="13" t="s">
        <v>21</v>
      </c>
      <c r="F1546" s="13" t="s">
        <v>22</v>
      </c>
      <c r="G1546" s="15">
        <v>496.99</v>
      </c>
      <c r="H1546" s="15">
        <v>496.99</v>
      </c>
      <c r="I1546" s="13">
        <v>4</v>
      </c>
      <c r="J1546" s="13">
        <v>4</v>
      </c>
      <c r="K1546" s="13" t="s">
        <v>35</v>
      </c>
      <c r="L1546" s="15">
        <v>124.2475</v>
      </c>
      <c r="M1546" s="16">
        <v>124.2475</v>
      </c>
    </row>
    <row r="1547" spans="1:13" s="5" customFormat="1" x14ac:dyDescent="0.25">
      <c r="A1547" s="12" t="s">
        <v>2988</v>
      </c>
      <c r="B1547" s="13" t="s">
        <v>2989</v>
      </c>
      <c r="C1547" s="14">
        <v>45125</v>
      </c>
      <c r="D1547" s="13">
        <v>2023</v>
      </c>
      <c r="E1547" s="13" t="s">
        <v>14</v>
      </c>
      <c r="F1547" s="13" t="s">
        <v>25</v>
      </c>
      <c r="G1547" s="15">
        <v>1590.02</v>
      </c>
      <c r="H1547" s="15">
        <v>1590.02</v>
      </c>
      <c r="I1547" s="13">
        <v>5</v>
      </c>
      <c r="J1547" s="13">
        <v>5</v>
      </c>
      <c r="K1547" s="13" t="s">
        <v>3348</v>
      </c>
      <c r="L1547" s="15">
        <v>318.00400000000002</v>
      </c>
      <c r="M1547" s="16">
        <v>318.00400000000002</v>
      </c>
    </row>
    <row r="1548" spans="1:13" s="5" customFormat="1" x14ac:dyDescent="0.25">
      <c r="A1548" s="12" t="s">
        <v>2990</v>
      </c>
      <c r="B1548" s="13" t="s">
        <v>1231</v>
      </c>
      <c r="C1548" s="14">
        <v>45940</v>
      </c>
      <c r="D1548" s="13">
        <v>2025</v>
      </c>
      <c r="E1548" s="13" t="s">
        <v>14</v>
      </c>
      <c r="F1548" s="13" t="s">
        <v>34</v>
      </c>
      <c r="G1548" s="15">
        <v>1416.1</v>
      </c>
      <c r="H1548" s="15">
        <v>1416.1</v>
      </c>
      <c r="I1548" s="13">
        <v>7</v>
      </c>
      <c r="J1548" s="13">
        <v>7</v>
      </c>
      <c r="K1548" s="13" t="s">
        <v>15</v>
      </c>
      <c r="L1548" s="15">
        <v>202.29999999999998</v>
      </c>
      <c r="M1548" s="16">
        <v>189.99304166666667</v>
      </c>
    </row>
    <row r="1549" spans="1:13" s="5" customFormat="1" x14ac:dyDescent="0.25">
      <c r="A1549" s="12" t="s">
        <v>2991</v>
      </c>
      <c r="B1549" s="13" t="s">
        <v>2992</v>
      </c>
      <c r="C1549" s="14">
        <v>45822</v>
      </c>
      <c r="D1549" s="13">
        <v>2025</v>
      </c>
      <c r="E1549" s="13" t="s">
        <v>14</v>
      </c>
      <c r="F1549" s="13" t="s">
        <v>34</v>
      </c>
      <c r="G1549" s="15">
        <v>1321.24</v>
      </c>
      <c r="H1549" s="15">
        <v>1321.24</v>
      </c>
      <c r="I1549" s="13">
        <v>9</v>
      </c>
      <c r="J1549" s="13">
        <v>9</v>
      </c>
      <c r="K1549" s="13" t="s">
        <v>35</v>
      </c>
      <c r="L1549" s="15">
        <v>146.80444444444444</v>
      </c>
      <c r="M1549" s="16">
        <v>146.80444444444444</v>
      </c>
    </row>
    <row r="1550" spans="1:13" s="5" customFormat="1" x14ac:dyDescent="0.25">
      <c r="A1550" s="12" t="s">
        <v>2993</v>
      </c>
      <c r="B1550" s="13" t="s">
        <v>2994</v>
      </c>
      <c r="C1550" s="14">
        <v>45754</v>
      </c>
      <c r="D1550" s="13">
        <v>2025</v>
      </c>
      <c r="E1550" s="13" t="s">
        <v>3347</v>
      </c>
      <c r="F1550" s="13" t="s">
        <v>25</v>
      </c>
      <c r="G1550" s="15">
        <v>480.75</v>
      </c>
      <c r="H1550" s="15">
        <v>480.75</v>
      </c>
      <c r="I1550" s="13">
        <v>10</v>
      </c>
      <c r="J1550" s="13">
        <v>10</v>
      </c>
      <c r="K1550" s="13" t="s">
        <v>15</v>
      </c>
      <c r="L1550" s="15">
        <v>48.075000000000003</v>
      </c>
      <c r="M1550" s="16">
        <v>48.075000000000003</v>
      </c>
    </row>
    <row r="1551" spans="1:13" s="5" customFormat="1" x14ac:dyDescent="0.25">
      <c r="A1551" s="12" t="s">
        <v>2995</v>
      </c>
      <c r="B1551" s="13" t="s">
        <v>2996</v>
      </c>
      <c r="C1551" s="14">
        <v>45856</v>
      </c>
      <c r="D1551" s="13">
        <v>2025</v>
      </c>
      <c r="E1551" s="13" t="s">
        <v>3347</v>
      </c>
      <c r="F1551" s="13" t="s">
        <v>34</v>
      </c>
      <c r="G1551" s="15">
        <v>1602.73</v>
      </c>
      <c r="H1551" s="15">
        <v>1602.73</v>
      </c>
      <c r="I1551" s="13">
        <v>2</v>
      </c>
      <c r="J1551" s="13">
        <v>2</v>
      </c>
      <c r="K1551" s="13" t="s">
        <v>35</v>
      </c>
      <c r="L1551" s="15">
        <v>801.36500000000001</v>
      </c>
      <c r="M1551" s="16">
        <v>801.36500000000001</v>
      </c>
    </row>
    <row r="1552" spans="1:13" s="5" customFormat="1" x14ac:dyDescent="0.25">
      <c r="A1552" s="12" t="s">
        <v>2997</v>
      </c>
      <c r="B1552" s="13" t="s">
        <v>2998</v>
      </c>
      <c r="C1552" s="14">
        <v>45175</v>
      </c>
      <c r="D1552" s="13">
        <v>2023</v>
      </c>
      <c r="E1552" s="13" t="s">
        <v>10</v>
      </c>
      <c r="F1552" s="13" t="s">
        <v>22</v>
      </c>
      <c r="G1552" s="15">
        <v>1827.82</v>
      </c>
      <c r="H1552" s="15">
        <v>1827.82</v>
      </c>
      <c r="I1552" s="13">
        <v>1</v>
      </c>
      <c r="J1552" s="13">
        <v>1</v>
      </c>
      <c r="K1552" s="13" t="s">
        <v>3348</v>
      </c>
      <c r="L1552" s="15">
        <v>1827.82</v>
      </c>
      <c r="M1552" s="16">
        <v>1827.82</v>
      </c>
    </row>
    <row r="1553" spans="1:13" s="5" customFormat="1" x14ac:dyDescent="0.25">
      <c r="A1553" s="12" t="s">
        <v>2999</v>
      </c>
      <c r="B1553" s="13" t="s">
        <v>3000</v>
      </c>
      <c r="C1553" s="14">
        <v>45013</v>
      </c>
      <c r="D1553" s="13">
        <v>2023</v>
      </c>
      <c r="E1553" s="13" t="s">
        <v>3347</v>
      </c>
      <c r="F1553" s="13" t="s">
        <v>34</v>
      </c>
      <c r="G1553" s="15">
        <v>1661.6</v>
      </c>
      <c r="H1553" s="15">
        <v>1661.6</v>
      </c>
      <c r="I1553" s="13">
        <v>1</v>
      </c>
      <c r="J1553" s="13">
        <v>1</v>
      </c>
      <c r="K1553" s="13" t="s">
        <v>3348</v>
      </c>
      <c r="L1553" s="15">
        <v>1661.6</v>
      </c>
      <c r="M1553" s="16">
        <v>1661.6</v>
      </c>
    </row>
    <row r="1554" spans="1:13" s="5" customFormat="1" x14ac:dyDescent="0.25">
      <c r="A1554" s="12" t="s">
        <v>3001</v>
      </c>
      <c r="B1554" s="13" t="s">
        <v>3002</v>
      </c>
      <c r="C1554" s="14">
        <v>45232</v>
      </c>
      <c r="D1554" s="13">
        <v>2023</v>
      </c>
      <c r="E1554" s="13" t="s">
        <v>3347</v>
      </c>
      <c r="F1554" s="13" t="s">
        <v>22</v>
      </c>
      <c r="G1554" s="15">
        <v>1335.53</v>
      </c>
      <c r="H1554" s="15">
        <v>1335.53</v>
      </c>
      <c r="I1554" s="13">
        <v>2</v>
      </c>
      <c r="J1554" s="13">
        <v>2</v>
      </c>
      <c r="K1554" s="13" t="s">
        <v>3346</v>
      </c>
      <c r="L1554" s="15">
        <v>667.76499999999999</v>
      </c>
      <c r="M1554" s="16">
        <v>667.76499999999999</v>
      </c>
    </row>
    <row r="1555" spans="1:13" s="5" customFormat="1" x14ac:dyDescent="0.25">
      <c r="A1555" s="12" t="s">
        <v>3003</v>
      </c>
      <c r="B1555" s="13" t="s">
        <v>3004</v>
      </c>
      <c r="C1555" s="14">
        <v>45879</v>
      </c>
      <c r="D1555" s="13">
        <v>2025</v>
      </c>
      <c r="E1555" s="13" t="s">
        <v>14</v>
      </c>
      <c r="F1555" s="13" t="s">
        <v>25</v>
      </c>
      <c r="G1555" s="15">
        <v>418.38</v>
      </c>
      <c r="H1555" s="15">
        <v>418.38</v>
      </c>
      <c r="I1555" s="13">
        <v>10</v>
      </c>
      <c r="J1555" s="13">
        <v>10</v>
      </c>
      <c r="K1555" s="13" t="s">
        <v>15</v>
      </c>
      <c r="L1555" s="15">
        <v>41.838000000000001</v>
      </c>
      <c r="M1555" s="16">
        <v>41.838000000000001</v>
      </c>
    </row>
    <row r="1556" spans="1:13" s="5" customFormat="1" x14ac:dyDescent="0.25">
      <c r="A1556" s="12" t="s">
        <v>3005</v>
      </c>
      <c r="B1556" s="13" t="s">
        <v>1442</v>
      </c>
      <c r="C1556" s="14">
        <v>45478</v>
      </c>
      <c r="D1556" s="13">
        <v>2024</v>
      </c>
      <c r="E1556" s="13" t="s">
        <v>3347</v>
      </c>
      <c r="F1556" s="13" t="s">
        <v>25</v>
      </c>
      <c r="G1556" s="15">
        <v>964.28</v>
      </c>
      <c r="H1556" s="15">
        <v>964.28</v>
      </c>
      <c r="I1556" s="13">
        <v>9</v>
      </c>
      <c r="J1556" s="13">
        <v>9</v>
      </c>
      <c r="K1556" s="13" t="s">
        <v>3346</v>
      </c>
      <c r="L1556" s="15">
        <v>107.14222222222222</v>
      </c>
      <c r="M1556" s="16">
        <v>107.14222222222222</v>
      </c>
    </row>
    <row r="1557" spans="1:13" s="5" customFormat="1" x14ac:dyDescent="0.25">
      <c r="A1557" s="12" t="s">
        <v>3006</v>
      </c>
      <c r="B1557" s="13" t="s">
        <v>498</v>
      </c>
      <c r="C1557" s="14">
        <v>44941</v>
      </c>
      <c r="D1557" s="13">
        <v>2023</v>
      </c>
      <c r="E1557" s="13" t="s">
        <v>3347</v>
      </c>
      <c r="F1557" s="13" t="s">
        <v>11</v>
      </c>
      <c r="G1557" s="15">
        <v>1393.75</v>
      </c>
      <c r="H1557" s="15">
        <v>1393.75</v>
      </c>
      <c r="I1557" s="13">
        <v>1</v>
      </c>
      <c r="J1557" s="13">
        <v>1</v>
      </c>
      <c r="K1557" s="13" t="s">
        <v>15</v>
      </c>
      <c r="L1557" s="15">
        <v>1393.75</v>
      </c>
      <c r="M1557" s="16">
        <v>1393.75</v>
      </c>
    </row>
    <row r="1558" spans="1:13" s="5" customFormat="1" x14ac:dyDescent="0.25">
      <c r="A1558" s="12" t="s">
        <v>3007</v>
      </c>
      <c r="B1558" s="13" t="s">
        <v>3008</v>
      </c>
      <c r="C1558" s="14">
        <v>45017</v>
      </c>
      <c r="D1558" s="13">
        <v>2023</v>
      </c>
      <c r="E1558" s="13" t="s">
        <v>14</v>
      </c>
      <c r="F1558" s="13" t="s">
        <v>34</v>
      </c>
      <c r="G1558" s="15">
        <v>42.28</v>
      </c>
      <c r="H1558" s="15">
        <v>42.28</v>
      </c>
      <c r="I1558" s="13">
        <v>1</v>
      </c>
      <c r="J1558" s="13">
        <v>1</v>
      </c>
      <c r="K1558" s="13" t="s">
        <v>18</v>
      </c>
      <c r="L1558" s="15">
        <v>42.28</v>
      </c>
      <c r="M1558" s="16">
        <v>42.28</v>
      </c>
    </row>
    <row r="1559" spans="1:13" s="5" customFormat="1" x14ac:dyDescent="0.25">
      <c r="A1559" s="12" t="s">
        <v>3009</v>
      </c>
      <c r="B1559" s="13" t="s">
        <v>1438</v>
      </c>
      <c r="C1559" s="14">
        <v>45557</v>
      </c>
      <c r="D1559" s="13">
        <v>2024</v>
      </c>
      <c r="E1559" s="13" t="s">
        <v>21</v>
      </c>
      <c r="F1559" s="13" t="s">
        <v>22</v>
      </c>
      <c r="G1559" s="15">
        <v>1915.84</v>
      </c>
      <c r="H1559" s="15">
        <v>1915.84</v>
      </c>
      <c r="I1559" s="13">
        <v>3</v>
      </c>
      <c r="J1559" s="13">
        <v>3</v>
      </c>
      <c r="K1559" s="13" t="s">
        <v>15</v>
      </c>
      <c r="L1559" s="15">
        <v>638.61333333333334</v>
      </c>
      <c r="M1559" s="16">
        <v>638.61333333333334</v>
      </c>
    </row>
    <row r="1560" spans="1:13" s="5" customFormat="1" x14ac:dyDescent="0.25">
      <c r="A1560" s="12" t="s">
        <v>3010</v>
      </c>
      <c r="B1560" s="13" t="s">
        <v>3011</v>
      </c>
      <c r="C1560" s="14">
        <v>45516</v>
      </c>
      <c r="D1560" s="13">
        <v>2024</v>
      </c>
      <c r="E1560" s="13" t="s">
        <v>3347</v>
      </c>
      <c r="F1560" s="13" t="s">
        <v>22</v>
      </c>
      <c r="G1560" s="15">
        <v>1280.92</v>
      </c>
      <c r="H1560" s="15">
        <v>1280.92</v>
      </c>
      <c r="I1560" s="13">
        <v>5</v>
      </c>
      <c r="J1560" s="13">
        <v>5</v>
      </c>
      <c r="K1560" s="13" t="s">
        <v>35</v>
      </c>
      <c r="L1560" s="15">
        <v>256.18400000000003</v>
      </c>
      <c r="M1560" s="16">
        <v>256.18400000000003</v>
      </c>
    </row>
    <row r="1561" spans="1:13" s="5" customFormat="1" x14ac:dyDescent="0.25">
      <c r="A1561" s="12" t="s">
        <v>3012</v>
      </c>
      <c r="B1561" s="13" t="s">
        <v>3013</v>
      </c>
      <c r="C1561" s="14">
        <v>45026</v>
      </c>
      <c r="D1561" s="13">
        <v>2023</v>
      </c>
      <c r="E1561" s="13" t="s">
        <v>10</v>
      </c>
      <c r="F1561" s="13" t="s">
        <v>25</v>
      </c>
      <c r="G1561" s="15">
        <v>1241.01</v>
      </c>
      <c r="H1561" s="15">
        <v>1241.01</v>
      </c>
      <c r="I1561" s="13">
        <v>6</v>
      </c>
      <c r="J1561" s="13">
        <v>6</v>
      </c>
      <c r="K1561" s="13" t="s">
        <v>3348</v>
      </c>
      <c r="L1561" s="15">
        <v>206.83500000000001</v>
      </c>
      <c r="M1561" s="16">
        <v>206.83500000000001</v>
      </c>
    </row>
    <row r="1562" spans="1:13" s="5" customFormat="1" x14ac:dyDescent="0.25">
      <c r="A1562" s="12" t="s">
        <v>3014</v>
      </c>
      <c r="B1562" s="13" t="s">
        <v>3015</v>
      </c>
      <c r="C1562" s="14">
        <v>45079</v>
      </c>
      <c r="D1562" s="13">
        <v>2023</v>
      </c>
      <c r="E1562" s="13" t="s">
        <v>21</v>
      </c>
      <c r="F1562" s="13" t="s">
        <v>22</v>
      </c>
      <c r="G1562" s="15">
        <v>1282.21</v>
      </c>
      <c r="H1562" s="15">
        <v>1282.21</v>
      </c>
      <c r="I1562" s="13">
        <v>9</v>
      </c>
      <c r="J1562" s="13">
        <v>9</v>
      </c>
      <c r="K1562" s="13" t="s">
        <v>3348</v>
      </c>
      <c r="L1562" s="15">
        <v>142.46777777777777</v>
      </c>
      <c r="M1562" s="16">
        <v>142.46777777777777</v>
      </c>
    </row>
    <row r="1563" spans="1:13" s="5" customFormat="1" x14ac:dyDescent="0.25">
      <c r="A1563" s="12" t="s">
        <v>3016</v>
      </c>
      <c r="B1563" s="13" t="s">
        <v>3017</v>
      </c>
      <c r="C1563" s="14">
        <v>45573</v>
      </c>
      <c r="D1563" s="13">
        <v>2024</v>
      </c>
      <c r="E1563" s="13" t="s">
        <v>14</v>
      </c>
      <c r="F1563" s="13" t="s">
        <v>25</v>
      </c>
      <c r="G1563" s="15">
        <v>1527.82</v>
      </c>
      <c r="H1563" s="15">
        <v>1527.82</v>
      </c>
      <c r="I1563" s="13">
        <v>5</v>
      </c>
      <c r="J1563" s="13">
        <v>5</v>
      </c>
      <c r="K1563" s="13" t="s">
        <v>15</v>
      </c>
      <c r="L1563" s="15">
        <v>305.56399999999996</v>
      </c>
      <c r="M1563" s="16">
        <v>305.56399999999996</v>
      </c>
    </row>
    <row r="1564" spans="1:13" s="5" customFormat="1" x14ac:dyDescent="0.25">
      <c r="A1564" s="12" t="s">
        <v>3018</v>
      </c>
      <c r="B1564" s="13" t="s">
        <v>3019</v>
      </c>
      <c r="C1564" s="14">
        <v>44883</v>
      </c>
      <c r="D1564" s="13">
        <v>2022</v>
      </c>
      <c r="E1564" s="13" t="s">
        <v>3347</v>
      </c>
      <c r="F1564" s="13" t="s">
        <v>34</v>
      </c>
      <c r="G1564" s="15">
        <v>320.58</v>
      </c>
      <c r="H1564" s="15">
        <v>320.58</v>
      </c>
      <c r="I1564" s="13">
        <v>7</v>
      </c>
      <c r="J1564" s="13">
        <v>7</v>
      </c>
      <c r="K1564" s="13" t="s">
        <v>3348</v>
      </c>
      <c r="L1564" s="15">
        <v>45.797142857142852</v>
      </c>
      <c r="M1564" s="16">
        <v>45.797142857142852</v>
      </c>
    </row>
    <row r="1565" spans="1:13" s="5" customFormat="1" x14ac:dyDescent="0.25">
      <c r="A1565" s="12" t="s">
        <v>3020</v>
      </c>
      <c r="B1565" s="13" t="s">
        <v>931</v>
      </c>
      <c r="C1565" s="14">
        <v>45084</v>
      </c>
      <c r="D1565" s="13">
        <v>2023</v>
      </c>
      <c r="E1565" s="13" t="s">
        <v>3347</v>
      </c>
      <c r="F1565" s="13" t="s">
        <v>11</v>
      </c>
      <c r="G1565" s="15">
        <v>78.989999999999995</v>
      </c>
      <c r="H1565" s="15">
        <v>78.989999999999995</v>
      </c>
      <c r="I1565" s="13">
        <v>1</v>
      </c>
      <c r="J1565" s="13">
        <v>1</v>
      </c>
      <c r="K1565" s="13" t="s">
        <v>18</v>
      </c>
      <c r="L1565" s="15">
        <v>78.989999999999995</v>
      </c>
      <c r="M1565" s="16">
        <v>603.98768253968251</v>
      </c>
    </row>
    <row r="1566" spans="1:13" s="5" customFormat="1" x14ac:dyDescent="0.25">
      <c r="A1566" s="12" t="s">
        <v>3021</v>
      </c>
      <c r="B1566" s="13" t="s">
        <v>1762</v>
      </c>
      <c r="C1566" s="14">
        <v>45583</v>
      </c>
      <c r="D1566" s="13">
        <v>2024</v>
      </c>
      <c r="E1566" s="13" t="s">
        <v>3347</v>
      </c>
      <c r="F1566" s="13" t="s">
        <v>25</v>
      </c>
      <c r="G1566" s="15">
        <v>14.75</v>
      </c>
      <c r="H1566" s="15">
        <v>14.75</v>
      </c>
      <c r="I1566" s="13">
        <v>8</v>
      </c>
      <c r="J1566" s="13">
        <v>8</v>
      </c>
      <c r="K1566" s="13" t="s">
        <v>3346</v>
      </c>
      <c r="L1566" s="15">
        <v>1.84375</v>
      </c>
      <c r="M1566" s="16">
        <v>1.84375</v>
      </c>
    </row>
    <row r="1567" spans="1:13" s="5" customFormat="1" x14ac:dyDescent="0.25">
      <c r="A1567" s="12" t="s">
        <v>3022</v>
      </c>
      <c r="B1567" s="13" t="s">
        <v>3023</v>
      </c>
      <c r="C1567" s="14">
        <v>45434</v>
      </c>
      <c r="D1567" s="13">
        <v>2024</v>
      </c>
      <c r="E1567" s="13" t="s">
        <v>14</v>
      </c>
      <c r="F1567" s="13" t="s">
        <v>22</v>
      </c>
      <c r="G1567" s="15">
        <v>487.35</v>
      </c>
      <c r="H1567" s="15">
        <v>487.35</v>
      </c>
      <c r="I1567" s="13">
        <v>8</v>
      </c>
      <c r="J1567" s="13">
        <v>8</v>
      </c>
      <c r="K1567" s="13" t="s">
        <v>18</v>
      </c>
      <c r="L1567" s="15">
        <v>60.918750000000003</v>
      </c>
      <c r="M1567" s="16">
        <v>60.918750000000003</v>
      </c>
    </row>
    <row r="1568" spans="1:13" s="5" customFormat="1" x14ac:dyDescent="0.25">
      <c r="A1568" s="12" t="s">
        <v>3024</v>
      </c>
      <c r="B1568" s="13" t="s">
        <v>3025</v>
      </c>
      <c r="C1568" s="14">
        <v>45673</v>
      </c>
      <c r="D1568" s="13">
        <v>2025</v>
      </c>
      <c r="E1568" s="13" t="s">
        <v>21</v>
      </c>
      <c r="F1568" s="13" t="s">
        <v>25</v>
      </c>
      <c r="G1568" s="15">
        <v>790.79</v>
      </c>
      <c r="H1568" s="15">
        <v>790.79</v>
      </c>
      <c r="I1568" s="13">
        <v>9</v>
      </c>
      <c r="J1568" s="13">
        <v>9</v>
      </c>
      <c r="K1568" s="13" t="s">
        <v>3346</v>
      </c>
      <c r="L1568" s="15">
        <v>87.865555555555545</v>
      </c>
      <c r="M1568" s="16">
        <v>87.865555555555545</v>
      </c>
    </row>
    <row r="1569" spans="1:13" s="5" customFormat="1" x14ac:dyDescent="0.25">
      <c r="A1569" s="12" t="s">
        <v>3026</v>
      </c>
      <c r="B1569" s="13" t="s">
        <v>3027</v>
      </c>
      <c r="C1569" s="14">
        <v>45741</v>
      </c>
      <c r="D1569" s="13">
        <v>2025</v>
      </c>
      <c r="E1569" s="13" t="s">
        <v>21</v>
      </c>
      <c r="F1569" s="13" t="s">
        <v>34</v>
      </c>
      <c r="G1569" s="15">
        <v>843.24194444444447</v>
      </c>
      <c r="H1569" s="15">
        <v>843.24194444444447</v>
      </c>
      <c r="I1569" s="13">
        <v>5</v>
      </c>
      <c r="J1569" s="13">
        <v>5</v>
      </c>
      <c r="K1569" s="13" t="s">
        <v>15</v>
      </c>
      <c r="L1569" s="15">
        <v>168.64838888888889</v>
      </c>
      <c r="M1569" s="16">
        <v>168.64838888888889</v>
      </c>
    </row>
    <row r="1570" spans="1:13" s="5" customFormat="1" x14ac:dyDescent="0.25">
      <c r="A1570" s="12" t="s">
        <v>3028</v>
      </c>
      <c r="B1570" s="13" t="s">
        <v>3029</v>
      </c>
      <c r="C1570" s="14">
        <v>45559</v>
      </c>
      <c r="D1570" s="13">
        <v>2024</v>
      </c>
      <c r="E1570" s="13" t="s">
        <v>14</v>
      </c>
      <c r="F1570" s="13" t="s">
        <v>34</v>
      </c>
      <c r="G1570" s="15">
        <v>1270.42</v>
      </c>
      <c r="H1570" s="15">
        <v>1270.42</v>
      </c>
      <c r="I1570" s="13">
        <v>7</v>
      </c>
      <c r="J1570" s="13">
        <v>7</v>
      </c>
      <c r="K1570" s="13" t="s">
        <v>3348</v>
      </c>
      <c r="L1570" s="15">
        <v>181.48857142857145</v>
      </c>
      <c r="M1570" s="16">
        <v>181.48857142857145</v>
      </c>
    </row>
    <row r="1571" spans="1:13" s="5" customFormat="1" x14ac:dyDescent="0.25">
      <c r="A1571" s="12" t="s">
        <v>3030</v>
      </c>
      <c r="B1571" s="13" t="s">
        <v>3031</v>
      </c>
      <c r="C1571" s="14">
        <v>45781</v>
      </c>
      <c r="D1571" s="13">
        <v>2025</v>
      </c>
      <c r="E1571" s="13" t="s">
        <v>21</v>
      </c>
      <c r="F1571" s="13" t="s">
        <v>22</v>
      </c>
      <c r="G1571" s="15">
        <v>1323.04</v>
      </c>
      <c r="H1571" s="15">
        <v>1323.04</v>
      </c>
      <c r="I1571" s="13">
        <v>8</v>
      </c>
      <c r="J1571" s="13">
        <v>8</v>
      </c>
      <c r="K1571" s="13" t="s">
        <v>35</v>
      </c>
      <c r="L1571" s="15">
        <v>165.38</v>
      </c>
      <c r="M1571" s="16">
        <v>165.38</v>
      </c>
    </row>
    <row r="1572" spans="1:13" s="5" customFormat="1" x14ac:dyDescent="0.25">
      <c r="A1572" s="12" t="s">
        <v>3032</v>
      </c>
      <c r="B1572" s="13" t="s">
        <v>3033</v>
      </c>
      <c r="C1572" s="14">
        <v>45511</v>
      </c>
      <c r="D1572" s="13">
        <v>2024</v>
      </c>
      <c r="E1572" s="13" t="s">
        <v>10</v>
      </c>
      <c r="F1572" s="13" t="s">
        <v>22</v>
      </c>
      <c r="G1572" s="15">
        <v>1357.19</v>
      </c>
      <c r="H1572" s="15">
        <v>1357.19</v>
      </c>
      <c r="I1572" s="13">
        <v>3</v>
      </c>
      <c r="J1572" s="13">
        <v>3</v>
      </c>
      <c r="K1572" s="13" t="s">
        <v>35</v>
      </c>
      <c r="L1572" s="15">
        <v>452.3966666666667</v>
      </c>
      <c r="M1572" s="16">
        <v>452.3966666666667</v>
      </c>
    </row>
    <row r="1573" spans="1:13" s="5" customFormat="1" x14ac:dyDescent="0.25">
      <c r="A1573" s="12" t="s">
        <v>3034</v>
      </c>
      <c r="B1573" s="13" t="s">
        <v>3035</v>
      </c>
      <c r="C1573" s="14">
        <v>45827</v>
      </c>
      <c r="D1573" s="13">
        <v>2025</v>
      </c>
      <c r="E1573" s="13" t="s">
        <v>21</v>
      </c>
      <c r="F1573" s="13" t="s">
        <v>22</v>
      </c>
      <c r="G1573" s="15">
        <v>823.59</v>
      </c>
      <c r="H1573" s="15">
        <v>823.59</v>
      </c>
      <c r="I1573" s="13">
        <v>5</v>
      </c>
      <c r="J1573" s="13">
        <v>5</v>
      </c>
      <c r="K1573" s="13" t="s">
        <v>3346</v>
      </c>
      <c r="L1573" s="15">
        <v>164.71800000000002</v>
      </c>
      <c r="M1573" s="16">
        <v>164.71800000000002</v>
      </c>
    </row>
    <row r="1574" spans="1:13" s="5" customFormat="1" x14ac:dyDescent="0.25">
      <c r="A1574" s="12" t="s">
        <v>3036</v>
      </c>
      <c r="B1574" s="13" t="s">
        <v>3037</v>
      </c>
      <c r="C1574" s="14">
        <v>45506</v>
      </c>
      <c r="D1574" s="13">
        <v>2024</v>
      </c>
      <c r="E1574" s="13" t="s">
        <v>14</v>
      </c>
      <c r="F1574" s="13" t="s">
        <v>22</v>
      </c>
      <c r="G1574" s="15">
        <v>572.88</v>
      </c>
      <c r="H1574" s="15">
        <v>572.88</v>
      </c>
      <c r="I1574" s="13">
        <v>6</v>
      </c>
      <c r="J1574" s="13">
        <v>6</v>
      </c>
      <c r="K1574" s="13" t="s">
        <v>15</v>
      </c>
      <c r="L1574" s="15">
        <v>95.48</v>
      </c>
      <c r="M1574" s="16">
        <v>95.48</v>
      </c>
    </row>
    <row r="1575" spans="1:13" s="5" customFormat="1" x14ac:dyDescent="0.25">
      <c r="A1575" s="12" t="s">
        <v>3038</v>
      </c>
      <c r="B1575" s="13" t="s">
        <v>3039</v>
      </c>
      <c r="C1575" s="14">
        <v>45879</v>
      </c>
      <c r="D1575" s="13">
        <v>2025</v>
      </c>
      <c r="E1575" s="13" t="s">
        <v>10</v>
      </c>
      <c r="F1575" s="13" t="s">
        <v>34</v>
      </c>
      <c r="G1575" s="15">
        <v>12.91</v>
      </c>
      <c r="H1575" s="15">
        <v>12.91</v>
      </c>
      <c r="I1575" s="13">
        <v>1</v>
      </c>
      <c r="J1575" s="13">
        <v>1</v>
      </c>
      <c r="K1575" s="13" t="s">
        <v>35</v>
      </c>
      <c r="L1575" s="15">
        <v>12.91</v>
      </c>
      <c r="M1575" s="16">
        <v>339.2358055555556</v>
      </c>
    </row>
    <row r="1576" spans="1:13" s="5" customFormat="1" x14ac:dyDescent="0.25">
      <c r="A1576" s="12" t="s">
        <v>3040</v>
      </c>
      <c r="B1576" s="13" t="s">
        <v>3041</v>
      </c>
      <c r="C1576" s="14">
        <v>45329</v>
      </c>
      <c r="D1576" s="13">
        <v>2024</v>
      </c>
      <c r="E1576" s="13" t="s">
        <v>3347</v>
      </c>
      <c r="F1576" s="13" t="s">
        <v>25</v>
      </c>
      <c r="G1576" s="15">
        <v>2726.5844444444447</v>
      </c>
      <c r="H1576" s="15">
        <v>2726.5844444444447</v>
      </c>
      <c r="I1576" s="13">
        <v>8</v>
      </c>
      <c r="J1576" s="13">
        <v>8</v>
      </c>
      <c r="K1576" s="13" t="s">
        <v>3348</v>
      </c>
      <c r="L1576" s="15">
        <v>340.82305555555558</v>
      </c>
      <c r="M1576" s="16">
        <v>340.82305555555558</v>
      </c>
    </row>
    <row r="1577" spans="1:13" s="5" customFormat="1" x14ac:dyDescent="0.25">
      <c r="A1577" s="12" t="s">
        <v>3042</v>
      </c>
      <c r="B1577" s="13" t="s">
        <v>2198</v>
      </c>
      <c r="C1577" s="14">
        <v>45756</v>
      </c>
      <c r="D1577" s="13">
        <v>2025</v>
      </c>
      <c r="E1577" s="13" t="s">
        <v>3347</v>
      </c>
      <c r="F1577" s="13" t="s">
        <v>11</v>
      </c>
      <c r="G1577" s="15">
        <v>1886.45</v>
      </c>
      <c r="H1577" s="15">
        <v>1886.45</v>
      </c>
      <c r="I1577" s="13">
        <v>6</v>
      </c>
      <c r="J1577" s="13">
        <v>6</v>
      </c>
      <c r="K1577" s="13" t="s">
        <v>15</v>
      </c>
      <c r="L1577" s="15">
        <v>314.40833333333336</v>
      </c>
      <c r="M1577" s="16">
        <v>314.40833333333336</v>
      </c>
    </row>
    <row r="1578" spans="1:13" s="5" customFormat="1" x14ac:dyDescent="0.25">
      <c r="A1578" s="12" t="s">
        <v>3043</v>
      </c>
      <c r="B1578" s="13" t="s">
        <v>3044</v>
      </c>
      <c r="C1578" s="14">
        <v>45155</v>
      </c>
      <c r="D1578" s="13">
        <v>2023</v>
      </c>
      <c r="E1578" s="13" t="s">
        <v>10</v>
      </c>
      <c r="F1578" s="13" t="s">
        <v>22</v>
      </c>
      <c r="G1578" s="15">
        <v>2204.9461666666666</v>
      </c>
      <c r="H1578" s="15">
        <v>2204.9461666666666</v>
      </c>
      <c r="I1578" s="13">
        <v>7</v>
      </c>
      <c r="J1578" s="13">
        <v>7</v>
      </c>
      <c r="K1578" s="13" t="s">
        <v>3346</v>
      </c>
      <c r="L1578" s="15">
        <v>314.99230952380952</v>
      </c>
      <c r="M1578" s="16">
        <v>314.99230952380952</v>
      </c>
    </row>
    <row r="1579" spans="1:13" s="5" customFormat="1" x14ac:dyDescent="0.25">
      <c r="A1579" s="12" t="s">
        <v>3045</v>
      </c>
      <c r="B1579" s="13" t="s">
        <v>3029</v>
      </c>
      <c r="C1579" s="14">
        <v>45282</v>
      </c>
      <c r="D1579" s="13">
        <v>2023</v>
      </c>
      <c r="E1579" s="13" t="s">
        <v>14</v>
      </c>
      <c r="F1579" s="13" t="s">
        <v>22</v>
      </c>
      <c r="G1579" s="15">
        <v>30.76</v>
      </c>
      <c r="H1579" s="15">
        <v>30.76</v>
      </c>
      <c r="I1579" s="13">
        <v>10</v>
      </c>
      <c r="J1579" s="13">
        <v>10</v>
      </c>
      <c r="K1579" s="13" t="s">
        <v>3348</v>
      </c>
      <c r="L1579" s="15">
        <v>3.0760000000000001</v>
      </c>
      <c r="M1579" s="16">
        <v>3.0760000000000001</v>
      </c>
    </row>
    <row r="1580" spans="1:13" s="5" customFormat="1" x14ac:dyDescent="0.25">
      <c r="A1580" s="12" t="s">
        <v>3046</v>
      </c>
      <c r="B1580" s="13" t="s">
        <v>3047</v>
      </c>
      <c r="C1580" s="14">
        <v>45895</v>
      </c>
      <c r="D1580" s="13">
        <v>2025</v>
      </c>
      <c r="E1580" s="13" t="s">
        <v>3347</v>
      </c>
      <c r="F1580" s="13" t="s">
        <v>34</v>
      </c>
      <c r="G1580" s="15">
        <v>1727.17</v>
      </c>
      <c r="H1580" s="15">
        <v>1727.17</v>
      </c>
      <c r="I1580" s="13">
        <v>5</v>
      </c>
      <c r="J1580" s="13">
        <v>5</v>
      </c>
      <c r="K1580" s="13" t="s">
        <v>35</v>
      </c>
      <c r="L1580" s="15">
        <v>345.43400000000003</v>
      </c>
      <c r="M1580" s="16">
        <v>345.43400000000003</v>
      </c>
    </row>
    <row r="1581" spans="1:13" s="5" customFormat="1" x14ac:dyDescent="0.25">
      <c r="A1581" s="12" t="s">
        <v>3048</v>
      </c>
      <c r="B1581" s="13" t="s">
        <v>3049</v>
      </c>
      <c r="C1581" s="14">
        <v>45647</v>
      </c>
      <c r="D1581" s="13">
        <v>2024</v>
      </c>
      <c r="E1581" s="13" t="s">
        <v>14</v>
      </c>
      <c r="F1581" s="13" t="s">
        <v>25</v>
      </c>
      <c r="G1581" s="15">
        <v>1708.25</v>
      </c>
      <c r="H1581" s="15">
        <v>1708.25</v>
      </c>
      <c r="I1581" s="13">
        <v>3</v>
      </c>
      <c r="J1581" s="13">
        <v>3</v>
      </c>
      <c r="K1581" s="13" t="s">
        <v>18</v>
      </c>
      <c r="L1581" s="15">
        <v>569.41666666666663</v>
      </c>
      <c r="M1581" s="16">
        <v>569.41666666666663</v>
      </c>
    </row>
    <row r="1582" spans="1:13" s="5" customFormat="1" x14ac:dyDescent="0.25">
      <c r="A1582" s="12" t="s">
        <v>3050</v>
      </c>
      <c r="B1582" s="13" t="s">
        <v>3051</v>
      </c>
      <c r="C1582" s="14">
        <v>45064</v>
      </c>
      <c r="D1582" s="13">
        <v>2023</v>
      </c>
      <c r="E1582" s="13" t="s">
        <v>3347</v>
      </c>
      <c r="F1582" s="13" t="s">
        <v>34</v>
      </c>
      <c r="G1582" s="15">
        <v>490.09</v>
      </c>
      <c r="H1582" s="15">
        <v>490.09</v>
      </c>
      <c r="I1582" s="13">
        <v>8</v>
      </c>
      <c r="J1582" s="13">
        <v>8</v>
      </c>
      <c r="K1582" s="13" t="s">
        <v>35</v>
      </c>
      <c r="L1582" s="15">
        <v>61.261249999999997</v>
      </c>
      <c r="M1582" s="16">
        <v>61.261249999999997</v>
      </c>
    </row>
    <row r="1583" spans="1:13" s="5" customFormat="1" x14ac:dyDescent="0.25">
      <c r="A1583" s="12" t="s">
        <v>3052</v>
      </c>
      <c r="B1583" s="13" t="s">
        <v>3053</v>
      </c>
      <c r="C1583" s="14">
        <v>45094</v>
      </c>
      <c r="D1583" s="13">
        <v>2023</v>
      </c>
      <c r="E1583" s="13" t="s">
        <v>14</v>
      </c>
      <c r="F1583" s="13" t="s">
        <v>34</v>
      </c>
      <c r="G1583" s="15">
        <v>1903.84</v>
      </c>
      <c r="H1583" s="15">
        <v>1903.84</v>
      </c>
      <c r="I1583" s="13">
        <v>6</v>
      </c>
      <c r="J1583" s="13">
        <v>6</v>
      </c>
      <c r="K1583" s="13" t="s">
        <v>18</v>
      </c>
      <c r="L1583" s="15">
        <v>317.30666666666667</v>
      </c>
      <c r="M1583" s="16">
        <v>317.30666666666667</v>
      </c>
    </row>
    <row r="1584" spans="1:13" s="5" customFormat="1" x14ac:dyDescent="0.25">
      <c r="A1584" s="12" t="s">
        <v>3054</v>
      </c>
      <c r="B1584" s="13" t="s">
        <v>3049</v>
      </c>
      <c r="C1584" s="14">
        <v>45204</v>
      </c>
      <c r="D1584" s="13">
        <v>2023</v>
      </c>
      <c r="E1584" s="13" t="s">
        <v>10</v>
      </c>
      <c r="F1584" s="13" t="s">
        <v>25</v>
      </c>
      <c r="G1584" s="15">
        <v>1777.9</v>
      </c>
      <c r="H1584" s="15">
        <v>1777.9</v>
      </c>
      <c r="I1584" s="13">
        <v>6</v>
      </c>
      <c r="J1584" s="13">
        <v>6</v>
      </c>
      <c r="K1584" s="13" t="s">
        <v>15</v>
      </c>
      <c r="L1584" s="15">
        <v>296.31666666666666</v>
      </c>
      <c r="M1584" s="16">
        <v>296.31666666666666</v>
      </c>
    </row>
    <row r="1585" spans="1:13" s="5" customFormat="1" x14ac:dyDescent="0.25">
      <c r="A1585" s="12" t="s">
        <v>3055</v>
      </c>
      <c r="B1585" s="13" t="s">
        <v>3056</v>
      </c>
      <c r="C1585" s="14">
        <v>45887</v>
      </c>
      <c r="D1585" s="13">
        <v>2025</v>
      </c>
      <c r="E1585" s="13" t="s">
        <v>21</v>
      </c>
      <c r="F1585" s="13" t="s">
        <v>22</v>
      </c>
      <c r="G1585" s="15">
        <v>1150.96</v>
      </c>
      <c r="H1585" s="15">
        <v>1150.96</v>
      </c>
      <c r="I1585" s="13">
        <v>1</v>
      </c>
      <c r="J1585" s="13">
        <v>1</v>
      </c>
      <c r="K1585" s="13" t="s">
        <v>35</v>
      </c>
      <c r="L1585" s="15">
        <v>1150.96</v>
      </c>
      <c r="M1585" s="16">
        <v>1150.96</v>
      </c>
    </row>
    <row r="1586" spans="1:13" s="5" customFormat="1" x14ac:dyDescent="0.25">
      <c r="A1586" s="12" t="s">
        <v>3057</v>
      </c>
      <c r="B1586" s="13" t="s">
        <v>2068</v>
      </c>
      <c r="C1586" s="14">
        <v>44968</v>
      </c>
      <c r="D1586" s="13">
        <v>2023</v>
      </c>
      <c r="E1586" s="13" t="s">
        <v>14</v>
      </c>
      <c r="F1586" s="13" t="s">
        <v>22</v>
      </c>
      <c r="G1586" s="15">
        <v>443.42353061224497</v>
      </c>
      <c r="H1586" s="15">
        <v>443.42353061224497</v>
      </c>
      <c r="I1586" s="13">
        <v>2</v>
      </c>
      <c r="J1586" s="13">
        <v>2</v>
      </c>
      <c r="K1586" s="13" t="s">
        <v>35</v>
      </c>
      <c r="L1586" s="15">
        <v>221.71176530612249</v>
      </c>
      <c r="M1586" s="16">
        <v>221.71176530612249</v>
      </c>
    </row>
    <row r="1587" spans="1:13" s="5" customFormat="1" x14ac:dyDescent="0.25">
      <c r="A1587" s="12" t="s">
        <v>3058</v>
      </c>
      <c r="B1587" s="13" t="s">
        <v>3059</v>
      </c>
      <c r="C1587" s="14">
        <v>45599</v>
      </c>
      <c r="D1587" s="13">
        <v>2024</v>
      </c>
      <c r="E1587" s="13" t="s">
        <v>3347</v>
      </c>
      <c r="F1587" s="13" t="s">
        <v>22</v>
      </c>
      <c r="G1587" s="15">
        <v>228.09</v>
      </c>
      <c r="H1587" s="15">
        <v>228.09</v>
      </c>
      <c r="I1587" s="13">
        <v>6</v>
      </c>
      <c r="J1587" s="13">
        <v>6</v>
      </c>
      <c r="K1587" s="13" t="s">
        <v>3348</v>
      </c>
      <c r="L1587" s="15">
        <v>38.015000000000001</v>
      </c>
      <c r="M1587" s="16">
        <v>38.015000000000001</v>
      </c>
    </row>
    <row r="1588" spans="1:13" s="5" customFormat="1" x14ac:dyDescent="0.25">
      <c r="A1588" s="12" t="s">
        <v>3060</v>
      </c>
      <c r="B1588" s="13" t="s">
        <v>3061</v>
      </c>
      <c r="C1588" s="14">
        <v>45097</v>
      </c>
      <c r="D1588" s="13">
        <v>2023</v>
      </c>
      <c r="E1588" s="13" t="s">
        <v>10</v>
      </c>
      <c r="F1588" s="13" t="s">
        <v>25</v>
      </c>
      <c r="G1588" s="15">
        <v>1028.69</v>
      </c>
      <c r="H1588" s="15">
        <v>1028.69</v>
      </c>
      <c r="I1588" s="13">
        <v>8</v>
      </c>
      <c r="J1588" s="13">
        <v>8</v>
      </c>
      <c r="K1588" s="13" t="s">
        <v>15</v>
      </c>
      <c r="L1588" s="15">
        <v>128.58625000000001</v>
      </c>
      <c r="M1588" s="16">
        <v>128.58625000000001</v>
      </c>
    </row>
    <row r="1589" spans="1:13" s="5" customFormat="1" x14ac:dyDescent="0.25">
      <c r="A1589" s="12" t="s">
        <v>3062</v>
      </c>
      <c r="B1589" s="13" t="s">
        <v>3063</v>
      </c>
      <c r="C1589" s="14">
        <v>45441</v>
      </c>
      <c r="D1589" s="13">
        <v>2024</v>
      </c>
      <c r="E1589" s="13" t="s">
        <v>14</v>
      </c>
      <c r="F1589" s="13" t="s">
        <v>22</v>
      </c>
      <c r="G1589" s="15">
        <v>67.489999999999995</v>
      </c>
      <c r="H1589" s="15">
        <v>67.489999999999995</v>
      </c>
      <c r="I1589" s="13">
        <v>4</v>
      </c>
      <c r="J1589" s="13">
        <v>4</v>
      </c>
      <c r="K1589" s="13" t="s">
        <v>15</v>
      </c>
      <c r="L1589" s="15">
        <v>16.872499999999999</v>
      </c>
      <c r="M1589" s="16">
        <v>16.872499999999999</v>
      </c>
    </row>
    <row r="1590" spans="1:13" s="5" customFormat="1" x14ac:dyDescent="0.25">
      <c r="A1590" s="12" t="s">
        <v>3064</v>
      </c>
      <c r="B1590" s="13" t="s">
        <v>3065</v>
      </c>
      <c r="C1590" s="14">
        <v>45692</v>
      </c>
      <c r="D1590" s="13">
        <v>2025</v>
      </c>
      <c r="E1590" s="13" t="s">
        <v>10</v>
      </c>
      <c r="F1590" s="13" t="s">
        <v>11</v>
      </c>
      <c r="G1590" s="15">
        <v>667.07</v>
      </c>
      <c r="H1590" s="15">
        <v>667.07</v>
      </c>
      <c r="I1590" s="13">
        <v>5</v>
      </c>
      <c r="J1590" s="13">
        <v>5</v>
      </c>
      <c r="K1590" s="13" t="s">
        <v>35</v>
      </c>
      <c r="L1590" s="15">
        <v>133.41400000000002</v>
      </c>
      <c r="M1590" s="16">
        <v>133.41400000000002</v>
      </c>
    </row>
    <row r="1591" spans="1:13" s="5" customFormat="1" x14ac:dyDescent="0.25">
      <c r="A1591" s="12" t="s">
        <v>3066</v>
      </c>
      <c r="B1591" s="13" t="s">
        <v>3067</v>
      </c>
      <c r="C1591" s="14">
        <v>45306</v>
      </c>
      <c r="D1591" s="13">
        <v>2024</v>
      </c>
      <c r="E1591" s="13" t="s">
        <v>21</v>
      </c>
      <c r="F1591" s="13" t="s">
        <v>34</v>
      </c>
      <c r="G1591" s="15">
        <v>1032.31</v>
      </c>
      <c r="H1591" s="15">
        <v>1032.31</v>
      </c>
      <c r="I1591" s="13">
        <v>2</v>
      </c>
      <c r="J1591" s="13">
        <v>2</v>
      </c>
      <c r="K1591" s="13" t="s">
        <v>3346</v>
      </c>
      <c r="L1591" s="15">
        <v>516.15499999999997</v>
      </c>
      <c r="M1591" s="16">
        <v>442.88673280423279</v>
      </c>
    </row>
    <row r="1592" spans="1:13" s="5" customFormat="1" x14ac:dyDescent="0.25">
      <c r="A1592" s="12" t="s">
        <v>3068</v>
      </c>
      <c r="B1592" s="13" t="s">
        <v>1007</v>
      </c>
      <c r="C1592" s="14">
        <v>45830</v>
      </c>
      <c r="D1592" s="13">
        <v>2025</v>
      </c>
      <c r="E1592" s="13" t="s">
        <v>3347</v>
      </c>
      <c r="F1592" s="13" t="s">
        <v>34</v>
      </c>
      <c r="G1592" s="15">
        <v>260.08999999999997</v>
      </c>
      <c r="H1592" s="15">
        <v>260.08999999999997</v>
      </c>
      <c r="I1592" s="13">
        <v>6</v>
      </c>
      <c r="J1592" s="13">
        <v>6</v>
      </c>
      <c r="K1592" s="13" t="s">
        <v>18</v>
      </c>
      <c r="L1592" s="15">
        <v>43.348333333333329</v>
      </c>
      <c r="M1592" s="16">
        <v>43.348333333333329</v>
      </c>
    </row>
    <row r="1593" spans="1:13" s="5" customFormat="1" x14ac:dyDescent="0.25">
      <c r="A1593" s="12" t="s">
        <v>3069</v>
      </c>
      <c r="B1593" s="13" t="s">
        <v>3070</v>
      </c>
      <c r="C1593" s="14">
        <v>45839</v>
      </c>
      <c r="D1593" s="13">
        <v>2025</v>
      </c>
      <c r="E1593" s="13" t="s">
        <v>10</v>
      </c>
      <c r="F1593" s="13" t="s">
        <v>34</v>
      </c>
      <c r="G1593" s="15">
        <v>1855.01</v>
      </c>
      <c r="H1593" s="15">
        <v>1855.01</v>
      </c>
      <c r="I1593" s="13">
        <v>8</v>
      </c>
      <c r="J1593" s="13">
        <v>8</v>
      </c>
      <c r="K1593" s="13" t="s">
        <v>35</v>
      </c>
      <c r="L1593" s="15">
        <v>231.87625</v>
      </c>
      <c r="M1593" s="16">
        <v>231.87625</v>
      </c>
    </row>
    <row r="1594" spans="1:13" s="5" customFormat="1" x14ac:dyDescent="0.25">
      <c r="A1594" s="12" t="s">
        <v>3071</v>
      </c>
      <c r="B1594" s="13" t="s">
        <v>29</v>
      </c>
      <c r="C1594" s="14">
        <v>45191</v>
      </c>
      <c r="D1594" s="13">
        <v>2023</v>
      </c>
      <c r="E1594" s="13" t="s">
        <v>10</v>
      </c>
      <c r="F1594" s="13" t="s">
        <v>22</v>
      </c>
      <c r="G1594" s="15">
        <v>153.53</v>
      </c>
      <c r="H1594" s="15">
        <v>153.53</v>
      </c>
      <c r="I1594" s="13">
        <v>1</v>
      </c>
      <c r="J1594" s="13">
        <v>1</v>
      </c>
      <c r="K1594" s="13" t="s">
        <v>18</v>
      </c>
      <c r="L1594" s="15">
        <v>153.53</v>
      </c>
      <c r="M1594" s="16">
        <v>153.53</v>
      </c>
    </row>
    <row r="1595" spans="1:13" s="5" customFormat="1" x14ac:dyDescent="0.25">
      <c r="A1595" s="12" t="s">
        <v>3072</v>
      </c>
      <c r="B1595" s="13" t="s">
        <v>3073</v>
      </c>
      <c r="C1595" s="14">
        <v>45239</v>
      </c>
      <c r="D1595" s="13">
        <v>2023</v>
      </c>
      <c r="E1595" s="13" t="s">
        <v>10</v>
      </c>
      <c r="F1595" s="13" t="s">
        <v>11</v>
      </c>
      <c r="G1595" s="15">
        <v>666.54</v>
      </c>
      <c r="H1595" s="15">
        <v>666.54</v>
      </c>
      <c r="I1595" s="13">
        <v>3</v>
      </c>
      <c r="J1595" s="13">
        <v>3</v>
      </c>
      <c r="K1595" s="13" t="s">
        <v>3348</v>
      </c>
      <c r="L1595" s="15">
        <v>222.17999999999998</v>
      </c>
      <c r="M1595" s="16">
        <v>222.17999999999998</v>
      </c>
    </row>
    <row r="1596" spans="1:13" s="5" customFormat="1" x14ac:dyDescent="0.25">
      <c r="A1596" s="12" t="s">
        <v>3074</v>
      </c>
      <c r="B1596" s="13" t="s">
        <v>3075</v>
      </c>
      <c r="C1596" s="14">
        <v>45897</v>
      </c>
      <c r="D1596" s="13">
        <v>2025</v>
      </c>
      <c r="E1596" s="13" t="s">
        <v>21</v>
      </c>
      <c r="F1596" s="13" t="s">
        <v>11</v>
      </c>
      <c r="G1596" s="15">
        <v>224.75</v>
      </c>
      <c r="H1596" s="15">
        <v>224.75</v>
      </c>
      <c r="I1596" s="13">
        <v>4</v>
      </c>
      <c r="J1596" s="13">
        <v>4</v>
      </c>
      <c r="K1596" s="13" t="s">
        <v>3346</v>
      </c>
      <c r="L1596" s="15">
        <v>56.1875</v>
      </c>
      <c r="M1596" s="16">
        <v>56.1875</v>
      </c>
    </row>
    <row r="1597" spans="1:13" s="5" customFormat="1" x14ac:dyDescent="0.25">
      <c r="A1597" s="12" t="s">
        <v>3076</v>
      </c>
      <c r="B1597" s="13" t="s">
        <v>3077</v>
      </c>
      <c r="C1597" s="14">
        <v>45458</v>
      </c>
      <c r="D1597" s="13">
        <v>2024</v>
      </c>
      <c r="E1597" s="13" t="s">
        <v>21</v>
      </c>
      <c r="F1597" s="13" t="s">
        <v>34</v>
      </c>
      <c r="G1597" s="15">
        <v>926.2</v>
      </c>
      <c r="H1597" s="15">
        <v>926.2</v>
      </c>
      <c r="I1597" s="13">
        <v>8</v>
      </c>
      <c r="J1597" s="13">
        <v>8</v>
      </c>
      <c r="K1597" s="13" t="s">
        <v>3346</v>
      </c>
      <c r="L1597" s="15">
        <v>115.77500000000001</v>
      </c>
      <c r="M1597" s="16">
        <v>115.77500000000001</v>
      </c>
    </row>
    <row r="1598" spans="1:13" s="5" customFormat="1" x14ac:dyDescent="0.25">
      <c r="A1598" s="12" t="s">
        <v>3078</v>
      </c>
      <c r="B1598" s="13" t="s">
        <v>3079</v>
      </c>
      <c r="C1598" s="14">
        <v>45375</v>
      </c>
      <c r="D1598" s="13">
        <v>2024</v>
      </c>
      <c r="E1598" s="13" t="s">
        <v>21</v>
      </c>
      <c r="F1598" s="13" t="s">
        <v>22</v>
      </c>
      <c r="G1598" s="15">
        <v>1840.81</v>
      </c>
      <c r="H1598" s="15">
        <v>1840.81</v>
      </c>
      <c r="I1598" s="13">
        <v>9</v>
      </c>
      <c r="J1598" s="13">
        <v>9</v>
      </c>
      <c r="K1598" s="13" t="s">
        <v>35</v>
      </c>
      <c r="L1598" s="15">
        <v>204.53444444444443</v>
      </c>
      <c r="M1598" s="16">
        <v>204.53444444444443</v>
      </c>
    </row>
    <row r="1599" spans="1:13" s="5" customFormat="1" x14ac:dyDescent="0.25">
      <c r="A1599" s="12" t="s">
        <v>3080</v>
      </c>
      <c r="B1599" s="13" t="s">
        <v>3081</v>
      </c>
      <c r="C1599" s="14">
        <v>45324</v>
      </c>
      <c r="D1599" s="13">
        <v>2024</v>
      </c>
      <c r="E1599" s="13" t="s">
        <v>10</v>
      </c>
      <c r="F1599" s="13" t="s">
        <v>25</v>
      </c>
      <c r="G1599" s="15">
        <v>1772.78</v>
      </c>
      <c r="H1599" s="15">
        <v>1772.78</v>
      </c>
      <c r="I1599" s="13">
        <v>10</v>
      </c>
      <c r="J1599" s="13">
        <v>10</v>
      </c>
      <c r="K1599" s="13" t="s">
        <v>15</v>
      </c>
      <c r="L1599" s="15">
        <v>177.27799999999999</v>
      </c>
      <c r="M1599" s="16">
        <v>177.27799999999999</v>
      </c>
    </row>
    <row r="1600" spans="1:13" s="5" customFormat="1" x14ac:dyDescent="0.25">
      <c r="A1600" s="12" t="s">
        <v>3082</v>
      </c>
      <c r="B1600" s="13" t="s">
        <v>3083</v>
      </c>
      <c r="C1600" s="14">
        <v>45932</v>
      </c>
      <c r="D1600" s="13">
        <v>2025</v>
      </c>
      <c r="E1600" s="13" t="s">
        <v>3347</v>
      </c>
      <c r="F1600" s="13" t="s">
        <v>22</v>
      </c>
      <c r="G1600" s="15">
        <v>1248.1300000000001</v>
      </c>
      <c r="H1600" s="15">
        <v>1248.1300000000001</v>
      </c>
      <c r="I1600" s="13">
        <v>3</v>
      </c>
      <c r="J1600" s="13">
        <v>3</v>
      </c>
      <c r="K1600" s="13" t="s">
        <v>3346</v>
      </c>
      <c r="L1600" s="15">
        <v>416.04333333333335</v>
      </c>
      <c r="M1600" s="16">
        <v>431.69513945578234</v>
      </c>
    </row>
    <row r="1601" spans="1:13" s="5" customFormat="1" x14ac:dyDescent="0.25">
      <c r="A1601" s="12" t="s">
        <v>3084</v>
      </c>
      <c r="B1601" s="13" t="s">
        <v>3085</v>
      </c>
      <c r="C1601" s="14">
        <v>45072</v>
      </c>
      <c r="D1601" s="13">
        <v>2023</v>
      </c>
      <c r="E1601" s="13" t="s">
        <v>3347</v>
      </c>
      <c r="F1601" s="13" t="s">
        <v>25</v>
      </c>
      <c r="G1601" s="15">
        <v>1794.01</v>
      </c>
      <c r="H1601" s="15">
        <v>1794.01</v>
      </c>
      <c r="I1601" s="13">
        <v>7</v>
      </c>
      <c r="J1601" s="13">
        <v>7</v>
      </c>
      <c r="K1601" s="13" t="s">
        <v>15</v>
      </c>
      <c r="L1601" s="15">
        <v>256.28714285714284</v>
      </c>
      <c r="M1601" s="16">
        <v>256.28714285714284</v>
      </c>
    </row>
    <row r="1602" spans="1:13" s="5" customFormat="1" x14ac:dyDescent="0.25">
      <c r="A1602" s="12" t="s">
        <v>3086</v>
      </c>
      <c r="B1602" s="13" t="s">
        <v>3087</v>
      </c>
      <c r="C1602" s="14">
        <v>45087</v>
      </c>
      <c r="D1602" s="13">
        <v>2023</v>
      </c>
      <c r="E1602" s="13" t="s">
        <v>14</v>
      </c>
      <c r="F1602" s="13" t="s">
        <v>34</v>
      </c>
      <c r="G1602" s="15">
        <v>1576.94</v>
      </c>
      <c r="H1602" s="15">
        <v>1576.94</v>
      </c>
      <c r="I1602" s="13">
        <v>10</v>
      </c>
      <c r="J1602" s="13">
        <v>10</v>
      </c>
      <c r="K1602" s="13" t="s">
        <v>3348</v>
      </c>
      <c r="L1602" s="15">
        <v>157.69400000000002</v>
      </c>
      <c r="M1602" s="16">
        <v>157.69400000000002</v>
      </c>
    </row>
    <row r="1603" spans="1:13" s="5" customFormat="1" x14ac:dyDescent="0.25">
      <c r="A1603" s="12" t="s">
        <v>3088</v>
      </c>
      <c r="B1603" s="13" t="s">
        <v>3089</v>
      </c>
      <c r="C1603" s="14">
        <v>45151</v>
      </c>
      <c r="D1603" s="13">
        <v>2023</v>
      </c>
      <c r="E1603" s="13" t="s">
        <v>3347</v>
      </c>
      <c r="F1603" s="13" t="s">
        <v>22</v>
      </c>
      <c r="G1603" s="15">
        <v>94.96</v>
      </c>
      <c r="H1603" s="15">
        <v>94.96</v>
      </c>
      <c r="I1603" s="13">
        <v>5</v>
      </c>
      <c r="J1603" s="13">
        <v>5</v>
      </c>
      <c r="K1603" s="13" t="s">
        <v>3346</v>
      </c>
      <c r="L1603" s="15">
        <v>18.991999999999997</v>
      </c>
      <c r="M1603" s="16">
        <v>18.991999999999997</v>
      </c>
    </row>
    <row r="1604" spans="1:13" s="5" customFormat="1" x14ac:dyDescent="0.25">
      <c r="A1604" s="12" t="s">
        <v>3090</v>
      </c>
      <c r="B1604" s="13" t="s">
        <v>3091</v>
      </c>
      <c r="C1604" s="14">
        <v>45121</v>
      </c>
      <c r="D1604" s="13">
        <v>2023</v>
      </c>
      <c r="E1604" s="13" t="s">
        <v>14</v>
      </c>
      <c r="F1604" s="13" t="s">
        <v>22</v>
      </c>
      <c r="G1604" s="15">
        <v>1976.89</v>
      </c>
      <c r="H1604" s="15">
        <v>1976.89</v>
      </c>
      <c r="I1604" s="13">
        <v>7</v>
      </c>
      <c r="J1604" s="13">
        <v>7</v>
      </c>
      <c r="K1604" s="13" t="s">
        <v>18</v>
      </c>
      <c r="L1604" s="15">
        <v>282.41285714285715</v>
      </c>
      <c r="M1604" s="16">
        <v>282.41285714285715</v>
      </c>
    </row>
    <row r="1605" spans="1:13" s="5" customFormat="1" x14ac:dyDescent="0.25">
      <c r="A1605" s="12" t="s">
        <v>3092</v>
      </c>
      <c r="B1605" s="13" t="s">
        <v>3093</v>
      </c>
      <c r="C1605" s="14">
        <v>45441</v>
      </c>
      <c r="D1605" s="13">
        <v>2024</v>
      </c>
      <c r="E1605" s="13" t="s">
        <v>3347</v>
      </c>
      <c r="F1605" s="13" t="s">
        <v>22</v>
      </c>
      <c r="G1605" s="15">
        <v>1929.12</v>
      </c>
      <c r="H1605" s="15">
        <v>1929.12</v>
      </c>
      <c r="I1605" s="13">
        <v>1</v>
      </c>
      <c r="J1605" s="13">
        <v>1</v>
      </c>
      <c r="K1605" s="13" t="s">
        <v>3346</v>
      </c>
      <c r="L1605" s="15">
        <v>1929.12</v>
      </c>
      <c r="M1605" s="16">
        <v>1929.12</v>
      </c>
    </row>
    <row r="1606" spans="1:13" s="5" customFormat="1" x14ac:dyDescent="0.25">
      <c r="A1606" s="12" t="s">
        <v>3094</v>
      </c>
      <c r="B1606" s="13" t="s">
        <v>3095</v>
      </c>
      <c r="C1606" s="14">
        <v>45762</v>
      </c>
      <c r="D1606" s="13">
        <v>2025</v>
      </c>
      <c r="E1606" s="13" t="s">
        <v>3347</v>
      </c>
      <c r="F1606" s="13" t="s">
        <v>34</v>
      </c>
      <c r="G1606" s="15">
        <v>99.46</v>
      </c>
      <c r="H1606" s="15">
        <v>99.46</v>
      </c>
      <c r="I1606" s="13">
        <v>3</v>
      </c>
      <c r="J1606" s="13">
        <v>3</v>
      </c>
      <c r="K1606" s="13" t="s">
        <v>3348</v>
      </c>
      <c r="L1606" s="15">
        <v>33.153333333333329</v>
      </c>
      <c r="M1606" s="16">
        <v>33.153333333333329</v>
      </c>
    </row>
    <row r="1607" spans="1:13" s="5" customFormat="1" x14ac:dyDescent="0.25">
      <c r="A1607" s="12" t="s">
        <v>3096</v>
      </c>
      <c r="B1607" s="13" t="s">
        <v>3097</v>
      </c>
      <c r="C1607" s="14">
        <v>45733</v>
      </c>
      <c r="D1607" s="13">
        <v>2025</v>
      </c>
      <c r="E1607" s="13" t="s">
        <v>21</v>
      </c>
      <c r="F1607" s="13" t="s">
        <v>34</v>
      </c>
      <c r="G1607" s="15">
        <v>20.83</v>
      </c>
      <c r="H1607" s="15">
        <v>20.83</v>
      </c>
      <c r="I1607" s="13">
        <v>3</v>
      </c>
      <c r="J1607" s="13">
        <v>3</v>
      </c>
      <c r="K1607" s="13" t="s">
        <v>3348</v>
      </c>
      <c r="L1607" s="15">
        <v>6.9433333333333325</v>
      </c>
      <c r="M1607" s="16">
        <v>6.9433333333333325</v>
      </c>
    </row>
    <row r="1608" spans="1:13" s="5" customFormat="1" x14ac:dyDescent="0.25">
      <c r="A1608" s="12" t="s">
        <v>3098</v>
      </c>
      <c r="B1608" s="13" t="s">
        <v>3099</v>
      </c>
      <c r="C1608" s="14">
        <v>45503</v>
      </c>
      <c r="D1608" s="13">
        <v>2024</v>
      </c>
      <c r="E1608" s="13" t="s">
        <v>10</v>
      </c>
      <c r="F1608" s="13" t="s">
        <v>22</v>
      </c>
      <c r="G1608" s="15">
        <v>702.35</v>
      </c>
      <c r="H1608" s="15">
        <v>702.35</v>
      </c>
      <c r="I1608" s="13">
        <v>8</v>
      </c>
      <c r="J1608" s="13">
        <v>8</v>
      </c>
      <c r="K1608" s="13" t="s">
        <v>18</v>
      </c>
      <c r="L1608" s="15">
        <v>87.793750000000003</v>
      </c>
      <c r="M1608" s="16">
        <v>87.793750000000003</v>
      </c>
    </row>
    <row r="1609" spans="1:13" s="5" customFormat="1" x14ac:dyDescent="0.25">
      <c r="A1609" s="12" t="s">
        <v>3100</v>
      </c>
      <c r="B1609" s="13" t="s">
        <v>3101</v>
      </c>
      <c r="C1609" s="14">
        <v>45557</v>
      </c>
      <c r="D1609" s="13">
        <v>2024</v>
      </c>
      <c r="E1609" s="13" t="s">
        <v>10</v>
      </c>
      <c r="F1609" s="13" t="s">
        <v>22</v>
      </c>
      <c r="G1609" s="15">
        <v>143.69</v>
      </c>
      <c r="H1609" s="15">
        <v>143.69</v>
      </c>
      <c r="I1609" s="13">
        <v>5</v>
      </c>
      <c r="J1609" s="13">
        <v>5</v>
      </c>
      <c r="K1609" s="13" t="s">
        <v>3346</v>
      </c>
      <c r="L1609" s="15">
        <v>28.738</v>
      </c>
      <c r="M1609" s="16">
        <v>28.738</v>
      </c>
    </row>
    <row r="1610" spans="1:13" s="5" customFormat="1" x14ac:dyDescent="0.25">
      <c r="A1610" s="12" t="s">
        <v>3102</v>
      </c>
      <c r="B1610" s="13" t="s">
        <v>3103</v>
      </c>
      <c r="C1610" s="14">
        <v>45661</v>
      </c>
      <c r="D1610" s="13">
        <v>2025</v>
      </c>
      <c r="E1610" s="13" t="s">
        <v>21</v>
      </c>
      <c r="F1610" s="13" t="s">
        <v>22</v>
      </c>
      <c r="G1610" s="15">
        <v>199.72</v>
      </c>
      <c r="H1610" s="15">
        <v>199.72</v>
      </c>
      <c r="I1610" s="13">
        <v>6</v>
      </c>
      <c r="J1610" s="13">
        <v>6</v>
      </c>
      <c r="K1610" s="13" t="s">
        <v>3346</v>
      </c>
      <c r="L1610" s="15">
        <v>33.286666666666669</v>
      </c>
      <c r="M1610" s="16">
        <v>33.286666666666669</v>
      </c>
    </row>
    <row r="1611" spans="1:13" s="5" customFormat="1" x14ac:dyDescent="0.25">
      <c r="A1611" s="12" t="s">
        <v>3104</v>
      </c>
      <c r="B1611" s="13" t="s">
        <v>3105</v>
      </c>
      <c r="C1611" s="14">
        <v>45762</v>
      </c>
      <c r="D1611" s="13">
        <v>2025</v>
      </c>
      <c r="E1611" s="13" t="s">
        <v>10</v>
      </c>
      <c r="F1611" s="13" t="s">
        <v>11</v>
      </c>
      <c r="G1611" s="15">
        <v>1126.6199999999999</v>
      </c>
      <c r="H1611" s="15">
        <v>1126.6199999999999</v>
      </c>
      <c r="I1611" s="13">
        <v>1</v>
      </c>
      <c r="J1611" s="13">
        <v>1</v>
      </c>
      <c r="K1611" s="13" t="s">
        <v>3346</v>
      </c>
      <c r="L1611" s="15">
        <v>1126.6199999999999</v>
      </c>
      <c r="M1611" s="16">
        <v>1126.6199999999999</v>
      </c>
    </row>
    <row r="1612" spans="1:13" s="5" customFormat="1" x14ac:dyDescent="0.25">
      <c r="A1612" s="12" t="s">
        <v>3106</v>
      </c>
      <c r="B1612" s="13" t="s">
        <v>3107</v>
      </c>
      <c r="C1612" s="14">
        <v>45388</v>
      </c>
      <c r="D1612" s="13">
        <v>2024</v>
      </c>
      <c r="E1612" s="13" t="s">
        <v>10</v>
      </c>
      <c r="F1612" s="13" t="s">
        <v>22</v>
      </c>
      <c r="G1612" s="15">
        <v>772.35</v>
      </c>
      <c r="H1612" s="15">
        <v>772.35</v>
      </c>
      <c r="I1612" s="13">
        <v>1</v>
      </c>
      <c r="J1612" s="13">
        <v>1</v>
      </c>
      <c r="K1612" s="13" t="s">
        <v>15</v>
      </c>
      <c r="L1612" s="15">
        <v>772.35</v>
      </c>
      <c r="M1612" s="16">
        <v>772.35</v>
      </c>
    </row>
    <row r="1613" spans="1:13" s="5" customFormat="1" x14ac:dyDescent="0.25">
      <c r="A1613" s="12" t="s">
        <v>3108</v>
      </c>
      <c r="B1613" s="13" t="s">
        <v>3109</v>
      </c>
      <c r="C1613" s="14">
        <v>45394</v>
      </c>
      <c r="D1613" s="13">
        <v>2024</v>
      </c>
      <c r="E1613" s="13" t="s">
        <v>10</v>
      </c>
      <c r="F1613" s="13" t="s">
        <v>34</v>
      </c>
      <c r="G1613" s="15">
        <v>508.01</v>
      </c>
      <c r="H1613" s="15">
        <v>508.01</v>
      </c>
      <c r="I1613" s="13">
        <v>9</v>
      </c>
      <c r="J1613" s="13">
        <v>9</v>
      </c>
      <c r="K1613" s="13" t="s">
        <v>35</v>
      </c>
      <c r="L1613" s="15">
        <v>56.445555555555558</v>
      </c>
      <c r="M1613" s="16">
        <v>56.445555555555558</v>
      </c>
    </row>
    <row r="1614" spans="1:13" s="5" customFormat="1" x14ac:dyDescent="0.25">
      <c r="A1614" s="12" t="s">
        <v>3110</v>
      </c>
      <c r="B1614" s="13" t="s">
        <v>3111</v>
      </c>
      <c r="C1614" s="14">
        <v>45527</v>
      </c>
      <c r="D1614" s="13">
        <v>2024</v>
      </c>
      <c r="E1614" s="13" t="s">
        <v>14</v>
      </c>
      <c r="F1614" s="13" t="s">
        <v>34</v>
      </c>
      <c r="G1614" s="15">
        <v>3160.0775102040816</v>
      </c>
      <c r="H1614" s="15">
        <v>3160.0775102040816</v>
      </c>
      <c r="I1614" s="13">
        <v>9</v>
      </c>
      <c r="J1614" s="13">
        <v>9</v>
      </c>
      <c r="K1614" s="13" t="s">
        <v>3348</v>
      </c>
      <c r="L1614" s="15">
        <v>351.11972335600905</v>
      </c>
      <c r="M1614" s="16">
        <v>351.11972335600905</v>
      </c>
    </row>
    <row r="1615" spans="1:13" s="5" customFormat="1" x14ac:dyDescent="0.25">
      <c r="A1615" s="12" t="s">
        <v>3112</v>
      </c>
      <c r="B1615" s="13" t="s">
        <v>3113</v>
      </c>
      <c r="C1615" s="14">
        <v>45926</v>
      </c>
      <c r="D1615" s="13">
        <v>2025</v>
      </c>
      <c r="E1615" s="13" t="s">
        <v>3347</v>
      </c>
      <c r="F1615" s="13" t="s">
        <v>22</v>
      </c>
      <c r="G1615" s="15">
        <v>874.08</v>
      </c>
      <c r="H1615" s="15">
        <v>874.08</v>
      </c>
      <c r="I1615" s="13">
        <v>3</v>
      </c>
      <c r="J1615" s="13">
        <v>3</v>
      </c>
      <c r="K1615" s="13" t="s">
        <v>3348</v>
      </c>
      <c r="L1615" s="15">
        <v>291.36</v>
      </c>
      <c r="M1615" s="16">
        <v>291.36</v>
      </c>
    </row>
    <row r="1616" spans="1:13" s="5" customFormat="1" x14ac:dyDescent="0.25">
      <c r="A1616" s="12" t="s">
        <v>3114</v>
      </c>
      <c r="B1616" s="13" t="s">
        <v>3115</v>
      </c>
      <c r="C1616" s="14">
        <v>45237</v>
      </c>
      <c r="D1616" s="13">
        <v>2023</v>
      </c>
      <c r="E1616" s="13" t="s">
        <v>21</v>
      </c>
      <c r="F1616" s="13" t="s">
        <v>34</v>
      </c>
      <c r="G1616" s="15">
        <v>508.58959126984126</v>
      </c>
      <c r="H1616" s="15">
        <v>508.58959126984126</v>
      </c>
      <c r="I1616" s="13">
        <v>2</v>
      </c>
      <c r="J1616" s="13">
        <v>2</v>
      </c>
      <c r="K1616" s="13" t="s">
        <v>35</v>
      </c>
      <c r="L1616" s="15">
        <v>254.29479563492063</v>
      </c>
      <c r="M1616" s="16">
        <v>254.29479563492063</v>
      </c>
    </row>
    <row r="1617" spans="1:13" s="5" customFormat="1" x14ac:dyDescent="0.25">
      <c r="A1617" s="12" t="s">
        <v>3116</v>
      </c>
      <c r="B1617" s="13" t="s">
        <v>3117</v>
      </c>
      <c r="C1617" s="14">
        <v>44932</v>
      </c>
      <c r="D1617" s="13">
        <v>2023</v>
      </c>
      <c r="E1617" s="13" t="s">
        <v>3347</v>
      </c>
      <c r="F1617" s="13" t="s">
        <v>25</v>
      </c>
      <c r="G1617" s="15">
        <v>1542.56</v>
      </c>
      <c r="H1617" s="15">
        <v>1542.56</v>
      </c>
      <c r="I1617" s="13">
        <v>1</v>
      </c>
      <c r="J1617" s="13">
        <v>1</v>
      </c>
      <c r="K1617" s="13" t="s">
        <v>35</v>
      </c>
      <c r="L1617" s="15">
        <v>1542.56</v>
      </c>
      <c r="M1617" s="16">
        <v>1542.56</v>
      </c>
    </row>
    <row r="1618" spans="1:13" s="5" customFormat="1" x14ac:dyDescent="0.25">
      <c r="A1618" s="12" t="s">
        <v>3118</v>
      </c>
      <c r="B1618" s="13" t="s">
        <v>1298</v>
      </c>
      <c r="C1618" s="14">
        <v>45648</v>
      </c>
      <c r="D1618" s="13">
        <v>2024</v>
      </c>
      <c r="E1618" s="13" t="s">
        <v>14</v>
      </c>
      <c r="F1618" s="13" t="s">
        <v>34</v>
      </c>
      <c r="G1618" s="15">
        <v>1633.81</v>
      </c>
      <c r="H1618" s="15">
        <v>1633.81</v>
      </c>
      <c r="I1618" s="13">
        <v>2</v>
      </c>
      <c r="J1618" s="13">
        <v>2</v>
      </c>
      <c r="K1618" s="13" t="s">
        <v>3348</v>
      </c>
      <c r="L1618" s="15">
        <v>816.90499999999997</v>
      </c>
      <c r="M1618" s="16">
        <v>816.90499999999997</v>
      </c>
    </row>
    <row r="1619" spans="1:13" s="5" customFormat="1" x14ac:dyDescent="0.25">
      <c r="A1619" s="12" t="s">
        <v>3119</v>
      </c>
      <c r="B1619" s="13" t="s">
        <v>3120</v>
      </c>
      <c r="C1619" s="14">
        <v>45099</v>
      </c>
      <c r="D1619" s="13">
        <v>2023</v>
      </c>
      <c r="E1619" s="13" t="s">
        <v>21</v>
      </c>
      <c r="F1619" s="13" t="s">
        <v>34</v>
      </c>
      <c r="G1619" s="15">
        <v>1151.06</v>
      </c>
      <c r="H1619" s="15">
        <v>1151.06</v>
      </c>
      <c r="I1619" s="13">
        <v>5</v>
      </c>
      <c r="J1619" s="13">
        <v>5</v>
      </c>
      <c r="K1619" s="13" t="s">
        <v>18</v>
      </c>
      <c r="L1619" s="15">
        <v>230.21199999999999</v>
      </c>
      <c r="M1619" s="16">
        <v>230.21199999999999</v>
      </c>
    </row>
    <row r="1620" spans="1:13" s="5" customFormat="1" x14ac:dyDescent="0.25">
      <c r="A1620" s="12" t="s">
        <v>3121</v>
      </c>
      <c r="B1620" s="13" t="s">
        <v>3122</v>
      </c>
      <c r="C1620" s="14">
        <v>45236</v>
      </c>
      <c r="D1620" s="13">
        <v>2023</v>
      </c>
      <c r="E1620" s="13" t="s">
        <v>3347</v>
      </c>
      <c r="F1620" s="13" t="s">
        <v>22</v>
      </c>
      <c r="G1620" s="15">
        <v>1930.81</v>
      </c>
      <c r="H1620" s="15">
        <v>1930.81</v>
      </c>
      <c r="I1620" s="13">
        <v>5</v>
      </c>
      <c r="J1620" s="13">
        <v>5</v>
      </c>
      <c r="K1620" s="13" t="s">
        <v>3346</v>
      </c>
      <c r="L1620" s="15">
        <v>386.16199999999998</v>
      </c>
      <c r="M1620" s="16">
        <v>386.16199999999998</v>
      </c>
    </row>
    <row r="1621" spans="1:13" s="5" customFormat="1" x14ac:dyDescent="0.25">
      <c r="A1621" s="12" t="s">
        <v>3123</v>
      </c>
      <c r="B1621" s="13" t="s">
        <v>3124</v>
      </c>
      <c r="C1621" s="14">
        <v>45148</v>
      </c>
      <c r="D1621" s="13">
        <v>2023</v>
      </c>
      <c r="E1621" s="13" t="s">
        <v>14</v>
      </c>
      <c r="F1621" s="13" t="s">
        <v>34</v>
      </c>
      <c r="G1621" s="15">
        <v>1354.85</v>
      </c>
      <c r="H1621" s="15">
        <v>1354.85</v>
      </c>
      <c r="I1621" s="13">
        <v>1</v>
      </c>
      <c r="J1621" s="13">
        <v>1</v>
      </c>
      <c r="K1621" s="13" t="s">
        <v>3346</v>
      </c>
      <c r="L1621" s="15">
        <v>1354.85</v>
      </c>
      <c r="M1621" s="16">
        <v>1354.85</v>
      </c>
    </row>
    <row r="1622" spans="1:13" s="5" customFormat="1" x14ac:dyDescent="0.25">
      <c r="A1622" s="12" t="s">
        <v>3125</v>
      </c>
      <c r="B1622" s="13" t="s">
        <v>3126</v>
      </c>
      <c r="C1622" s="14">
        <v>44881</v>
      </c>
      <c r="D1622" s="13">
        <v>2022</v>
      </c>
      <c r="E1622" s="13" t="s">
        <v>3347</v>
      </c>
      <c r="F1622" s="13" t="s">
        <v>34</v>
      </c>
      <c r="G1622" s="15">
        <v>1475.6</v>
      </c>
      <c r="H1622" s="15">
        <v>1475.6</v>
      </c>
      <c r="I1622" s="13">
        <v>2</v>
      </c>
      <c r="J1622" s="13">
        <v>2</v>
      </c>
      <c r="K1622" s="13" t="s">
        <v>3348</v>
      </c>
      <c r="L1622" s="15">
        <v>737.8</v>
      </c>
      <c r="M1622" s="16">
        <v>737.8</v>
      </c>
    </row>
    <row r="1623" spans="1:13" s="5" customFormat="1" x14ac:dyDescent="0.25">
      <c r="A1623" s="12" t="s">
        <v>3127</v>
      </c>
      <c r="B1623" s="13" t="s">
        <v>732</v>
      </c>
      <c r="C1623" s="14">
        <v>45416</v>
      </c>
      <c r="D1623" s="13">
        <v>2024</v>
      </c>
      <c r="E1623" s="13" t="s">
        <v>10</v>
      </c>
      <c r="F1623" s="13" t="s">
        <v>34</v>
      </c>
      <c r="G1623" s="15">
        <v>383.85</v>
      </c>
      <c r="H1623" s="15">
        <v>383.85</v>
      </c>
      <c r="I1623" s="13">
        <v>10</v>
      </c>
      <c r="J1623" s="13">
        <v>10</v>
      </c>
      <c r="K1623" s="13" t="s">
        <v>35</v>
      </c>
      <c r="L1623" s="15">
        <v>38.385000000000005</v>
      </c>
      <c r="M1623" s="16">
        <v>38.385000000000005</v>
      </c>
    </row>
    <row r="1624" spans="1:13" s="5" customFormat="1" x14ac:dyDescent="0.25">
      <c r="A1624" s="12" t="s">
        <v>3128</v>
      </c>
      <c r="B1624" s="13" t="s">
        <v>421</v>
      </c>
      <c r="C1624" s="14">
        <v>45608</v>
      </c>
      <c r="D1624" s="13">
        <v>2024</v>
      </c>
      <c r="E1624" s="13" t="s">
        <v>3347</v>
      </c>
      <c r="F1624" s="13" t="s">
        <v>22</v>
      </c>
      <c r="G1624" s="15">
        <v>1498.23</v>
      </c>
      <c r="H1624" s="15">
        <v>1498.23</v>
      </c>
      <c r="I1624" s="13">
        <v>1</v>
      </c>
      <c r="J1624" s="13">
        <v>1</v>
      </c>
      <c r="K1624" s="13" t="s">
        <v>3348</v>
      </c>
      <c r="L1624" s="15">
        <v>1498.23</v>
      </c>
      <c r="M1624" s="16">
        <v>1498.23</v>
      </c>
    </row>
    <row r="1625" spans="1:13" s="5" customFormat="1" x14ac:dyDescent="0.25">
      <c r="A1625" s="12" t="s">
        <v>3129</v>
      </c>
      <c r="B1625" s="13" t="s">
        <v>3130</v>
      </c>
      <c r="C1625" s="14">
        <v>44885</v>
      </c>
      <c r="D1625" s="13">
        <v>2022</v>
      </c>
      <c r="E1625" s="13" t="s">
        <v>3347</v>
      </c>
      <c r="F1625" s="13" t="s">
        <v>11</v>
      </c>
      <c r="G1625" s="15">
        <v>1836.07</v>
      </c>
      <c r="H1625" s="15">
        <v>1836.07</v>
      </c>
      <c r="I1625" s="13">
        <v>7</v>
      </c>
      <c r="J1625" s="13">
        <v>7</v>
      </c>
      <c r="K1625" s="13" t="s">
        <v>18</v>
      </c>
      <c r="L1625" s="15">
        <v>262.29571428571427</v>
      </c>
      <c r="M1625" s="16">
        <v>262.29571428571427</v>
      </c>
    </row>
    <row r="1626" spans="1:13" s="5" customFormat="1" x14ac:dyDescent="0.25">
      <c r="A1626" s="12" t="s">
        <v>3131</v>
      </c>
      <c r="B1626" s="13" t="s">
        <v>3132</v>
      </c>
      <c r="C1626" s="14">
        <v>44966</v>
      </c>
      <c r="D1626" s="13">
        <v>2023</v>
      </c>
      <c r="E1626" s="13" t="s">
        <v>21</v>
      </c>
      <c r="F1626" s="13" t="s">
        <v>11</v>
      </c>
      <c r="G1626" s="15">
        <v>1915.48</v>
      </c>
      <c r="H1626" s="15">
        <v>1915.48</v>
      </c>
      <c r="I1626" s="13">
        <v>9</v>
      </c>
      <c r="J1626" s="13">
        <v>9</v>
      </c>
      <c r="K1626" s="13" t="s">
        <v>3346</v>
      </c>
      <c r="L1626" s="15">
        <v>212.83111111111111</v>
      </c>
      <c r="M1626" s="16">
        <v>212.83111111111111</v>
      </c>
    </row>
    <row r="1627" spans="1:13" s="5" customFormat="1" x14ac:dyDescent="0.25">
      <c r="A1627" s="12" t="s">
        <v>3133</v>
      </c>
      <c r="B1627" s="13" t="s">
        <v>3134</v>
      </c>
      <c r="C1627" s="14">
        <v>45125</v>
      </c>
      <c r="D1627" s="13">
        <v>2023</v>
      </c>
      <c r="E1627" s="13" t="s">
        <v>3347</v>
      </c>
      <c r="F1627" s="13" t="s">
        <v>34</v>
      </c>
      <c r="G1627" s="15">
        <v>1055.0075555555557</v>
      </c>
      <c r="H1627" s="15">
        <v>1055.0075555555557</v>
      </c>
      <c r="I1627" s="13">
        <v>3</v>
      </c>
      <c r="J1627" s="13">
        <v>3</v>
      </c>
      <c r="K1627" s="13" t="s">
        <v>3346</v>
      </c>
      <c r="L1627" s="15">
        <v>351.6691851851852</v>
      </c>
      <c r="M1627" s="16">
        <v>351.6691851851852</v>
      </c>
    </row>
    <row r="1628" spans="1:13" s="5" customFormat="1" x14ac:dyDescent="0.25">
      <c r="A1628" s="12" t="s">
        <v>3135</v>
      </c>
      <c r="B1628" s="13" t="s">
        <v>3136</v>
      </c>
      <c r="C1628" s="14">
        <v>45125</v>
      </c>
      <c r="D1628" s="13">
        <v>2023</v>
      </c>
      <c r="E1628" s="13" t="s">
        <v>21</v>
      </c>
      <c r="F1628" s="13" t="s">
        <v>34</v>
      </c>
      <c r="G1628" s="15">
        <v>483.02</v>
      </c>
      <c r="H1628" s="15">
        <v>483.02</v>
      </c>
      <c r="I1628" s="13">
        <v>9</v>
      </c>
      <c r="J1628" s="13">
        <v>9</v>
      </c>
      <c r="K1628" s="13" t="s">
        <v>3346</v>
      </c>
      <c r="L1628" s="15">
        <v>53.668888888888887</v>
      </c>
      <c r="M1628" s="16">
        <v>53.668888888888887</v>
      </c>
    </row>
    <row r="1629" spans="1:13" s="5" customFormat="1" x14ac:dyDescent="0.25">
      <c r="A1629" s="12" t="s">
        <v>3137</v>
      </c>
      <c r="B1629" s="13" t="s">
        <v>1242</v>
      </c>
      <c r="C1629" s="14">
        <v>45535</v>
      </c>
      <c r="D1629" s="13">
        <v>2024</v>
      </c>
      <c r="E1629" s="13" t="s">
        <v>21</v>
      </c>
      <c r="F1629" s="13" t="s">
        <v>11</v>
      </c>
      <c r="G1629" s="15">
        <v>1156.9100000000001</v>
      </c>
      <c r="H1629" s="15">
        <v>1156.9100000000001</v>
      </c>
      <c r="I1629" s="13">
        <v>3</v>
      </c>
      <c r="J1629" s="13">
        <v>3</v>
      </c>
      <c r="K1629" s="13" t="s">
        <v>18</v>
      </c>
      <c r="L1629" s="15">
        <v>385.63666666666671</v>
      </c>
      <c r="M1629" s="16">
        <v>385.63666666666671</v>
      </c>
    </row>
    <row r="1630" spans="1:13" s="5" customFormat="1" x14ac:dyDescent="0.25">
      <c r="A1630" s="12" t="s">
        <v>3138</v>
      </c>
      <c r="B1630" s="13" t="s">
        <v>3139</v>
      </c>
      <c r="C1630" s="14">
        <v>45855</v>
      </c>
      <c r="D1630" s="13">
        <v>2025</v>
      </c>
      <c r="E1630" s="13" t="s">
        <v>14</v>
      </c>
      <c r="F1630" s="13" t="s">
        <v>22</v>
      </c>
      <c r="G1630" s="15">
        <v>989.81611111111101</v>
      </c>
      <c r="H1630" s="15">
        <v>989.81611111111101</v>
      </c>
      <c r="I1630" s="13">
        <v>5</v>
      </c>
      <c r="J1630" s="13">
        <v>5</v>
      </c>
      <c r="K1630" s="13" t="s">
        <v>35</v>
      </c>
      <c r="L1630" s="15">
        <v>197.96322222222221</v>
      </c>
      <c r="M1630" s="16">
        <v>197.96322222222221</v>
      </c>
    </row>
    <row r="1631" spans="1:13" s="5" customFormat="1" x14ac:dyDescent="0.25">
      <c r="A1631" s="12" t="s">
        <v>3140</v>
      </c>
      <c r="B1631" s="13" t="s">
        <v>3141</v>
      </c>
      <c r="C1631" s="14">
        <v>45551</v>
      </c>
      <c r="D1631" s="13">
        <v>2024</v>
      </c>
      <c r="E1631" s="13" t="s">
        <v>21</v>
      </c>
      <c r="F1631" s="13" t="s">
        <v>34</v>
      </c>
      <c r="G1631" s="15">
        <v>89.14</v>
      </c>
      <c r="H1631" s="15">
        <v>89.14</v>
      </c>
      <c r="I1631" s="13">
        <v>7</v>
      </c>
      <c r="J1631" s="13">
        <v>7</v>
      </c>
      <c r="K1631" s="13" t="s">
        <v>15</v>
      </c>
      <c r="L1631" s="15">
        <v>12.734285714285715</v>
      </c>
      <c r="M1631" s="16">
        <v>12.734285714285715</v>
      </c>
    </row>
    <row r="1632" spans="1:13" s="5" customFormat="1" x14ac:dyDescent="0.25">
      <c r="A1632" s="12" t="s">
        <v>3142</v>
      </c>
      <c r="B1632" s="13" t="s">
        <v>3143</v>
      </c>
      <c r="C1632" s="14">
        <v>45679</v>
      </c>
      <c r="D1632" s="13">
        <v>2025</v>
      </c>
      <c r="E1632" s="13" t="s">
        <v>21</v>
      </c>
      <c r="F1632" s="13" t="s">
        <v>11</v>
      </c>
      <c r="G1632" s="15">
        <v>1328.41</v>
      </c>
      <c r="H1632" s="15">
        <v>1328.41</v>
      </c>
      <c r="I1632" s="13">
        <v>3</v>
      </c>
      <c r="J1632" s="13">
        <v>3</v>
      </c>
      <c r="K1632" s="13" t="s">
        <v>35</v>
      </c>
      <c r="L1632" s="15">
        <v>442.80333333333334</v>
      </c>
      <c r="M1632" s="16">
        <v>442.80333333333334</v>
      </c>
    </row>
    <row r="1633" spans="1:13" s="5" customFormat="1" x14ac:dyDescent="0.25">
      <c r="A1633" s="12" t="s">
        <v>3144</v>
      </c>
      <c r="B1633" s="13" t="s">
        <v>411</v>
      </c>
      <c r="C1633" s="14">
        <v>45929</v>
      </c>
      <c r="D1633" s="13">
        <v>2025</v>
      </c>
      <c r="E1633" s="13" t="s">
        <v>14</v>
      </c>
      <c r="F1633" s="13" t="s">
        <v>25</v>
      </c>
      <c r="G1633" s="15">
        <v>987.81</v>
      </c>
      <c r="H1633" s="15">
        <v>987.81</v>
      </c>
      <c r="I1633" s="13">
        <v>6</v>
      </c>
      <c r="J1633" s="13">
        <v>6</v>
      </c>
      <c r="K1633" s="13" t="s">
        <v>35</v>
      </c>
      <c r="L1633" s="15">
        <v>164.63499999999999</v>
      </c>
      <c r="M1633" s="16">
        <v>156.28166666666667</v>
      </c>
    </row>
    <row r="1634" spans="1:13" s="5" customFormat="1" x14ac:dyDescent="0.25">
      <c r="A1634" s="12" t="s">
        <v>3145</v>
      </c>
      <c r="B1634" s="13" t="s">
        <v>3146</v>
      </c>
      <c r="C1634" s="14">
        <v>44939</v>
      </c>
      <c r="D1634" s="13">
        <v>2023</v>
      </c>
      <c r="E1634" s="13" t="s">
        <v>3347</v>
      </c>
      <c r="F1634" s="13" t="s">
        <v>11</v>
      </c>
      <c r="G1634" s="15">
        <v>1734.83</v>
      </c>
      <c r="H1634" s="15">
        <v>1734.83</v>
      </c>
      <c r="I1634" s="13">
        <v>8</v>
      </c>
      <c r="J1634" s="13">
        <v>8</v>
      </c>
      <c r="K1634" s="13" t="s">
        <v>3346</v>
      </c>
      <c r="L1634" s="15">
        <v>216.85374999999999</v>
      </c>
      <c r="M1634" s="16">
        <v>216.85374999999999</v>
      </c>
    </row>
    <row r="1635" spans="1:13" s="5" customFormat="1" x14ac:dyDescent="0.25">
      <c r="A1635" s="12" t="s">
        <v>3147</v>
      </c>
      <c r="B1635" s="13" t="s">
        <v>3148</v>
      </c>
      <c r="C1635" s="14">
        <v>45555</v>
      </c>
      <c r="D1635" s="13">
        <v>2024</v>
      </c>
      <c r="E1635" s="13" t="s">
        <v>14</v>
      </c>
      <c r="F1635" s="13" t="s">
        <v>34</v>
      </c>
      <c r="G1635" s="15">
        <v>521.63</v>
      </c>
      <c r="H1635" s="15">
        <v>521.63</v>
      </c>
      <c r="I1635" s="13">
        <v>10</v>
      </c>
      <c r="J1635" s="13">
        <v>10</v>
      </c>
      <c r="K1635" s="13" t="s">
        <v>15</v>
      </c>
      <c r="L1635" s="15">
        <v>52.162999999999997</v>
      </c>
      <c r="M1635" s="16">
        <v>52.162999999999997</v>
      </c>
    </row>
    <row r="1636" spans="1:13" s="5" customFormat="1" x14ac:dyDescent="0.25">
      <c r="A1636" s="12" t="s">
        <v>3149</v>
      </c>
      <c r="B1636" s="13" t="s">
        <v>3150</v>
      </c>
      <c r="C1636" s="14">
        <v>44959</v>
      </c>
      <c r="D1636" s="13">
        <v>2023</v>
      </c>
      <c r="E1636" s="13" t="s">
        <v>3347</v>
      </c>
      <c r="F1636" s="13" t="s">
        <v>22</v>
      </c>
      <c r="G1636" s="15">
        <v>1999.32</v>
      </c>
      <c r="H1636" s="15">
        <v>1999.32</v>
      </c>
      <c r="I1636" s="13">
        <v>4</v>
      </c>
      <c r="J1636" s="13">
        <v>4</v>
      </c>
      <c r="K1636" s="13" t="s">
        <v>3346</v>
      </c>
      <c r="L1636" s="15">
        <v>499.83</v>
      </c>
      <c r="M1636" s="16">
        <v>499.83</v>
      </c>
    </row>
    <row r="1637" spans="1:13" s="5" customFormat="1" x14ac:dyDescent="0.25">
      <c r="A1637" s="12" t="s">
        <v>3151</v>
      </c>
      <c r="B1637" s="13" t="s">
        <v>3152</v>
      </c>
      <c r="C1637" s="14">
        <v>44934</v>
      </c>
      <c r="D1637" s="13">
        <v>2023</v>
      </c>
      <c r="E1637" s="13" t="s">
        <v>3347</v>
      </c>
      <c r="F1637" s="13" t="s">
        <v>11</v>
      </c>
      <c r="G1637" s="15">
        <v>1509.6972916666664</v>
      </c>
      <c r="H1637" s="15">
        <v>1509.6972916666664</v>
      </c>
      <c r="I1637" s="13">
        <v>7</v>
      </c>
      <c r="J1637" s="13">
        <v>7</v>
      </c>
      <c r="K1637" s="13" t="s">
        <v>3346</v>
      </c>
      <c r="L1637" s="15">
        <v>215.67104166666664</v>
      </c>
      <c r="M1637" s="16">
        <v>215.67104166666664</v>
      </c>
    </row>
    <row r="1638" spans="1:13" s="5" customFormat="1" x14ac:dyDescent="0.25">
      <c r="A1638" s="12" t="s">
        <v>3153</v>
      </c>
      <c r="B1638" s="13" t="s">
        <v>3154</v>
      </c>
      <c r="C1638" s="14">
        <v>45442</v>
      </c>
      <c r="D1638" s="13">
        <v>2024</v>
      </c>
      <c r="E1638" s="13" t="s">
        <v>14</v>
      </c>
      <c r="F1638" s="13" t="s">
        <v>34</v>
      </c>
      <c r="G1638" s="15">
        <v>1021.8</v>
      </c>
      <c r="H1638" s="15">
        <v>1021.8</v>
      </c>
      <c r="I1638" s="13">
        <v>4</v>
      </c>
      <c r="J1638" s="13">
        <v>4</v>
      </c>
      <c r="K1638" s="13" t="s">
        <v>15</v>
      </c>
      <c r="L1638" s="15">
        <v>255.45</v>
      </c>
      <c r="M1638" s="16">
        <v>255.45</v>
      </c>
    </row>
    <row r="1639" spans="1:13" s="5" customFormat="1" x14ac:dyDescent="0.25">
      <c r="A1639" s="12" t="s">
        <v>3155</v>
      </c>
      <c r="B1639" s="13" t="s">
        <v>3156</v>
      </c>
      <c r="C1639" s="14">
        <v>45284</v>
      </c>
      <c r="D1639" s="13">
        <v>2023</v>
      </c>
      <c r="E1639" s="13" t="s">
        <v>3347</v>
      </c>
      <c r="F1639" s="13" t="s">
        <v>11</v>
      </c>
      <c r="G1639" s="15">
        <v>299.10000000000002</v>
      </c>
      <c r="H1639" s="15">
        <v>299.10000000000002</v>
      </c>
      <c r="I1639" s="13">
        <v>2</v>
      </c>
      <c r="J1639" s="13">
        <v>2</v>
      </c>
      <c r="K1639" s="13" t="s">
        <v>18</v>
      </c>
      <c r="L1639" s="15">
        <v>149.55000000000001</v>
      </c>
      <c r="M1639" s="16">
        <v>149.55000000000001</v>
      </c>
    </row>
    <row r="1640" spans="1:13" s="5" customFormat="1" x14ac:dyDescent="0.25">
      <c r="A1640" s="12" t="s">
        <v>3157</v>
      </c>
      <c r="B1640" s="13" t="s">
        <v>3158</v>
      </c>
      <c r="C1640" s="14">
        <v>45186</v>
      </c>
      <c r="D1640" s="13">
        <v>2023</v>
      </c>
      <c r="E1640" s="13" t="s">
        <v>10</v>
      </c>
      <c r="F1640" s="13" t="s">
        <v>34</v>
      </c>
      <c r="G1640" s="15">
        <v>659.57</v>
      </c>
      <c r="H1640" s="15">
        <v>659.57</v>
      </c>
      <c r="I1640" s="13">
        <v>4</v>
      </c>
      <c r="J1640" s="13">
        <v>4</v>
      </c>
      <c r="K1640" s="13" t="s">
        <v>35</v>
      </c>
      <c r="L1640" s="15">
        <v>164.89250000000001</v>
      </c>
      <c r="M1640" s="16">
        <v>186.36954894179891</v>
      </c>
    </row>
    <row r="1641" spans="1:13" s="5" customFormat="1" x14ac:dyDescent="0.25">
      <c r="A1641" s="12" t="s">
        <v>3159</v>
      </c>
      <c r="B1641" s="13" t="s">
        <v>3160</v>
      </c>
      <c r="C1641" s="14">
        <v>45361</v>
      </c>
      <c r="D1641" s="13">
        <v>2024</v>
      </c>
      <c r="E1641" s="13" t="s">
        <v>21</v>
      </c>
      <c r="F1641" s="13" t="s">
        <v>11</v>
      </c>
      <c r="G1641" s="15">
        <v>210.85</v>
      </c>
      <c r="H1641" s="15">
        <v>210.85</v>
      </c>
      <c r="I1641" s="13">
        <v>9</v>
      </c>
      <c r="J1641" s="13">
        <v>9</v>
      </c>
      <c r="K1641" s="13" t="s">
        <v>35</v>
      </c>
      <c r="L1641" s="15">
        <v>23.427777777777777</v>
      </c>
      <c r="M1641" s="16">
        <v>23.427777777777777</v>
      </c>
    </row>
    <row r="1642" spans="1:13" s="5" customFormat="1" x14ac:dyDescent="0.25">
      <c r="A1642" s="12" t="s">
        <v>3161</v>
      </c>
      <c r="B1642" s="13" t="s">
        <v>1116</v>
      </c>
      <c r="C1642" s="14">
        <v>45237</v>
      </c>
      <c r="D1642" s="13">
        <v>2023</v>
      </c>
      <c r="E1642" s="13" t="s">
        <v>21</v>
      </c>
      <c r="F1642" s="13" t="s">
        <v>22</v>
      </c>
      <c r="G1642" s="15">
        <v>560.37</v>
      </c>
      <c r="H1642" s="15">
        <v>560.37</v>
      </c>
      <c r="I1642" s="13">
        <v>8</v>
      </c>
      <c r="J1642" s="13">
        <v>8</v>
      </c>
      <c r="K1642" s="13" t="s">
        <v>18</v>
      </c>
      <c r="L1642" s="15">
        <v>70.046250000000001</v>
      </c>
      <c r="M1642" s="16">
        <v>70.046250000000001</v>
      </c>
    </row>
    <row r="1643" spans="1:13" s="5" customFormat="1" x14ac:dyDescent="0.25">
      <c r="A1643" s="12" t="s">
        <v>3162</v>
      </c>
      <c r="B1643" s="13" t="s">
        <v>3163</v>
      </c>
      <c r="C1643" s="14">
        <v>45070</v>
      </c>
      <c r="D1643" s="13">
        <v>2023</v>
      </c>
      <c r="E1643" s="13" t="s">
        <v>14</v>
      </c>
      <c r="F1643" s="13" t="s">
        <v>22</v>
      </c>
      <c r="G1643" s="15">
        <v>1447.56</v>
      </c>
      <c r="H1643" s="15">
        <v>1447.56</v>
      </c>
      <c r="I1643" s="13">
        <v>5</v>
      </c>
      <c r="J1643" s="13">
        <v>5</v>
      </c>
      <c r="K1643" s="13" t="s">
        <v>18</v>
      </c>
      <c r="L1643" s="15">
        <v>289.512</v>
      </c>
      <c r="M1643" s="16">
        <v>289.512</v>
      </c>
    </row>
    <row r="1644" spans="1:13" s="5" customFormat="1" x14ac:dyDescent="0.25">
      <c r="A1644" s="12" t="s">
        <v>3164</v>
      </c>
      <c r="B1644" s="13" t="s">
        <v>1972</v>
      </c>
      <c r="C1644" s="14">
        <v>45591</v>
      </c>
      <c r="D1644" s="13">
        <v>2024</v>
      </c>
      <c r="E1644" s="13" t="s">
        <v>3347</v>
      </c>
      <c r="F1644" s="13" t="s">
        <v>25</v>
      </c>
      <c r="G1644" s="15">
        <v>874.53</v>
      </c>
      <c r="H1644" s="15">
        <v>874.53</v>
      </c>
      <c r="I1644" s="13">
        <v>1</v>
      </c>
      <c r="J1644" s="13">
        <v>1</v>
      </c>
      <c r="K1644" s="13" t="s">
        <v>35</v>
      </c>
      <c r="L1644" s="15">
        <v>874.53</v>
      </c>
      <c r="M1644" s="16">
        <v>874.53</v>
      </c>
    </row>
    <row r="1645" spans="1:13" s="5" customFormat="1" x14ac:dyDescent="0.25">
      <c r="A1645" s="12" t="s">
        <v>3165</v>
      </c>
      <c r="B1645" s="13" t="s">
        <v>3166</v>
      </c>
      <c r="C1645" s="14">
        <v>45938</v>
      </c>
      <c r="D1645" s="13">
        <v>2025</v>
      </c>
      <c r="E1645" s="13" t="s">
        <v>21</v>
      </c>
      <c r="F1645" s="13" t="s">
        <v>34</v>
      </c>
      <c r="G1645" s="15">
        <v>694.51</v>
      </c>
      <c r="H1645" s="15">
        <v>694.51</v>
      </c>
      <c r="I1645" s="13">
        <v>4</v>
      </c>
      <c r="J1645" s="13">
        <v>4</v>
      </c>
      <c r="K1645" s="13" t="s">
        <v>35</v>
      </c>
      <c r="L1645" s="15">
        <v>173.6275</v>
      </c>
      <c r="M1645" s="16">
        <v>173.6275</v>
      </c>
    </row>
    <row r="1646" spans="1:13" s="5" customFormat="1" x14ac:dyDescent="0.25">
      <c r="A1646" s="12" t="s">
        <v>3167</v>
      </c>
      <c r="B1646" s="13" t="s">
        <v>3168</v>
      </c>
      <c r="C1646" s="14">
        <v>45282</v>
      </c>
      <c r="D1646" s="13">
        <v>2023</v>
      </c>
      <c r="E1646" s="13" t="s">
        <v>14</v>
      </c>
      <c r="F1646" s="13" t="s">
        <v>34</v>
      </c>
      <c r="G1646" s="15">
        <v>117.9</v>
      </c>
      <c r="H1646" s="15">
        <v>117.9</v>
      </c>
      <c r="I1646" s="13">
        <v>3</v>
      </c>
      <c r="J1646" s="13">
        <v>3</v>
      </c>
      <c r="K1646" s="13" t="s">
        <v>3346</v>
      </c>
      <c r="L1646" s="15">
        <v>39.300000000000004</v>
      </c>
      <c r="M1646" s="16">
        <v>39.300000000000004</v>
      </c>
    </row>
    <row r="1647" spans="1:13" s="5" customFormat="1" x14ac:dyDescent="0.25">
      <c r="A1647" s="12" t="s">
        <v>3169</v>
      </c>
      <c r="B1647" s="13" t="s">
        <v>3170</v>
      </c>
      <c r="C1647" s="14">
        <v>45307</v>
      </c>
      <c r="D1647" s="13">
        <v>2024</v>
      </c>
      <c r="E1647" s="13" t="s">
        <v>14</v>
      </c>
      <c r="F1647" s="13" t="s">
        <v>11</v>
      </c>
      <c r="G1647" s="15">
        <v>962.47</v>
      </c>
      <c r="H1647" s="15">
        <v>962.47</v>
      </c>
      <c r="I1647" s="13">
        <v>5</v>
      </c>
      <c r="J1647" s="13">
        <v>5</v>
      </c>
      <c r="K1647" s="13" t="s">
        <v>3346</v>
      </c>
      <c r="L1647" s="15">
        <v>192.494</v>
      </c>
      <c r="M1647" s="16">
        <v>192.494</v>
      </c>
    </row>
    <row r="1648" spans="1:13" s="5" customFormat="1" x14ac:dyDescent="0.25">
      <c r="A1648" s="12" t="s">
        <v>3171</v>
      </c>
      <c r="B1648" s="13" t="s">
        <v>3172</v>
      </c>
      <c r="C1648" s="14">
        <v>45712</v>
      </c>
      <c r="D1648" s="13">
        <v>2025</v>
      </c>
      <c r="E1648" s="13" t="s">
        <v>3347</v>
      </c>
      <c r="F1648" s="13" t="s">
        <v>34</v>
      </c>
      <c r="G1648" s="15">
        <v>463.51</v>
      </c>
      <c r="H1648" s="15">
        <v>463.51</v>
      </c>
      <c r="I1648" s="13">
        <v>2</v>
      </c>
      <c r="J1648" s="13">
        <v>2</v>
      </c>
      <c r="K1648" s="13" t="s">
        <v>35</v>
      </c>
      <c r="L1648" s="15">
        <v>231.755</v>
      </c>
      <c r="M1648" s="16">
        <v>231.755</v>
      </c>
    </row>
    <row r="1649" spans="1:13" s="5" customFormat="1" x14ac:dyDescent="0.25">
      <c r="A1649" s="12" t="s">
        <v>3173</v>
      </c>
      <c r="B1649" s="13" t="s">
        <v>2691</v>
      </c>
      <c r="C1649" s="14">
        <v>45372</v>
      </c>
      <c r="D1649" s="13">
        <v>2024</v>
      </c>
      <c r="E1649" s="13" t="s">
        <v>21</v>
      </c>
      <c r="F1649" s="13" t="s">
        <v>22</v>
      </c>
      <c r="G1649" s="15">
        <v>1185.6400000000001</v>
      </c>
      <c r="H1649" s="15">
        <v>1185.6400000000001</v>
      </c>
      <c r="I1649" s="13">
        <v>4</v>
      </c>
      <c r="J1649" s="13">
        <v>4</v>
      </c>
      <c r="K1649" s="13" t="s">
        <v>18</v>
      </c>
      <c r="L1649" s="15">
        <v>296.41000000000003</v>
      </c>
      <c r="M1649" s="16">
        <v>296.41000000000003</v>
      </c>
    </row>
    <row r="1650" spans="1:13" s="5" customFormat="1" x14ac:dyDescent="0.25">
      <c r="A1650" s="12" t="s">
        <v>3174</v>
      </c>
      <c r="B1650" s="13" t="s">
        <v>3175</v>
      </c>
      <c r="C1650" s="14">
        <v>45832</v>
      </c>
      <c r="D1650" s="13">
        <v>2025</v>
      </c>
      <c r="E1650" s="13" t="s">
        <v>14</v>
      </c>
      <c r="F1650" s="13" t="s">
        <v>22</v>
      </c>
      <c r="G1650" s="15">
        <v>1157.32</v>
      </c>
      <c r="H1650" s="15">
        <v>1157.32</v>
      </c>
      <c r="I1650" s="13">
        <v>2</v>
      </c>
      <c r="J1650" s="13">
        <v>2</v>
      </c>
      <c r="K1650" s="13" t="s">
        <v>3348</v>
      </c>
      <c r="L1650" s="15">
        <v>578.66</v>
      </c>
      <c r="M1650" s="16">
        <v>578.66</v>
      </c>
    </row>
    <row r="1651" spans="1:13" s="5" customFormat="1" x14ac:dyDescent="0.25">
      <c r="A1651" s="12" t="s">
        <v>3176</v>
      </c>
      <c r="B1651" s="13" t="s">
        <v>3177</v>
      </c>
      <c r="C1651" s="14">
        <v>45044</v>
      </c>
      <c r="D1651" s="13">
        <v>2023</v>
      </c>
      <c r="E1651" s="13" t="s">
        <v>3347</v>
      </c>
      <c r="F1651" s="13" t="s">
        <v>25</v>
      </c>
      <c r="G1651" s="15">
        <v>3365.612222222222</v>
      </c>
      <c r="H1651" s="15">
        <v>3365.612222222222</v>
      </c>
      <c r="I1651" s="13">
        <v>10</v>
      </c>
      <c r="J1651" s="13">
        <v>10</v>
      </c>
      <c r="K1651" s="13" t="s">
        <v>3346</v>
      </c>
      <c r="L1651" s="15">
        <v>336.56122222222223</v>
      </c>
      <c r="M1651" s="16">
        <v>336.56122222222223</v>
      </c>
    </row>
    <row r="1652" spans="1:13" s="5" customFormat="1" x14ac:dyDescent="0.25">
      <c r="A1652" s="12" t="s">
        <v>3178</v>
      </c>
      <c r="B1652" s="13" t="s">
        <v>3179</v>
      </c>
      <c r="C1652" s="14">
        <v>45800</v>
      </c>
      <c r="D1652" s="13">
        <v>2025</v>
      </c>
      <c r="E1652" s="13" t="s">
        <v>3347</v>
      </c>
      <c r="F1652" s="13" t="s">
        <v>11</v>
      </c>
      <c r="G1652" s="15">
        <v>769.89</v>
      </c>
      <c r="H1652" s="15">
        <v>769.89</v>
      </c>
      <c r="I1652" s="13">
        <v>4</v>
      </c>
      <c r="J1652" s="13">
        <v>4</v>
      </c>
      <c r="K1652" s="13" t="s">
        <v>3346</v>
      </c>
      <c r="L1652" s="15">
        <v>192.4725</v>
      </c>
      <c r="M1652" s="16">
        <v>192.4725</v>
      </c>
    </row>
    <row r="1653" spans="1:13" s="5" customFormat="1" x14ac:dyDescent="0.25">
      <c r="A1653" s="12" t="s">
        <v>3180</v>
      </c>
      <c r="B1653" s="13" t="s">
        <v>1972</v>
      </c>
      <c r="C1653" s="14">
        <v>45336</v>
      </c>
      <c r="D1653" s="13">
        <v>2024</v>
      </c>
      <c r="E1653" s="13" t="s">
        <v>21</v>
      </c>
      <c r="F1653" s="13" t="s">
        <v>25</v>
      </c>
      <c r="G1653" s="15">
        <v>96.93</v>
      </c>
      <c r="H1653" s="15">
        <v>96.93</v>
      </c>
      <c r="I1653" s="13">
        <v>6</v>
      </c>
      <c r="J1653" s="13">
        <v>6</v>
      </c>
      <c r="K1653" s="13" t="s">
        <v>15</v>
      </c>
      <c r="L1653" s="15">
        <v>16.155000000000001</v>
      </c>
      <c r="M1653" s="16">
        <v>16.155000000000001</v>
      </c>
    </row>
    <row r="1654" spans="1:13" s="5" customFormat="1" x14ac:dyDescent="0.25">
      <c r="A1654" s="12" t="s">
        <v>3181</v>
      </c>
      <c r="B1654" s="13" t="s">
        <v>3182</v>
      </c>
      <c r="C1654" s="14">
        <v>45074</v>
      </c>
      <c r="D1654" s="13">
        <v>2023</v>
      </c>
      <c r="E1654" s="13" t="s">
        <v>14</v>
      </c>
      <c r="F1654" s="13" t="s">
        <v>34</v>
      </c>
      <c r="G1654" s="15">
        <v>373.73</v>
      </c>
      <c r="H1654" s="15">
        <v>373.73</v>
      </c>
      <c r="I1654" s="13">
        <v>4</v>
      </c>
      <c r="J1654" s="13">
        <v>4</v>
      </c>
      <c r="K1654" s="13" t="s">
        <v>3346</v>
      </c>
      <c r="L1654" s="15">
        <v>93.432500000000005</v>
      </c>
      <c r="M1654" s="16">
        <v>93.432500000000005</v>
      </c>
    </row>
    <row r="1655" spans="1:13" s="5" customFormat="1" x14ac:dyDescent="0.25">
      <c r="A1655" s="12" t="s">
        <v>3183</v>
      </c>
      <c r="B1655" s="13" t="s">
        <v>1627</v>
      </c>
      <c r="C1655" s="14">
        <v>45030</v>
      </c>
      <c r="D1655" s="13">
        <v>2023</v>
      </c>
      <c r="E1655" s="13" t="s">
        <v>3347</v>
      </c>
      <c r="F1655" s="13" t="s">
        <v>22</v>
      </c>
      <c r="G1655" s="15">
        <v>218.8</v>
      </c>
      <c r="H1655" s="15">
        <v>218.8</v>
      </c>
      <c r="I1655" s="13">
        <v>2</v>
      </c>
      <c r="J1655" s="13">
        <v>2</v>
      </c>
      <c r="K1655" s="13" t="s">
        <v>15</v>
      </c>
      <c r="L1655" s="15">
        <v>109.4</v>
      </c>
      <c r="M1655" s="16">
        <v>109.4</v>
      </c>
    </row>
    <row r="1656" spans="1:13" s="5" customFormat="1" x14ac:dyDescent="0.25">
      <c r="A1656" s="12" t="s">
        <v>3184</v>
      </c>
      <c r="B1656" s="13" t="s">
        <v>3185</v>
      </c>
      <c r="C1656" s="14">
        <v>44940</v>
      </c>
      <c r="D1656" s="13">
        <v>2023</v>
      </c>
      <c r="E1656" s="13" t="s">
        <v>3347</v>
      </c>
      <c r="F1656" s="13" t="s">
        <v>25</v>
      </c>
      <c r="G1656" s="15">
        <v>36.71</v>
      </c>
      <c r="H1656" s="15">
        <v>36.71</v>
      </c>
      <c r="I1656" s="13">
        <v>7</v>
      </c>
      <c r="J1656" s="13">
        <v>7</v>
      </c>
      <c r="K1656" s="13" t="s">
        <v>18</v>
      </c>
      <c r="L1656" s="15">
        <v>5.2442857142857147</v>
      </c>
      <c r="M1656" s="16">
        <v>5.2442857142857147</v>
      </c>
    </row>
    <row r="1657" spans="1:13" s="5" customFormat="1" x14ac:dyDescent="0.25">
      <c r="A1657" s="12" t="s">
        <v>3186</v>
      </c>
      <c r="B1657" s="13" t="s">
        <v>3187</v>
      </c>
      <c r="C1657" s="14">
        <v>45216</v>
      </c>
      <c r="D1657" s="13">
        <v>2023</v>
      </c>
      <c r="E1657" s="13" t="s">
        <v>14</v>
      </c>
      <c r="F1657" s="13" t="s">
        <v>25</v>
      </c>
      <c r="G1657" s="15">
        <v>1109.3800000000001</v>
      </c>
      <c r="H1657" s="15">
        <v>1109.3800000000001</v>
      </c>
      <c r="I1657" s="13">
        <v>5</v>
      </c>
      <c r="J1657" s="13">
        <v>5</v>
      </c>
      <c r="K1657" s="13" t="s">
        <v>35</v>
      </c>
      <c r="L1657" s="15">
        <v>221.87600000000003</v>
      </c>
      <c r="M1657" s="16">
        <v>236.49944444444444</v>
      </c>
    </row>
    <row r="1658" spans="1:13" s="5" customFormat="1" x14ac:dyDescent="0.25">
      <c r="A1658" s="12" t="s">
        <v>3188</v>
      </c>
      <c r="B1658" s="13" t="s">
        <v>229</v>
      </c>
      <c r="C1658" s="14">
        <v>45296</v>
      </c>
      <c r="D1658" s="13">
        <v>2024</v>
      </c>
      <c r="E1658" s="13" t="s">
        <v>3347</v>
      </c>
      <c r="F1658" s="13" t="s">
        <v>22</v>
      </c>
      <c r="G1658" s="15">
        <v>752.85</v>
      </c>
      <c r="H1658" s="15">
        <v>752.85</v>
      </c>
      <c r="I1658" s="13">
        <v>7</v>
      </c>
      <c r="J1658" s="13">
        <v>7</v>
      </c>
      <c r="K1658" s="13" t="s">
        <v>3348</v>
      </c>
      <c r="L1658" s="15">
        <v>107.55</v>
      </c>
      <c r="M1658" s="16">
        <v>107.55</v>
      </c>
    </row>
    <row r="1659" spans="1:13" s="5" customFormat="1" x14ac:dyDescent="0.25">
      <c r="A1659" s="12" t="s">
        <v>3189</v>
      </c>
      <c r="B1659" s="13" t="s">
        <v>2282</v>
      </c>
      <c r="C1659" s="14">
        <v>45257</v>
      </c>
      <c r="D1659" s="13">
        <v>2023</v>
      </c>
      <c r="E1659" s="13" t="s">
        <v>10</v>
      </c>
      <c r="F1659" s="13" t="s">
        <v>25</v>
      </c>
      <c r="G1659" s="15">
        <v>1745.83</v>
      </c>
      <c r="H1659" s="15">
        <v>1745.83</v>
      </c>
      <c r="I1659" s="13">
        <v>7</v>
      </c>
      <c r="J1659" s="13">
        <v>7</v>
      </c>
      <c r="K1659" s="13" t="s">
        <v>18</v>
      </c>
      <c r="L1659" s="15">
        <v>249.40428571428569</v>
      </c>
      <c r="M1659" s="16">
        <v>249.40428571428569</v>
      </c>
    </row>
    <row r="1660" spans="1:13" s="5" customFormat="1" x14ac:dyDescent="0.25">
      <c r="A1660" s="12" t="s">
        <v>3190</v>
      </c>
      <c r="B1660" s="13" t="s">
        <v>3191</v>
      </c>
      <c r="C1660" s="14">
        <v>45040</v>
      </c>
      <c r="D1660" s="13">
        <v>2023</v>
      </c>
      <c r="E1660" s="13" t="s">
        <v>10</v>
      </c>
      <c r="F1660" s="13" t="s">
        <v>22</v>
      </c>
      <c r="G1660" s="15">
        <v>552.88826666666671</v>
      </c>
      <c r="H1660" s="15">
        <v>552.88826666666671</v>
      </c>
      <c r="I1660" s="13">
        <v>2</v>
      </c>
      <c r="J1660" s="13">
        <v>2</v>
      </c>
      <c r="K1660" s="13" t="s">
        <v>15</v>
      </c>
      <c r="L1660" s="15">
        <v>276.44413333333335</v>
      </c>
      <c r="M1660" s="16">
        <v>276.44413333333335</v>
      </c>
    </row>
    <row r="1661" spans="1:13" s="5" customFormat="1" x14ac:dyDescent="0.25">
      <c r="A1661" s="12" t="s">
        <v>3192</v>
      </c>
      <c r="B1661" s="13" t="s">
        <v>119</v>
      </c>
      <c r="C1661" s="14">
        <v>45528</v>
      </c>
      <c r="D1661" s="13">
        <v>2024</v>
      </c>
      <c r="E1661" s="13" t="s">
        <v>21</v>
      </c>
      <c r="F1661" s="13" t="s">
        <v>34</v>
      </c>
      <c r="G1661" s="15">
        <v>1543.93</v>
      </c>
      <c r="H1661" s="15">
        <v>1543.93</v>
      </c>
      <c r="I1661" s="13">
        <v>6</v>
      </c>
      <c r="J1661" s="13">
        <v>6</v>
      </c>
      <c r="K1661" s="13" t="s">
        <v>3348</v>
      </c>
      <c r="L1661" s="15">
        <v>257.32166666666666</v>
      </c>
      <c r="M1661" s="16">
        <v>257.32166666666666</v>
      </c>
    </row>
    <row r="1662" spans="1:13" s="5" customFormat="1" x14ac:dyDescent="0.25">
      <c r="A1662" s="12" t="s">
        <v>3193</v>
      </c>
      <c r="B1662" s="13" t="s">
        <v>2624</v>
      </c>
      <c r="C1662" s="14">
        <v>44896</v>
      </c>
      <c r="D1662" s="13">
        <v>2022</v>
      </c>
      <c r="E1662" s="13" t="s">
        <v>21</v>
      </c>
      <c r="F1662" s="13" t="s">
        <v>11</v>
      </c>
      <c r="G1662" s="15">
        <v>1625.08</v>
      </c>
      <c r="H1662" s="15">
        <v>1625.08</v>
      </c>
      <c r="I1662" s="13">
        <v>7</v>
      </c>
      <c r="J1662" s="13">
        <v>7</v>
      </c>
      <c r="K1662" s="13" t="s">
        <v>18</v>
      </c>
      <c r="L1662" s="15">
        <v>232.15428571428569</v>
      </c>
      <c r="M1662" s="16">
        <v>232.15428571428569</v>
      </c>
    </row>
    <row r="1663" spans="1:13" s="5" customFormat="1" x14ac:dyDescent="0.25">
      <c r="A1663" s="12" t="s">
        <v>3194</v>
      </c>
      <c r="B1663" s="13" t="s">
        <v>3195</v>
      </c>
      <c r="C1663" s="14">
        <v>45361</v>
      </c>
      <c r="D1663" s="13">
        <v>2024</v>
      </c>
      <c r="E1663" s="13" t="s">
        <v>10</v>
      </c>
      <c r="F1663" s="13" t="s">
        <v>22</v>
      </c>
      <c r="G1663" s="15">
        <v>842.26</v>
      </c>
      <c r="H1663" s="15">
        <v>842.26</v>
      </c>
      <c r="I1663" s="13">
        <v>9</v>
      </c>
      <c r="J1663" s="13">
        <v>9</v>
      </c>
      <c r="K1663" s="13" t="s">
        <v>35</v>
      </c>
      <c r="L1663" s="15">
        <v>93.584444444444443</v>
      </c>
      <c r="M1663" s="16">
        <v>93.584444444444443</v>
      </c>
    </row>
    <row r="1664" spans="1:13" s="5" customFormat="1" x14ac:dyDescent="0.25">
      <c r="A1664" s="12" t="s">
        <v>3196</v>
      </c>
      <c r="B1664" s="13" t="s">
        <v>3197</v>
      </c>
      <c r="C1664" s="14">
        <v>44913</v>
      </c>
      <c r="D1664" s="13">
        <v>2022</v>
      </c>
      <c r="E1664" s="13" t="s">
        <v>14</v>
      </c>
      <c r="F1664" s="13" t="s">
        <v>22</v>
      </c>
      <c r="G1664" s="15">
        <v>86.6</v>
      </c>
      <c r="H1664" s="15">
        <v>86.6</v>
      </c>
      <c r="I1664" s="13">
        <v>3</v>
      </c>
      <c r="J1664" s="13">
        <v>3</v>
      </c>
      <c r="K1664" s="13" t="s">
        <v>35</v>
      </c>
      <c r="L1664" s="15">
        <v>28.866666666666664</v>
      </c>
      <c r="M1664" s="16">
        <v>28.866666666666664</v>
      </c>
    </row>
    <row r="1665" spans="1:13" s="5" customFormat="1" x14ac:dyDescent="0.25">
      <c r="A1665" s="12" t="s">
        <v>3198</v>
      </c>
      <c r="B1665" s="13" t="s">
        <v>3199</v>
      </c>
      <c r="C1665" s="14">
        <v>45314</v>
      </c>
      <c r="D1665" s="13">
        <v>2024</v>
      </c>
      <c r="E1665" s="13" t="s">
        <v>21</v>
      </c>
      <c r="F1665" s="13" t="s">
        <v>22</v>
      </c>
      <c r="G1665" s="15">
        <v>1395.64</v>
      </c>
      <c r="H1665" s="15">
        <v>1395.64</v>
      </c>
      <c r="I1665" s="13">
        <v>6</v>
      </c>
      <c r="J1665" s="13">
        <v>6</v>
      </c>
      <c r="K1665" s="13" t="s">
        <v>18</v>
      </c>
      <c r="L1665" s="15">
        <v>232.60666666666668</v>
      </c>
      <c r="M1665" s="16">
        <v>232.60666666666668</v>
      </c>
    </row>
    <row r="1666" spans="1:13" s="5" customFormat="1" x14ac:dyDescent="0.25">
      <c r="A1666" s="12" t="s">
        <v>3200</v>
      </c>
      <c r="B1666" s="13" t="s">
        <v>3201</v>
      </c>
      <c r="C1666" s="14">
        <v>45903</v>
      </c>
      <c r="D1666" s="13">
        <v>2025</v>
      </c>
      <c r="E1666" s="13" t="s">
        <v>10</v>
      </c>
      <c r="F1666" s="13" t="s">
        <v>22</v>
      </c>
      <c r="G1666" s="15">
        <v>1255.53</v>
      </c>
      <c r="H1666" s="15">
        <v>1255.53</v>
      </c>
      <c r="I1666" s="13">
        <v>7</v>
      </c>
      <c r="J1666" s="13">
        <v>7</v>
      </c>
      <c r="K1666" s="13" t="s">
        <v>18</v>
      </c>
      <c r="L1666" s="15">
        <v>179.36142857142858</v>
      </c>
      <c r="M1666" s="16">
        <v>179.36142857142858</v>
      </c>
    </row>
    <row r="1667" spans="1:13" s="5" customFormat="1" x14ac:dyDescent="0.25">
      <c r="A1667" s="12" t="s">
        <v>3202</v>
      </c>
      <c r="B1667" s="13" t="s">
        <v>1623</v>
      </c>
      <c r="C1667" s="14">
        <v>45369</v>
      </c>
      <c r="D1667" s="13">
        <v>2024</v>
      </c>
      <c r="E1667" s="13" t="s">
        <v>3347</v>
      </c>
      <c r="F1667" s="13" t="s">
        <v>34</v>
      </c>
      <c r="G1667" s="15">
        <v>1974.37</v>
      </c>
      <c r="H1667" s="15">
        <v>1974.37</v>
      </c>
      <c r="I1667" s="13">
        <v>4</v>
      </c>
      <c r="J1667" s="13">
        <v>4</v>
      </c>
      <c r="K1667" s="13" t="s">
        <v>3346</v>
      </c>
      <c r="L1667" s="15">
        <v>493.59249999999997</v>
      </c>
      <c r="M1667" s="16">
        <v>493.59249999999997</v>
      </c>
    </row>
    <row r="1668" spans="1:13" s="5" customFormat="1" x14ac:dyDescent="0.25">
      <c r="A1668" s="12" t="s">
        <v>3203</v>
      </c>
      <c r="B1668" s="13" t="s">
        <v>3204</v>
      </c>
      <c r="C1668" s="14">
        <v>44943</v>
      </c>
      <c r="D1668" s="13">
        <v>2023</v>
      </c>
      <c r="E1668" s="13" t="s">
        <v>14</v>
      </c>
      <c r="F1668" s="13" t="s">
        <v>11</v>
      </c>
      <c r="G1668" s="15">
        <v>1818.76</v>
      </c>
      <c r="H1668" s="15">
        <v>1818.76</v>
      </c>
      <c r="I1668" s="13">
        <v>2</v>
      </c>
      <c r="J1668" s="13">
        <v>2</v>
      </c>
      <c r="K1668" s="13" t="s">
        <v>3348</v>
      </c>
      <c r="L1668" s="15">
        <v>909.38</v>
      </c>
      <c r="M1668" s="16">
        <v>909.38</v>
      </c>
    </row>
    <row r="1669" spans="1:13" s="5" customFormat="1" x14ac:dyDescent="0.25">
      <c r="A1669" s="12" t="s">
        <v>3205</v>
      </c>
      <c r="B1669" s="13" t="s">
        <v>3206</v>
      </c>
      <c r="C1669" s="14">
        <v>45742</v>
      </c>
      <c r="D1669" s="13">
        <v>2025</v>
      </c>
      <c r="E1669" s="13" t="s">
        <v>10</v>
      </c>
      <c r="F1669" s="13" t="s">
        <v>11</v>
      </c>
      <c r="G1669" s="15">
        <v>468.67</v>
      </c>
      <c r="H1669" s="15">
        <v>468.67</v>
      </c>
      <c r="I1669" s="13">
        <v>6</v>
      </c>
      <c r="J1669" s="13">
        <v>6</v>
      </c>
      <c r="K1669" s="13" t="s">
        <v>35</v>
      </c>
      <c r="L1669" s="15">
        <v>78.111666666666665</v>
      </c>
      <c r="M1669" s="16">
        <v>78.111666666666665</v>
      </c>
    </row>
    <row r="1670" spans="1:13" s="5" customFormat="1" x14ac:dyDescent="0.25">
      <c r="A1670" s="12" t="s">
        <v>3207</v>
      </c>
      <c r="B1670" s="13" t="s">
        <v>3208</v>
      </c>
      <c r="C1670" s="14">
        <v>45007</v>
      </c>
      <c r="D1670" s="13">
        <v>2023</v>
      </c>
      <c r="E1670" s="13" t="s">
        <v>10</v>
      </c>
      <c r="F1670" s="13" t="s">
        <v>22</v>
      </c>
      <c r="G1670" s="15">
        <v>1318.27</v>
      </c>
      <c r="H1670" s="15">
        <v>1318.27</v>
      </c>
      <c r="I1670" s="13">
        <v>6</v>
      </c>
      <c r="J1670" s="13">
        <v>6</v>
      </c>
      <c r="K1670" s="13" t="s">
        <v>35</v>
      </c>
      <c r="L1670" s="15">
        <v>219.71166666666667</v>
      </c>
      <c r="M1670" s="16">
        <v>219.71166666666667</v>
      </c>
    </row>
    <row r="1671" spans="1:13" s="5" customFormat="1" x14ac:dyDescent="0.25">
      <c r="A1671" s="12" t="s">
        <v>3209</v>
      </c>
      <c r="B1671" s="13" t="s">
        <v>3210</v>
      </c>
      <c r="C1671" s="14">
        <v>45453</v>
      </c>
      <c r="D1671" s="13">
        <v>2024</v>
      </c>
      <c r="E1671" s="13" t="s">
        <v>21</v>
      </c>
      <c r="F1671" s="13" t="s">
        <v>25</v>
      </c>
      <c r="G1671" s="15">
        <v>1653.92</v>
      </c>
      <c r="H1671" s="15">
        <v>1653.92</v>
      </c>
      <c r="I1671" s="13">
        <v>4</v>
      </c>
      <c r="J1671" s="13">
        <v>4</v>
      </c>
      <c r="K1671" s="13" t="s">
        <v>3346</v>
      </c>
      <c r="L1671" s="15">
        <v>413.48</v>
      </c>
      <c r="M1671" s="16">
        <v>413.48</v>
      </c>
    </row>
    <row r="1672" spans="1:13" s="5" customFormat="1" x14ac:dyDescent="0.25">
      <c r="A1672" s="12" t="s">
        <v>3211</v>
      </c>
      <c r="B1672" s="13" t="s">
        <v>3212</v>
      </c>
      <c r="C1672" s="14">
        <v>44970</v>
      </c>
      <c r="D1672" s="13">
        <v>2023</v>
      </c>
      <c r="E1672" s="13" t="s">
        <v>10</v>
      </c>
      <c r="F1672" s="13" t="s">
        <v>22</v>
      </c>
      <c r="G1672" s="15">
        <v>149.38</v>
      </c>
      <c r="H1672" s="15">
        <v>149.38</v>
      </c>
      <c r="I1672" s="13">
        <v>5</v>
      </c>
      <c r="J1672" s="13">
        <v>5</v>
      </c>
      <c r="K1672" s="13" t="s">
        <v>15</v>
      </c>
      <c r="L1672" s="15">
        <v>29.875999999999998</v>
      </c>
      <c r="M1672" s="16">
        <v>29.875999999999998</v>
      </c>
    </row>
    <row r="1673" spans="1:13" s="5" customFormat="1" x14ac:dyDescent="0.25">
      <c r="A1673" s="12" t="s">
        <v>3213</v>
      </c>
      <c r="B1673" s="13" t="s">
        <v>2338</v>
      </c>
      <c r="C1673" s="14">
        <v>45259</v>
      </c>
      <c r="D1673" s="13">
        <v>2023</v>
      </c>
      <c r="E1673" s="13" t="s">
        <v>21</v>
      </c>
      <c r="F1673" s="13" t="s">
        <v>22</v>
      </c>
      <c r="G1673" s="15">
        <v>1908.78</v>
      </c>
      <c r="H1673" s="15">
        <v>1908.78</v>
      </c>
      <c r="I1673" s="13">
        <v>9</v>
      </c>
      <c r="J1673" s="13">
        <v>9</v>
      </c>
      <c r="K1673" s="13" t="s">
        <v>3348</v>
      </c>
      <c r="L1673" s="15">
        <v>212.08666666666667</v>
      </c>
      <c r="M1673" s="16">
        <v>212.08666666666667</v>
      </c>
    </row>
    <row r="1674" spans="1:13" s="5" customFormat="1" x14ac:dyDescent="0.25">
      <c r="A1674" s="12" t="s">
        <v>3214</v>
      </c>
      <c r="B1674" s="13" t="s">
        <v>3215</v>
      </c>
      <c r="C1674" s="14">
        <v>45587</v>
      </c>
      <c r="D1674" s="13">
        <v>2024</v>
      </c>
      <c r="E1674" s="13" t="s">
        <v>10</v>
      </c>
      <c r="F1674" s="13" t="s">
        <v>11</v>
      </c>
      <c r="G1674" s="15">
        <v>1196.838611111111</v>
      </c>
      <c r="H1674" s="15">
        <v>1196.838611111111</v>
      </c>
      <c r="I1674" s="13">
        <v>5</v>
      </c>
      <c r="J1674" s="13">
        <v>5</v>
      </c>
      <c r="K1674" s="13" t="s">
        <v>3346</v>
      </c>
      <c r="L1674" s="15">
        <v>239.3677222222222</v>
      </c>
      <c r="M1674" s="16">
        <v>239.36772222222223</v>
      </c>
    </row>
    <row r="1675" spans="1:13" s="5" customFormat="1" x14ac:dyDescent="0.25">
      <c r="A1675" s="12" t="s">
        <v>3216</v>
      </c>
      <c r="B1675" s="13" t="s">
        <v>3217</v>
      </c>
      <c r="C1675" s="14">
        <v>45195</v>
      </c>
      <c r="D1675" s="13">
        <v>2023</v>
      </c>
      <c r="E1675" s="13" t="s">
        <v>10</v>
      </c>
      <c r="F1675" s="13" t="s">
        <v>11</v>
      </c>
      <c r="G1675" s="15">
        <v>1428.96</v>
      </c>
      <c r="H1675" s="15">
        <v>1428.96</v>
      </c>
      <c r="I1675" s="13">
        <v>5</v>
      </c>
      <c r="J1675" s="13">
        <v>5</v>
      </c>
      <c r="K1675" s="13" t="s">
        <v>3346</v>
      </c>
      <c r="L1675" s="15">
        <v>285.79200000000003</v>
      </c>
      <c r="M1675" s="16">
        <v>285.79200000000003</v>
      </c>
    </row>
    <row r="1676" spans="1:13" s="5" customFormat="1" x14ac:dyDescent="0.25">
      <c r="A1676" s="12" t="s">
        <v>3218</v>
      </c>
      <c r="B1676" s="13" t="s">
        <v>3219</v>
      </c>
      <c r="C1676" s="14">
        <v>45785</v>
      </c>
      <c r="D1676" s="13">
        <v>2025</v>
      </c>
      <c r="E1676" s="13" t="s">
        <v>3347</v>
      </c>
      <c r="F1676" s="13" t="s">
        <v>22</v>
      </c>
      <c r="G1676" s="15">
        <v>431.69513945578234</v>
      </c>
      <c r="H1676" s="15">
        <v>431.69513945578234</v>
      </c>
      <c r="I1676" s="13">
        <v>1</v>
      </c>
      <c r="J1676" s="13">
        <v>1</v>
      </c>
      <c r="K1676" s="13" t="s">
        <v>3346</v>
      </c>
      <c r="L1676" s="15">
        <v>431.69513945578234</v>
      </c>
      <c r="M1676" s="16">
        <v>431.69513945578234</v>
      </c>
    </row>
    <row r="1677" spans="1:13" s="5" customFormat="1" x14ac:dyDescent="0.25">
      <c r="A1677" s="12" t="s">
        <v>3220</v>
      </c>
      <c r="B1677" s="13" t="s">
        <v>3221</v>
      </c>
      <c r="C1677" s="14">
        <v>45306</v>
      </c>
      <c r="D1677" s="13">
        <v>2024</v>
      </c>
      <c r="E1677" s="13" t="s">
        <v>3347</v>
      </c>
      <c r="F1677" s="13" t="s">
        <v>34</v>
      </c>
      <c r="G1677" s="15">
        <v>338.36</v>
      </c>
      <c r="H1677" s="15">
        <v>338.36</v>
      </c>
      <c r="I1677" s="13">
        <v>6</v>
      </c>
      <c r="J1677" s="13">
        <v>6</v>
      </c>
      <c r="K1677" s="13" t="s">
        <v>18</v>
      </c>
      <c r="L1677" s="15">
        <v>56.393333333333338</v>
      </c>
      <c r="M1677" s="16">
        <v>56.393333333333338</v>
      </c>
    </row>
    <row r="1678" spans="1:13" s="5" customFormat="1" x14ac:dyDescent="0.25">
      <c r="A1678" s="12" t="s">
        <v>3222</v>
      </c>
      <c r="B1678" s="13" t="s">
        <v>3223</v>
      </c>
      <c r="C1678" s="14">
        <v>45665</v>
      </c>
      <c r="D1678" s="13">
        <v>2025</v>
      </c>
      <c r="E1678" s="13" t="s">
        <v>14</v>
      </c>
      <c r="F1678" s="13" t="s">
        <v>22</v>
      </c>
      <c r="G1678" s="15">
        <v>1535.68</v>
      </c>
      <c r="H1678" s="15">
        <v>1535.68</v>
      </c>
      <c r="I1678" s="13">
        <v>9</v>
      </c>
      <c r="J1678" s="13">
        <v>9</v>
      </c>
      <c r="K1678" s="13" t="s">
        <v>18</v>
      </c>
      <c r="L1678" s="15">
        <v>170.63111111111112</v>
      </c>
      <c r="M1678" s="16">
        <v>170.63111111111112</v>
      </c>
    </row>
    <row r="1679" spans="1:13" s="5" customFormat="1" x14ac:dyDescent="0.25">
      <c r="A1679" s="12" t="s">
        <v>3224</v>
      </c>
      <c r="B1679" s="13" t="s">
        <v>3225</v>
      </c>
      <c r="C1679" s="14">
        <v>44986</v>
      </c>
      <c r="D1679" s="13">
        <v>2023</v>
      </c>
      <c r="E1679" s="13" t="s">
        <v>14</v>
      </c>
      <c r="F1679" s="13" t="s">
        <v>22</v>
      </c>
      <c r="G1679" s="15">
        <v>935.5</v>
      </c>
      <c r="H1679" s="15">
        <v>935.5</v>
      </c>
      <c r="I1679" s="13">
        <v>3</v>
      </c>
      <c r="J1679" s="13">
        <v>3</v>
      </c>
      <c r="K1679" s="13" t="s">
        <v>3346</v>
      </c>
      <c r="L1679" s="15">
        <v>311.83333333333331</v>
      </c>
      <c r="M1679" s="16">
        <v>311.83333333333331</v>
      </c>
    </row>
    <row r="1680" spans="1:13" s="5" customFormat="1" x14ac:dyDescent="0.25">
      <c r="A1680" s="12" t="s">
        <v>3226</v>
      </c>
      <c r="B1680" s="13" t="s">
        <v>3227</v>
      </c>
      <c r="C1680" s="14">
        <v>45712</v>
      </c>
      <c r="D1680" s="13">
        <v>2025</v>
      </c>
      <c r="E1680" s="13" t="s">
        <v>10</v>
      </c>
      <c r="F1680" s="13" t="s">
        <v>11</v>
      </c>
      <c r="G1680" s="15">
        <v>1301.1400000000001</v>
      </c>
      <c r="H1680" s="15">
        <v>1301.1400000000001</v>
      </c>
      <c r="I1680" s="13">
        <v>8</v>
      </c>
      <c r="J1680" s="13">
        <v>8</v>
      </c>
      <c r="K1680" s="13" t="s">
        <v>18</v>
      </c>
      <c r="L1680" s="15">
        <v>162.64250000000001</v>
      </c>
      <c r="M1680" s="16">
        <v>162.64250000000001</v>
      </c>
    </row>
    <row r="1681" spans="1:13" s="5" customFormat="1" x14ac:dyDescent="0.25">
      <c r="A1681" s="12" t="s">
        <v>3228</v>
      </c>
      <c r="B1681" s="13" t="s">
        <v>3229</v>
      </c>
      <c r="C1681" s="14">
        <v>45819</v>
      </c>
      <c r="D1681" s="13">
        <v>2025</v>
      </c>
      <c r="E1681" s="13" t="s">
        <v>3347</v>
      </c>
      <c r="F1681" s="13" t="s">
        <v>22</v>
      </c>
      <c r="G1681" s="15">
        <v>1718.36</v>
      </c>
      <c r="H1681" s="15">
        <v>1718.36</v>
      </c>
      <c r="I1681" s="13">
        <v>1</v>
      </c>
      <c r="J1681" s="13">
        <v>1</v>
      </c>
      <c r="K1681" s="13" t="s">
        <v>35</v>
      </c>
      <c r="L1681" s="15">
        <v>1718.36</v>
      </c>
      <c r="M1681" s="16">
        <v>1470.11</v>
      </c>
    </row>
    <row r="1682" spans="1:13" s="5" customFormat="1" x14ac:dyDescent="0.25">
      <c r="A1682" s="12" t="s">
        <v>3230</v>
      </c>
      <c r="B1682" s="13" t="s">
        <v>3231</v>
      </c>
      <c r="C1682" s="14">
        <v>44872</v>
      </c>
      <c r="D1682" s="13">
        <v>2022</v>
      </c>
      <c r="E1682" s="13" t="s">
        <v>14</v>
      </c>
      <c r="F1682" s="13" t="s">
        <v>34</v>
      </c>
      <c r="G1682" s="15">
        <v>1235.58</v>
      </c>
      <c r="H1682" s="15">
        <v>1235.58</v>
      </c>
      <c r="I1682" s="13">
        <v>9</v>
      </c>
      <c r="J1682" s="13">
        <v>9</v>
      </c>
      <c r="K1682" s="13" t="s">
        <v>35</v>
      </c>
      <c r="L1682" s="15">
        <v>137.28666666666666</v>
      </c>
      <c r="M1682" s="16">
        <v>137.28666666666666</v>
      </c>
    </row>
    <row r="1683" spans="1:13" s="5" customFormat="1" x14ac:dyDescent="0.25">
      <c r="A1683" s="12" t="s">
        <v>3232</v>
      </c>
      <c r="B1683" s="13" t="s">
        <v>3233</v>
      </c>
      <c r="C1683" s="14">
        <v>45465</v>
      </c>
      <c r="D1683" s="13">
        <v>2024</v>
      </c>
      <c r="E1683" s="13" t="s">
        <v>3347</v>
      </c>
      <c r="F1683" s="13" t="s">
        <v>22</v>
      </c>
      <c r="G1683" s="15">
        <v>988.52</v>
      </c>
      <c r="H1683" s="15">
        <v>988.52</v>
      </c>
      <c r="I1683" s="13">
        <v>10</v>
      </c>
      <c r="J1683" s="13">
        <v>10</v>
      </c>
      <c r="K1683" s="13" t="s">
        <v>18</v>
      </c>
      <c r="L1683" s="15">
        <v>98.852000000000004</v>
      </c>
      <c r="M1683" s="16">
        <v>98.852000000000004</v>
      </c>
    </row>
    <row r="1684" spans="1:13" s="5" customFormat="1" x14ac:dyDescent="0.25">
      <c r="A1684" s="12" t="s">
        <v>3234</v>
      </c>
      <c r="B1684" s="13" t="s">
        <v>3235</v>
      </c>
      <c r="C1684" s="14">
        <v>45540</v>
      </c>
      <c r="D1684" s="13">
        <v>2024</v>
      </c>
      <c r="E1684" s="13" t="s">
        <v>10</v>
      </c>
      <c r="F1684" s="13" t="s">
        <v>22</v>
      </c>
      <c r="G1684" s="15">
        <v>216.2</v>
      </c>
      <c r="H1684" s="15">
        <v>216.2</v>
      </c>
      <c r="I1684" s="13">
        <v>10</v>
      </c>
      <c r="J1684" s="13">
        <v>10</v>
      </c>
      <c r="K1684" s="13" t="s">
        <v>3346</v>
      </c>
      <c r="L1684" s="15">
        <v>21.619999999999997</v>
      </c>
      <c r="M1684" s="16">
        <v>21.619999999999997</v>
      </c>
    </row>
    <row r="1685" spans="1:13" s="5" customFormat="1" x14ac:dyDescent="0.25">
      <c r="A1685" s="12" t="s">
        <v>3236</v>
      </c>
      <c r="B1685" s="13" t="s">
        <v>3237</v>
      </c>
      <c r="C1685" s="14">
        <v>44938</v>
      </c>
      <c r="D1685" s="13">
        <v>2023</v>
      </c>
      <c r="E1685" s="13" t="s">
        <v>14</v>
      </c>
      <c r="F1685" s="13" t="s">
        <v>25</v>
      </c>
      <c r="G1685" s="15">
        <v>1726.82</v>
      </c>
      <c r="H1685" s="15">
        <v>1726.82</v>
      </c>
      <c r="I1685" s="13">
        <v>9</v>
      </c>
      <c r="J1685" s="13">
        <v>9</v>
      </c>
      <c r="K1685" s="13" t="s">
        <v>3346</v>
      </c>
      <c r="L1685" s="15">
        <v>191.86888888888888</v>
      </c>
      <c r="M1685" s="16">
        <v>191.86888888888888</v>
      </c>
    </row>
    <row r="1686" spans="1:13" s="5" customFormat="1" x14ac:dyDescent="0.25">
      <c r="A1686" s="12" t="s">
        <v>3238</v>
      </c>
      <c r="B1686" s="13" t="s">
        <v>3239</v>
      </c>
      <c r="C1686" s="14">
        <v>45732</v>
      </c>
      <c r="D1686" s="13">
        <v>2025</v>
      </c>
      <c r="E1686" s="13" t="s">
        <v>10</v>
      </c>
      <c r="F1686" s="13" t="s">
        <v>22</v>
      </c>
      <c r="G1686" s="15">
        <v>1069.43</v>
      </c>
      <c r="H1686" s="15">
        <v>1069.43</v>
      </c>
      <c r="I1686" s="13">
        <v>6</v>
      </c>
      <c r="J1686" s="13">
        <v>6</v>
      </c>
      <c r="K1686" s="13" t="s">
        <v>3346</v>
      </c>
      <c r="L1686" s="15">
        <v>178.23833333333334</v>
      </c>
      <c r="M1686" s="16">
        <v>178.23833333333334</v>
      </c>
    </row>
    <row r="1687" spans="1:13" s="5" customFormat="1" x14ac:dyDescent="0.25">
      <c r="A1687" s="12" t="s">
        <v>3240</v>
      </c>
      <c r="B1687" s="13" t="s">
        <v>3241</v>
      </c>
      <c r="C1687" s="14">
        <v>45144</v>
      </c>
      <c r="D1687" s="13">
        <v>2023</v>
      </c>
      <c r="E1687" s="13" t="s">
        <v>14</v>
      </c>
      <c r="F1687" s="13" t="s">
        <v>11</v>
      </c>
      <c r="G1687" s="15">
        <v>1512.3</v>
      </c>
      <c r="H1687" s="15">
        <v>1512.3</v>
      </c>
      <c r="I1687" s="13">
        <v>2</v>
      </c>
      <c r="J1687" s="13">
        <v>2</v>
      </c>
      <c r="K1687" s="13" t="s">
        <v>3348</v>
      </c>
      <c r="L1687" s="15">
        <v>756.15</v>
      </c>
      <c r="M1687" s="16">
        <v>756.15</v>
      </c>
    </row>
    <row r="1688" spans="1:13" s="5" customFormat="1" x14ac:dyDescent="0.25">
      <c r="A1688" s="12" t="s">
        <v>3242</v>
      </c>
      <c r="B1688" s="13" t="s">
        <v>3243</v>
      </c>
      <c r="C1688" s="14">
        <v>45470</v>
      </c>
      <c r="D1688" s="13">
        <v>2024</v>
      </c>
      <c r="E1688" s="13" t="s">
        <v>3347</v>
      </c>
      <c r="F1688" s="13" t="s">
        <v>25</v>
      </c>
      <c r="G1688" s="15">
        <v>1496.68</v>
      </c>
      <c r="H1688" s="15">
        <v>1496.68</v>
      </c>
      <c r="I1688" s="13">
        <v>2</v>
      </c>
      <c r="J1688" s="13">
        <v>2</v>
      </c>
      <c r="K1688" s="13" t="s">
        <v>35</v>
      </c>
      <c r="L1688" s="15">
        <v>748.34</v>
      </c>
      <c r="M1688" s="16">
        <v>748.34</v>
      </c>
    </row>
    <row r="1689" spans="1:13" s="5" customFormat="1" x14ac:dyDescent="0.25">
      <c r="A1689" s="12" t="s">
        <v>3244</v>
      </c>
      <c r="B1689" s="13" t="s">
        <v>3245</v>
      </c>
      <c r="C1689" s="14">
        <v>45790</v>
      </c>
      <c r="D1689" s="13">
        <v>2025</v>
      </c>
      <c r="E1689" s="13" t="s">
        <v>10</v>
      </c>
      <c r="F1689" s="13" t="s">
        <v>34</v>
      </c>
      <c r="G1689" s="15">
        <v>351.52</v>
      </c>
      <c r="H1689" s="15">
        <v>351.52</v>
      </c>
      <c r="I1689" s="13">
        <v>12</v>
      </c>
      <c r="J1689" s="13">
        <v>10</v>
      </c>
      <c r="K1689" s="13" t="s">
        <v>15</v>
      </c>
      <c r="L1689" s="15">
        <v>29.293333333333333</v>
      </c>
      <c r="M1689" s="16">
        <v>30.049999999999997</v>
      </c>
    </row>
    <row r="1690" spans="1:13" s="5" customFormat="1" x14ac:dyDescent="0.25">
      <c r="A1690" s="12" t="s">
        <v>3246</v>
      </c>
      <c r="B1690" s="13" t="s">
        <v>534</v>
      </c>
      <c r="C1690" s="14">
        <v>45774</v>
      </c>
      <c r="D1690" s="13">
        <v>2025</v>
      </c>
      <c r="E1690" s="13" t="s">
        <v>10</v>
      </c>
      <c r="F1690" s="13" t="s">
        <v>11</v>
      </c>
      <c r="G1690" s="15">
        <v>417.51</v>
      </c>
      <c r="H1690" s="15">
        <v>417.51</v>
      </c>
      <c r="I1690" s="13">
        <v>10</v>
      </c>
      <c r="J1690" s="13">
        <v>10</v>
      </c>
      <c r="K1690" s="13" t="s">
        <v>18</v>
      </c>
      <c r="L1690" s="15">
        <v>41.750999999999998</v>
      </c>
      <c r="M1690" s="16">
        <v>41.750999999999998</v>
      </c>
    </row>
    <row r="1691" spans="1:13" s="5" customFormat="1" x14ac:dyDescent="0.25">
      <c r="A1691" s="12" t="s">
        <v>3247</v>
      </c>
      <c r="B1691" s="13" t="s">
        <v>3248</v>
      </c>
      <c r="C1691" s="14">
        <v>45215</v>
      </c>
      <c r="D1691" s="13">
        <v>2023</v>
      </c>
      <c r="E1691" s="13" t="s">
        <v>10</v>
      </c>
      <c r="F1691" s="13" t="s">
        <v>11</v>
      </c>
      <c r="G1691" s="15">
        <v>1896.95</v>
      </c>
      <c r="H1691" s="15">
        <v>1896.95</v>
      </c>
      <c r="I1691" s="13">
        <v>1</v>
      </c>
      <c r="J1691" s="13">
        <v>1</v>
      </c>
      <c r="K1691" s="13" t="s">
        <v>15</v>
      </c>
      <c r="L1691" s="15">
        <v>1896.95</v>
      </c>
      <c r="M1691" s="16">
        <v>1896.95</v>
      </c>
    </row>
    <row r="1692" spans="1:13" s="5" customFormat="1" x14ac:dyDescent="0.25">
      <c r="A1692" s="12" t="s">
        <v>3249</v>
      </c>
      <c r="B1692" s="13" t="s">
        <v>3250</v>
      </c>
      <c r="C1692" s="14">
        <v>44971</v>
      </c>
      <c r="D1692" s="13">
        <v>2023</v>
      </c>
      <c r="E1692" s="13" t="s">
        <v>21</v>
      </c>
      <c r="F1692" s="13" t="s">
        <v>22</v>
      </c>
      <c r="G1692" s="15">
        <v>444.84</v>
      </c>
      <c r="H1692" s="15">
        <v>444.84</v>
      </c>
      <c r="I1692" s="13">
        <v>3</v>
      </c>
      <c r="J1692" s="13">
        <v>3</v>
      </c>
      <c r="K1692" s="13" t="s">
        <v>18</v>
      </c>
      <c r="L1692" s="15">
        <v>148.28</v>
      </c>
      <c r="M1692" s="16">
        <v>167.28291666666667</v>
      </c>
    </row>
    <row r="1693" spans="1:13" s="5" customFormat="1" x14ac:dyDescent="0.25">
      <c r="A1693" s="12" t="s">
        <v>3251</v>
      </c>
      <c r="B1693" s="13" t="s">
        <v>3252</v>
      </c>
      <c r="C1693" s="14">
        <v>45167</v>
      </c>
      <c r="D1693" s="13">
        <v>2023</v>
      </c>
      <c r="E1693" s="13" t="s">
        <v>14</v>
      </c>
      <c r="F1693" s="13" t="s">
        <v>25</v>
      </c>
      <c r="G1693" s="15">
        <v>1920.86</v>
      </c>
      <c r="H1693" s="15">
        <v>1920.86</v>
      </c>
      <c r="I1693" s="13">
        <v>4</v>
      </c>
      <c r="J1693" s="13">
        <v>4</v>
      </c>
      <c r="K1693" s="13" t="s">
        <v>18</v>
      </c>
      <c r="L1693" s="15">
        <v>480.21499999999997</v>
      </c>
      <c r="M1693" s="16">
        <v>500.10511666666662</v>
      </c>
    </row>
    <row r="1694" spans="1:13" s="5" customFormat="1" x14ac:dyDescent="0.25">
      <c r="A1694" s="12" t="s">
        <v>3253</v>
      </c>
      <c r="B1694" s="13" t="s">
        <v>3254</v>
      </c>
      <c r="C1694" s="14">
        <v>45131</v>
      </c>
      <c r="D1694" s="13">
        <v>2023</v>
      </c>
      <c r="E1694" s="13" t="s">
        <v>3347</v>
      </c>
      <c r="F1694" s="13" t="s">
        <v>34</v>
      </c>
      <c r="G1694" s="15">
        <v>413.18</v>
      </c>
      <c r="H1694" s="15">
        <v>413.18</v>
      </c>
      <c r="I1694" s="13">
        <v>1</v>
      </c>
      <c r="J1694" s="13">
        <v>1</v>
      </c>
      <c r="K1694" s="13" t="s">
        <v>3346</v>
      </c>
      <c r="L1694" s="15">
        <v>413.18</v>
      </c>
      <c r="M1694" s="16">
        <v>351.6691851851852</v>
      </c>
    </row>
    <row r="1695" spans="1:13" s="5" customFormat="1" x14ac:dyDescent="0.25">
      <c r="A1695" s="12" t="s">
        <v>3255</v>
      </c>
      <c r="B1695" s="13" t="s">
        <v>2880</v>
      </c>
      <c r="C1695" s="14">
        <v>45683</v>
      </c>
      <c r="D1695" s="13">
        <v>2025</v>
      </c>
      <c r="E1695" s="13" t="s">
        <v>10</v>
      </c>
      <c r="F1695" s="13" t="s">
        <v>34</v>
      </c>
      <c r="G1695" s="15">
        <v>493.86</v>
      </c>
      <c r="H1695" s="15">
        <v>493.86</v>
      </c>
      <c r="I1695" s="13">
        <v>6</v>
      </c>
      <c r="J1695" s="13">
        <v>6</v>
      </c>
      <c r="K1695" s="13" t="s">
        <v>3348</v>
      </c>
      <c r="L1695" s="15">
        <v>82.31</v>
      </c>
      <c r="M1695" s="16">
        <v>82.31</v>
      </c>
    </row>
    <row r="1696" spans="1:13" s="5" customFormat="1" x14ac:dyDescent="0.25">
      <c r="A1696" s="12" t="s">
        <v>3256</v>
      </c>
      <c r="B1696" s="13" t="s">
        <v>3257</v>
      </c>
      <c r="C1696" s="14">
        <v>45916</v>
      </c>
      <c r="D1696" s="13">
        <v>2025</v>
      </c>
      <c r="E1696" s="13" t="s">
        <v>21</v>
      </c>
      <c r="F1696" s="13" t="s">
        <v>34</v>
      </c>
      <c r="G1696" s="15">
        <v>1798.18</v>
      </c>
      <c r="H1696" s="15">
        <v>1798.18</v>
      </c>
      <c r="I1696" s="13">
        <v>4</v>
      </c>
      <c r="J1696" s="13">
        <v>4</v>
      </c>
      <c r="K1696" s="13" t="s">
        <v>3348</v>
      </c>
      <c r="L1696" s="15">
        <v>449.54500000000002</v>
      </c>
      <c r="M1696" s="16">
        <v>449.54500000000002</v>
      </c>
    </row>
    <row r="1697" spans="1:13" s="5" customFormat="1" x14ac:dyDescent="0.25">
      <c r="A1697" s="12" t="s">
        <v>3258</v>
      </c>
      <c r="B1697" s="13" t="s">
        <v>3259</v>
      </c>
      <c r="C1697" s="14">
        <v>44994</v>
      </c>
      <c r="D1697" s="13">
        <v>2023</v>
      </c>
      <c r="E1697" s="13" t="s">
        <v>10</v>
      </c>
      <c r="F1697" s="13" t="s">
        <v>11</v>
      </c>
      <c r="G1697" s="15">
        <v>113.08</v>
      </c>
      <c r="H1697" s="15">
        <v>113.08</v>
      </c>
      <c r="I1697" s="13">
        <v>10</v>
      </c>
      <c r="J1697" s="13">
        <v>10</v>
      </c>
      <c r="K1697" s="13" t="s">
        <v>3348</v>
      </c>
      <c r="L1697" s="15">
        <v>11.308</v>
      </c>
      <c r="M1697" s="16">
        <v>11.308</v>
      </c>
    </row>
    <row r="1698" spans="1:13" s="5" customFormat="1" x14ac:dyDescent="0.25">
      <c r="A1698" s="12" t="s">
        <v>3260</v>
      </c>
      <c r="B1698" s="13" t="s">
        <v>3261</v>
      </c>
      <c r="C1698" s="14">
        <v>44933</v>
      </c>
      <c r="D1698" s="13">
        <v>2023</v>
      </c>
      <c r="E1698" s="13" t="s">
        <v>21</v>
      </c>
      <c r="F1698" s="13" t="s">
        <v>22</v>
      </c>
      <c r="G1698" s="15">
        <v>1520.77</v>
      </c>
      <c r="H1698" s="15">
        <v>1520.77</v>
      </c>
      <c r="I1698" s="13">
        <v>6</v>
      </c>
      <c r="J1698" s="13">
        <v>6</v>
      </c>
      <c r="K1698" s="13" t="s">
        <v>3348</v>
      </c>
      <c r="L1698" s="15">
        <v>253.46166666666667</v>
      </c>
      <c r="M1698" s="16">
        <v>253.30313492063493</v>
      </c>
    </row>
    <row r="1699" spans="1:13" s="5" customFormat="1" x14ac:dyDescent="0.25">
      <c r="A1699" s="12" t="s">
        <v>3262</v>
      </c>
      <c r="B1699" s="13" t="s">
        <v>3263</v>
      </c>
      <c r="C1699" s="14">
        <v>45841</v>
      </c>
      <c r="D1699" s="13">
        <v>2025</v>
      </c>
      <c r="E1699" s="13" t="s">
        <v>10</v>
      </c>
      <c r="F1699" s="13" t="s">
        <v>34</v>
      </c>
      <c r="G1699" s="15">
        <v>1054.76</v>
      </c>
      <c r="H1699" s="15">
        <v>1054.76</v>
      </c>
      <c r="I1699" s="13">
        <v>2</v>
      </c>
      <c r="J1699" s="13">
        <v>2</v>
      </c>
      <c r="K1699" s="13" t="s">
        <v>3348</v>
      </c>
      <c r="L1699" s="15">
        <v>527.38</v>
      </c>
      <c r="M1699" s="16">
        <v>527.38</v>
      </c>
    </row>
    <row r="1700" spans="1:13" s="5" customFormat="1" x14ac:dyDescent="0.25">
      <c r="A1700" s="12" t="s">
        <v>3264</v>
      </c>
      <c r="B1700" s="13" t="s">
        <v>3265</v>
      </c>
      <c r="C1700" s="14">
        <v>44897</v>
      </c>
      <c r="D1700" s="13">
        <v>2022</v>
      </c>
      <c r="E1700" s="13" t="s">
        <v>21</v>
      </c>
      <c r="F1700" s="13" t="s">
        <v>11</v>
      </c>
      <c r="G1700" s="15">
        <v>1281.45</v>
      </c>
      <c r="H1700" s="15">
        <v>1281.45</v>
      </c>
      <c r="I1700" s="13">
        <v>4</v>
      </c>
      <c r="J1700" s="13">
        <v>4</v>
      </c>
      <c r="K1700" s="13" t="s">
        <v>18</v>
      </c>
      <c r="L1700" s="15">
        <v>320.36250000000001</v>
      </c>
      <c r="M1700" s="16">
        <v>320.36250000000001</v>
      </c>
    </row>
    <row r="1701" spans="1:13" s="5" customFormat="1" x14ac:dyDescent="0.25">
      <c r="A1701" s="12" t="s">
        <v>3266</v>
      </c>
      <c r="B1701" s="13" t="s">
        <v>3267</v>
      </c>
      <c r="C1701" s="14">
        <v>45870</v>
      </c>
      <c r="D1701" s="13">
        <v>2025</v>
      </c>
      <c r="E1701" s="13" t="s">
        <v>10</v>
      </c>
      <c r="F1701" s="13" t="s">
        <v>22</v>
      </c>
      <c r="G1701" s="15">
        <v>83.34</v>
      </c>
      <c r="H1701" s="15">
        <v>83.34</v>
      </c>
      <c r="I1701" s="13">
        <v>7</v>
      </c>
      <c r="J1701" s="13">
        <v>7</v>
      </c>
      <c r="K1701" s="13" t="s">
        <v>35</v>
      </c>
      <c r="L1701" s="15">
        <v>11.905714285714286</v>
      </c>
      <c r="M1701" s="16">
        <v>11.905714285714286</v>
      </c>
    </row>
    <row r="1702" spans="1:13" s="5" customFormat="1" x14ac:dyDescent="0.25">
      <c r="A1702" s="12" t="s">
        <v>3268</v>
      </c>
      <c r="B1702" s="13" t="s">
        <v>3269</v>
      </c>
      <c r="C1702" s="14">
        <v>45861</v>
      </c>
      <c r="D1702" s="13">
        <v>2025</v>
      </c>
      <c r="E1702" s="13" t="s">
        <v>21</v>
      </c>
      <c r="F1702" s="13" t="s">
        <v>11</v>
      </c>
      <c r="G1702" s="15">
        <v>878.47199999999987</v>
      </c>
      <c r="H1702" s="15">
        <v>878.47199999999987</v>
      </c>
      <c r="I1702" s="13">
        <v>6</v>
      </c>
      <c r="J1702" s="13">
        <v>6</v>
      </c>
      <c r="K1702" s="13" t="s">
        <v>18</v>
      </c>
      <c r="L1702" s="15">
        <v>146.41199999999998</v>
      </c>
      <c r="M1702" s="16">
        <v>146.41199999999998</v>
      </c>
    </row>
    <row r="1703" spans="1:13" s="5" customFormat="1" x14ac:dyDescent="0.25">
      <c r="A1703" s="12" t="s">
        <v>3270</v>
      </c>
      <c r="B1703" s="13" t="s">
        <v>3271</v>
      </c>
      <c r="C1703" s="14">
        <v>45407</v>
      </c>
      <c r="D1703" s="13">
        <v>2024</v>
      </c>
      <c r="E1703" s="13" t="s">
        <v>10</v>
      </c>
      <c r="F1703" s="13" t="s">
        <v>25</v>
      </c>
      <c r="G1703" s="15">
        <v>118.39</v>
      </c>
      <c r="H1703" s="15">
        <v>118.39</v>
      </c>
      <c r="I1703" s="13">
        <v>4</v>
      </c>
      <c r="J1703" s="13">
        <v>4</v>
      </c>
      <c r="K1703" s="13" t="s">
        <v>35</v>
      </c>
      <c r="L1703" s="15">
        <v>29.5975</v>
      </c>
      <c r="M1703" s="16">
        <v>29.5975</v>
      </c>
    </row>
    <row r="1704" spans="1:13" s="5" customFormat="1" x14ac:dyDescent="0.25">
      <c r="A1704" s="12" t="s">
        <v>3272</v>
      </c>
      <c r="B1704" s="13" t="s">
        <v>3273</v>
      </c>
      <c r="C1704" s="14">
        <v>45054</v>
      </c>
      <c r="D1704" s="13">
        <v>2023</v>
      </c>
      <c r="E1704" s="13" t="s">
        <v>21</v>
      </c>
      <c r="F1704" s="13" t="s">
        <v>25</v>
      </c>
      <c r="G1704" s="15">
        <v>1070.96</v>
      </c>
      <c r="H1704" s="15">
        <v>1070.96</v>
      </c>
      <c r="I1704" s="13">
        <v>6</v>
      </c>
      <c r="J1704" s="13">
        <v>6</v>
      </c>
      <c r="K1704" s="13" t="s">
        <v>3346</v>
      </c>
      <c r="L1704" s="15">
        <v>178.49333333333334</v>
      </c>
      <c r="M1704" s="16">
        <v>178.49333333333334</v>
      </c>
    </row>
    <row r="1705" spans="1:13" s="5" customFormat="1" x14ac:dyDescent="0.25">
      <c r="A1705" s="12" t="s">
        <v>3274</v>
      </c>
      <c r="B1705" s="13" t="s">
        <v>3275</v>
      </c>
      <c r="C1705" s="14">
        <v>45571</v>
      </c>
      <c r="D1705" s="13">
        <v>2024</v>
      </c>
      <c r="E1705" s="13" t="s">
        <v>21</v>
      </c>
      <c r="F1705" s="13" t="s">
        <v>11</v>
      </c>
      <c r="G1705" s="15">
        <v>1173.57</v>
      </c>
      <c r="H1705" s="15">
        <v>1173.57</v>
      </c>
      <c r="I1705" s="13">
        <v>3</v>
      </c>
      <c r="J1705" s="13">
        <v>3</v>
      </c>
      <c r="K1705" s="13" t="s">
        <v>15</v>
      </c>
      <c r="L1705" s="15">
        <v>391.19</v>
      </c>
      <c r="M1705" s="16">
        <v>345.56814814814817</v>
      </c>
    </row>
    <row r="1706" spans="1:13" s="5" customFormat="1" x14ac:dyDescent="0.25">
      <c r="A1706" s="12" t="s">
        <v>3276</v>
      </c>
      <c r="B1706" s="13" t="s">
        <v>3277</v>
      </c>
      <c r="C1706" s="14">
        <v>45795</v>
      </c>
      <c r="D1706" s="13">
        <v>2025</v>
      </c>
      <c r="E1706" s="13" t="s">
        <v>3347</v>
      </c>
      <c r="F1706" s="13" t="s">
        <v>22</v>
      </c>
      <c r="G1706" s="15">
        <v>1483.52</v>
      </c>
      <c r="H1706" s="15">
        <v>1483.52</v>
      </c>
      <c r="I1706" s="13">
        <v>4</v>
      </c>
      <c r="J1706" s="13">
        <v>4</v>
      </c>
      <c r="K1706" s="13" t="s">
        <v>3346</v>
      </c>
      <c r="L1706" s="15">
        <v>370.88</v>
      </c>
      <c r="M1706" s="16">
        <v>370.88</v>
      </c>
    </row>
    <row r="1707" spans="1:13" s="5" customFormat="1" x14ac:dyDescent="0.25">
      <c r="A1707" s="12" t="s">
        <v>3278</v>
      </c>
      <c r="B1707" s="13" t="s">
        <v>3279</v>
      </c>
      <c r="C1707" s="14">
        <v>45084</v>
      </c>
      <c r="D1707" s="13">
        <v>2023</v>
      </c>
      <c r="E1707" s="13" t="s">
        <v>10</v>
      </c>
      <c r="F1707" s="13" t="s">
        <v>22</v>
      </c>
      <c r="G1707" s="15">
        <v>1563.65</v>
      </c>
      <c r="H1707" s="15">
        <v>1563.65</v>
      </c>
      <c r="I1707" s="13">
        <v>5</v>
      </c>
      <c r="J1707" s="13">
        <v>5</v>
      </c>
      <c r="K1707" s="13" t="s">
        <v>3346</v>
      </c>
      <c r="L1707" s="15">
        <v>312.73</v>
      </c>
      <c r="M1707" s="16">
        <v>312.73</v>
      </c>
    </row>
    <row r="1708" spans="1:13" s="5" customFormat="1" x14ac:dyDescent="0.25">
      <c r="A1708" s="12" t="s">
        <v>3280</v>
      </c>
      <c r="B1708" s="13" t="s">
        <v>3281</v>
      </c>
      <c r="C1708" s="14">
        <v>45517</v>
      </c>
      <c r="D1708" s="13">
        <v>2024</v>
      </c>
      <c r="E1708" s="13" t="s">
        <v>3347</v>
      </c>
      <c r="F1708" s="13" t="s">
        <v>11</v>
      </c>
      <c r="G1708" s="15">
        <v>827.81</v>
      </c>
      <c r="H1708" s="15">
        <v>827.81</v>
      </c>
      <c r="I1708" s="13">
        <v>5</v>
      </c>
      <c r="J1708" s="13">
        <v>5</v>
      </c>
      <c r="K1708" s="13" t="s">
        <v>15</v>
      </c>
      <c r="L1708" s="15">
        <v>165.56199999999998</v>
      </c>
      <c r="M1708" s="16">
        <v>165.56199999999998</v>
      </c>
    </row>
    <row r="1709" spans="1:13" s="5" customFormat="1" x14ac:dyDescent="0.25">
      <c r="A1709" s="12" t="s">
        <v>3282</v>
      </c>
      <c r="B1709" s="13" t="s">
        <v>3283</v>
      </c>
      <c r="C1709" s="14">
        <v>45285</v>
      </c>
      <c r="D1709" s="13">
        <v>2023</v>
      </c>
      <c r="E1709" s="13" t="s">
        <v>10</v>
      </c>
      <c r="F1709" s="13" t="s">
        <v>34</v>
      </c>
      <c r="G1709" s="15">
        <v>800.68</v>
      </c>
      <c r="H1709" s="15">
        <v>800.68</v>
      </c>
      <c r="I1709" s="13">
        <v>10</v>
      </c>
      <c r="J1709" s="13">
        <v>10</v>
      </c>
      <c r="K1709" s="13" t="s">
        <v>15</v>
      </c>
      <c r="L1709" s="15">
        <v>80.067999999999998</v>
      </c>
      <c r="M1709" s="16">
        <v>80.067999999999998</v>
      </c>
    </row>
    <row r="1710" spans="1:13" s="5" customFormat="1" x14ac:dyDescent="0.25">
      <c r="A1710" s="12" t="s">
        <v>3284</v>
      </c>
      <c r="B1710" s="13" t="s">
        <v>3285</v>
      </c>
      <c r="C1710" s="14">
        <v>45245</v>
      </c>
      <c r="D1710" s="13">
        <v>2023</v>
      </c>
      <c r="E1710" s="13" t="s">
        <v>3347</v>
      </c>
      <c r="F1710" s="13" t="s">
        <v>34</v>
      </c>
      <c r="G1710" s="15">
        <v>1399.64</v>
      </c>
      <c r="H1710" s="15">
        <v>1399.64</v>
      </c>
      <c r="I1710" s="13">
        <v>3</v>
      </c>
      <c r="J1710" s="13">
        <v>3</v>
      </c>
      <c r="K1710" s="13" t="s">
        <v>15</v>
      </c>
      <c r="L1710" s="15">
        <v>466.54666666666668</v>
      </c>
      <c r="M1710" s="16">
        <v>466.54666666666668</v>
      </c>
    </row>
    <row r="1711" spans="1:13" s="5" customFormat="1" x14ac:dyDescent="0.25">
      <c r="A1711" s="12" t="s">
        <v>3286</v>
      </c>
      <c r="B1711" s="13" t="s">
        <v>37</v>
      </c>
      <c r="C1711" s="14">
        <v>44936</v>
      </c>
      <c r="D1711" s="13">
        <v>2023</v>
      </c>
      <c r="E1711" s="13" t="s">
        <v>3347</v>
      </c>
      <c r="F1711" s="13" t="s">
        <v>34</v>
      </c>
      <c r="G1711" s="15">
        <v>1586.04</v>
      </c>
      <c r="H1711" s="15">
        <v>1586.04</v>
      </c>
      <c r="I1711" s="13">
        <v>3</v>
      </c>
      <c r="J1711" s="13">
        <v>3</v>
      </c>
      <c r="K1711" s="13" t="s">
        <v>18</v>
      </c>
      <c r="L1711" s="15">
        <v>528.67999999999995</v>
      </c>
      <c r="M1711" s="16">
        <v>528.67999999999995</v>
      </c>
    </row>
    <row r="1712" spans="1:13" s="5" customFormat="1" x14ac:dyDescent="0.25">
      <c r="A1712" s="12" t="s">
        <v>3287</v>
      </c>
      <c r="B1712" s="13" t="s">
        <v>3288</v>
      </c>
      <c r="C1712" s="14">
        <v>45391</v>
      </c>
      <c r="D1712" s="13">
        <v>2024</v>
      </c>
      <c r="E1712" s="13" t="s">
        <v>3347</v>
      </c>
      <c r="F1712" s="13" t="s">
        <v>11</v>
      </c>
      <c r="G1712" s="15">
        <v>1007.12</v>
      </c>
      <c r="H1712" s="15">
        <v>1007.12</v>
      </c>
      <c r="I1712" s="13">
        <v>4</v>
      </c>
      <c r="J1712" s="13">
        <v>4</v>
      </c>
      <c r="K1712" s="13" t="s">
        <v>18</v>
      </c>
      <c r="L1712" s="15">
        <v>251.78</v>
      </c>
      <c r="M1712" s="16">
        <v>251.78</v>
      </c>
    </row>
    <row r="1713" spans="1:13" s="5" customFormat="1" x14ac:dyDescent="0.25">
      <c r="A1713" s="12" t="s">
        <v>3289</v>
      </c>
      <c r="B1713" s="13" t="s">
        <v>3290</v>
      </c>
      <c r="C1713" s="14">
        <v>45762</v>
      </c>
      <c r="D1713" s="13">
        <v>2025</v>
      </c>
      <c r="E1713" s="13" t="s">
        <v>14</v>
      </c>
      <c r="F1713" s="13" t="s">
        <v>11</v>
      </c>
      <c r="G1713" s="15">
        <v>1359.46</v>
      </c>
      <c r="H1713" s="15">
        <v>1359.46</v>
      </c>
      <c r="I1713" s="13">
        <v>10</v>
      </c>
      <c r="J1713" s="13">
        <v>10</v>
      </c>
      <c r="K1713" s="13" t="s">
        <v>3346</v>
      </c>
      <c r="L1713" s="15">
        <v>135.946</v>
      </c>
      <c r="M1713" s="16">
        <v>135.946</v>
      </c>
    </row>
    <row r="1714" spans="1:13" s="5" customFormat="1" x14ac:dyDescent="0.25">
      <c r="A1714" s="12" t="s">
        <v>3291</v>
      </c>
      <c r="B1714" s="13" t="s">
        <v>3292</v>
      </c>
      <c r="C1714" s="14">
        <v>45906</v>
      </c>
      <c r="D1714" s="13">
        <v>2025</v>
      </c>
      <c r="E1714" s="13" t="s">
        <v>3347</v>
      </c>
      <c r="F1714" s="13" t="s">
        <v>34</v>
      </c>
      <c r="G1714" s="15">
        <v>1707.6214563492065</v>
      </c>
      <c r="H1714" s="15">
        <v>1707.6214563492065</v>
      </c>
      <c r="I1714" s="13">
        <v>8</v>
      </c>
      <c r="J1714" s="13">
        <v>8</v>
      </c>
      <c r="K1714" s="13" t="s">
        <v>15</v>
      </c>
      <c r="L1714" s="15">
        <v>213.45268204365081</v>
      </c>
      <c r="M1714" s="16">
        <v>213.45268204365081</v>
      </c>
    </row>
    <row r="1715" spans="1:13" s="5" customFormat="1" x14ac:dyDescent="0.25">
      <c r="A1715" s="12" t="s">
        <v>3293</v>
      </c>
      <c r="B1715" s="13" t="s">
        <v>3294</v>
      </c>
      <c r="C1715" s="14">
        <v>44904</v>
      </c>
      <c r="D1715" s="13">
        <v>2022</v>
      </c>
      <c r="E1715" s="13" t="s">
        <v>21</v>
      </c>
      <c r="F1715" s="13" t="s">
        <v>11</v>
      </c>
      <c r="G1715" s="15">
        <v>1816.51</v>
      </c>
      <c r="H1715" s="15">
        <v>1816.51</v>
      </c>
      <c r="I1715" s="13">
        <v>7</v>
      </c>
      <c r="J1715" s="13">
        <v>7</v>
      </c>
      <c r="K1715" s="13" t="s">
        <v>3348</v>
      </c>
      <c r="L1715" s="15">
        <v>259.50142857142856</v>
      </c>
      <c r="M1715" s="16">
        <v>259.50142857142856</v>
      </c>
    </row>
    <row r="1716" spans="1:13" s="5" customFormat="1" x14ac:dyDescent="0.25">
      <c r="A1716" s="12" t="s">
        <v>3295</v>
      </c>
      <c r="B1716" s="13" t="s">
        <v>2027</v>
      </c>
      <c r="C1716" s="14">
        <v>45424</v>
      </c>
      <c r="D1716" s="13">
        <v>2024</v>
      </c>
      <c r="E1716" s="13" t="s">
        <v>14</v>
      </c>
      <c r="F1716" s="13" t="s">
        <v>34</v>
      </c>
      <c r="G1716" s="15">
        <v>691.83</v>
      </c>
      <c r="H1716" s="15">
        <v>691.83</v>
      </c>
      <c r="I1716" s="13">
        <v>1</v>
      </c>
      <c r="J1716" s="13">
        <v>1</v>
      </c>
      <c r="K1716" s="13" t="s">
        <v>3348</v>
      </c>
      <c r="L1716" s="15">
        <v>691.83</v>
      </c>
      <c r="M1716" s="16">
        <v>691.83</v>
      </c>
    </row>
    <row r="1717" spans="1:13" s="5" customFormat="1" x14ac:dyDescent="0.25">
      <c r="A1717" s="12" t="s">
        <v>3296</v>
      </c>
      <c r="B1717" s="13" t="s">
        <v>3297</v>
      </c>
      <c r="C1717" s="14">
        <v>45563</v>
      </c>
      <c r="D1717" s="13">
        <v>2024</v>
      </c>
      <c r="E1717" s="13" t="s">
        <v>3347</v>
      </c>
      <c r="F1717" s="13" t="s">
        <v>34</v>
      </c>
      <c r="G1717" s="15">
        <v>1840.7525714285712</v>
      </c>
      <c r="H1717" s="15">
        <v>1840.7525714285712</v>
      </c>
      <c r="I1717" s="13">
        <v>6</v>
      </c>
      <c r="J1717" s="13">
        <v>6</v>
      </c>
      <c r="K1717" s="13" t="s">
        <v>3348</v>
      </c>
      <c r="L1717" s="15">
        <v>306.79209523809521</v>
      </c>
      <c r="M1717" s="16">
        <v>306.79209523809521</v>
      </c>
    </row>
    <row r="1718" spans="1:13" s="5" customFormat="1" x14ac:dyDescent="0.25">
      <c r="A1718" s="12" t="s">
        <v>3298</v>
      </c>
      <c r="B1718" s="13" t="s">
        <v>3299</v>
      </c>
      <c r="C1718" s="14">
        <v>45024</v>
      </c>
      <c r="D1718" s="13">
        <v>2023</v>
      </c>
      <c r="E1718" s="13" t="s">
        <v>3347</v>
      </c>
      <c r="F1718" s="13" t="s">
        <v>11</v>
      </c>
      <c r="G1718" s="15">
        <v>1493.22</v>
      </c>
      <c r="H1718" s="15">
        <v>1493.22</v>
      </c>
      <c r="I1718" s="13">
        <v>15</v>
      </c>
      <c r="J1718" s="13">
        <v>10</v>
      </c>
      <c r="K1718" s="13" t="s">
        <v>35</v>
      </c>
      <c r="L1718" s="15">
        <v>99.548000000000002</v>
      </c>
      <c r="M1718" s="16">
        <v>99.624590476190477</v>
      </c>
    </row>
    <row r="1719" spans="1:13" s="5" customFormat="1" x14ac:dyDescent="0.25">
      <c r="A1719" s="12" t="s">
        <v>3300</v>
      </c>
      <c r="B1719" s="13" t="s">
        <v>3301</v>
      </c>
      <c r="C1719" s="14">
        <v>45004</v>
      </c>
      <c r="D1719" s="13">
        <v>2023</v>
      </c>
      <c r="E1719" s="13" t="s">
        <v>21</v>
      </c>
      <c r="F1719" s="13" t="s">
        <v>11</v>
      </c>
      <c r="G1719" s="15">
        <v>1184.77</v>
      </c>
      <c r="H1719" s="15">
        <v>1184.77</v>
      </c>
      <c r="I1719" s="13">
        <v>5</v>
      </c>
      <c r="J1719" s="13">
        <v>5</v>
      </c>
      <c r="K1719" s="13" t="s">
        <v>3346</v>
      </c>
      <c r="L1719" s="15">
        <v>236.95400000000001</v>
      </c>
      <c r="M1719" s="16">
        <v>236.95400000000001</v>
      </c>
    </row>
    <row r="1720" spans="1:13" s="5" customFormat="1" x14ac:dyDescent="0.25">
      <c r="A1720" s="12" t="s">
        <v>3302</v>
      </c>
      <c r="B1720" s="13" t="s">
        <v>3303</v>
      </c>
      <c r="C1720" s="14">
        <v>45852</v>
      </c>
      <c r="D1720" s="13">
        <v>2025</v>
      </c>
      <c r="E1720" s="13" t="s">
        <v>3347</v>
      </c>
      <c r="F1720" s="13" t="s">
        <v>34</v>
      </c>
      <c r="G1720" s="15">
        <v>967.57</v>
      </c>
      <c r="H1720" s="15">
        <v>967.57</v>
      </c>
      <c r="I1720" s="13">
        <v>2</v>
      </c>
      <c r="J1720" s="13">
        <v>2</v>
      </c>
      <c r="K1720" s="13" t="s">
        <v>15</v>
      </c>
      <c r="L1720" s="15">
        <v>483.78500000000003</v>
      </c>
      <c r="M1720" s="16">
        <v>483.78500000000003</v>
      </c>
    </row>
    <row r="1721" spans="1:13" s="5" customFormat="1" x14ac:dyDescent="0.25">
      <c r="A1721" s="12" t="s">
        <v>3304</v>
      </c>
      <c r="B1721" s="13" t="s">
        <v>3305</v>
      </c>
      <c r="C1721" s="14">
        <v>45916</v>
      </c>
      <c r="D1721" s="13">
        <v>2025</v>
      </c>
      <c r="E1721" s="13" t="s">
        <v>10</v>
      </c>
      <c r="F1721" s="13" t="s">
        <v>34</v>
      </c>
      <c r="G1721" s="15">
        <v>579.44000000000005</v>
      </c>
      <c r="H1721" s="15">
        <v>579.44000000000005</v>
      </c>
      <c r="I1721" s="13">
        <v>1</v>
      </c>
      <c r="J1721" s="13">
        <v>1</v>
      </c>
      <c r="K1721" s="13" t="s">
        <v>18</v>
      </c>
      <c r="L1721" s="15">
        <v>579.44000000000005</v>
      </c>
      <c r="M1721" s="16">
        <v>579.44000000000005</v>
      </c>
    </row>
    <row r="1722" spans="1:13" s="5" customFormat="1" x14ac:dyDescent="0.25">
      <c r="A1722" s="12" t="s">
        <v>3306</v>
      </c>
      <c r="B1722" s="13" t="s">
        <v>3307</v>
      </c>
      <c r="C1722" s="14">
        <v>45902</v>
      </c>
      <c r="D1722" s="13">
        <v>2025</v>
      </c>
      <c r="E1722" s="13" t="s">
        <v>14</v>
      </c>
      <c r="F1722" s="13" t="s">
        <v>11</v>
      </c>
      <c r="G1722" s="15">
        <v>336.92</v>
      </c>
      <c r="H1722" s="15">
        <v>336.92</v>
      </c>
      <c r="I1722" s="13">
        <v>10</v>
      </c>
      <c r="J1722" s="13">
        <v>10</v>
      </c>
      <c r="K1722" s="13" t="s">
        <v>15</v>
      </c>
      <c r="L1722" s="15">
        <v>33.692</v>
      </c>
      <c r="M1722" s="16">
        <v>33.692</v>
      </c>
    </row>
    <row r="1723" spans="1:13" s="5" customFormat="1" x14ac:dyDescent="0.25">
      <c r="A1723" s="12" t="s">
        <v>3308</v>
      </c>
      <c r="B1723" s="13" t="s">
        <v>3309</v>
      </c>
      <c r="C1723" s="14">
        <v>45016</v>
      </c>
      <c r="D1723" s="13">
        <v>2023</v>
      </c>
      <c r="E1723" s="13" t="s">
        <v>14</v>
      </c>
      <c r="F1723" s="13" t="s">
        <v>34</v>
      </c>
      <c r="G1723" s="15">
        <v>1501.03</v>
      </c>
      <c r="H1723" s="15">
        <v>1501.03</v>
      </c>
      <c r="I1723" s="13">
        <v>10</v>
      </c>
      <c r="J1723" s="13">
        <v>10</v>
      </c>
      <c r="K1723" s="13" t="s">
        <v>15</v>
      </c>
      <c r="L1723" s="15">
        <v>150.10300000000001</v>
      </c>
      <c r="M1723" s="16">
        <v>150.10300000000001</v>
      </c>
    </row>
    <row r="1724" spans="1:13" s="5" customFormat="1" x14ac:dyDescent="0.25">
      <c r="A1724" s="12" t="s">
        <v>3310</v>
      </c>
      <c r="B1724" s="13" t="s">
        <v>3311</v>
      </c>
      <c r="C1724" s="14">
        <v>45890</v>
      </c>
      <c r="D1724" s="13">
        <v>2025</v>
      </c>
      <c r="E1724" s="13" t="s">
        <v>3347</v>
      </c>
      <c r="F1724" s="13" t="s">
        <v>25</v>
      </c>
      <c r="G1724" s="15">
        <v>864.23</v>
      </c>
      <c r="H1724" s="15">
        <v>864.23</v>
      </c>
      <c r="I1724" s="13">
        <v>9</v>
      </c>
      <c r="J1724" s="13">
        <v>9</v>
      </c>
      <c r="K1724" s="13" t="s">
        <v>35</v>
      </c>
      <c r="L1724" s="15">
        <v>96.025555555555556</v>
      </c>
      <c r="M1724" s="16">
        <v>96.025555555555556</v>
      </c>
    </row>
    <row r="1725" spans="1:13" s="5" customFormat="1" x14ac:dyDescent="0.25">
      <c r="A1725" s="12" t="s">
        <v>3312</v>
      </c>
      <c r="B1725" s="13" t="s">
        <v>3313</v>
      </c>
      <c r="C1725" s="14">
        <v>45287</v>
      </c>
      <c r="D1725" s="13">
        <v>2023</v>
      </c>
      <c r="E1725" s="13" t="s">
        <v>10</v>
      </c>
      <c r="F1725" s="13" t="s">
        <v>34</v>
      </c>
      <c r="G1725" s="15">
        <v>1635.16</v>
      </c>
      <c r="H1725" s="15">
        <v>1635.16</v>
      </c>
      <c r="I1725" s="13">
        <v>6</v>
      </c>
      <c r="J1725" s="13">
        <v>6</v>
      </c>
      <c r="K1725" s="13" t="s">
        <v>15</v>
      </c>
      <c r="L1725" s="15">
        <v>272.5266666666667</v>
      </c>
      <c r="M1725" s="16">
        <v>272.5266666666667</v>
      </c>
    </row>
    <row r="1726" spans="1:13" s="5" customFormat="1" x14ac:dyDescent="0.25">
      <c r="A1726" s="12" t="s">
        <v>3314</v>
      </c>
      <c r="B1726" s="13" t="s">
        <v>3315</v>
      </c>
      <c r="C1726" s="14">
        <v>45417</v>
      </c>
      <c r="D1726" s="13">
        <v>2024</v>
      </c>
      <c r="E1726" s="13" t="s">
        <v>14</v>
      </c>
      <c r="F1726" s="13" t="s">
        <v>11</v>
      </c>
      <c r="G1726" s="15">
        <v>1470.52</v>
      </c>
      <c r="H1726" s="15">
        <v>1470.52</v>
      </c>
      <c r="I1726" s="13">
        <v>10</v>
      </c>
      <c r="J1726" s="13">
        <v>10</v>
      </c>
      <c r="K1726" s="13" t="s">
        <v>18</v>
      </c>
      <c r="L1726" s="15">
        <v>147.05199999999999</v>
      </c>
      <c r="M1726" s="16">
        <v>147.05199999999999</v>
      </c>
    </row>
    <row r="1727" spans="1:13" s="5" customFormat="1" x14ac:dyDescent="0.25">
      <c r="A1727" s="12" t="s">
        <v>3316</v>
      </c>
      <c r="B1727" s="13" t="s">
        <v>3317</v>
      </c>
      <c r="C1727" s="14">
        <v>44861</v>
      </c>
      <c r="D1727" s="13">
        <v>2022</v>
      </c>
      <c r="E1727" s="13" t="s">
        <v>14</v>
      </c>
      <c r="F1727" s="13" t="s">
        <v>22</v>
      </c>
      <c r="G1727" s="15">
        <v>521.16999999999996</v>
      </c>
      <c r="H1727" s="15">
        <v>521.16999999999996</v>
      </c>
      <c r="I1727" s="13">
        <v>3</v>
      </c>
      <c r="J1727" s="13">
        <v>3</v>
      </c>
      <c r="K1727" s="13" t="s">
        <v>15</v>
      </c>
      <c r="L1727" s="15">
        <v>173.72333333333333</v>
      </c>
      <c r="M1727" s="16">
        <v>173.72333333333333</v>
      </c>
    </row>
    <row r="1728" spans="1:13" s="5" customFormat="1" x14ac:dyDescent="0.25">
      <c r="A1728" s="12" t="s">
        <v>3318</v>
      </c>
      <c r="B1728" s="13" t="s">
        <v>3319</v>
      </c>
      <c r="C1728" s="14">
        <v>45652</v>
      </c>
      <c r="D1728" s="13">
        <v>2024</v>
      </c>
      <c r="E1728" s="13" t="s">
        <v>21</v>
      </c>
      <c r="F1728" s="13" t="s">
        <v>25</v>
      </c>
      <c r="G1728" s="15">
        <v>1584.23</v>
      </c>
      <c r="H1728" s="15">
        <v>1584.23</v>
      </c>
      <c r="I1728" s="13">
        <v>9</v>
      </c>
      <c r="J1728" s="13">
        <v>9</v>
      </c>
      <c r="K1728" s="13" t="s">
        <v>3348</v>
      </c>
      <c r="L1728" s="15">
        <v>176.02555555555557</v>
      </c>
      <c r="M1728" s="16">
        <v>176.02555555555557</v>
      </c>
    </row>
    <row r="1729" spans="1:13" s="5" customFormat="1" x14ac:dyDescent="0.25">
      <c r="A1729" s="12" t="s">
        <v>3320</v>
      </c>
      <c r="B1729" s="13" t="s">
        <v>3254</v>
      </c>
      <c r="C1729" s="14">
        <v>45331</v>
      </c>
      <c r="D1729" s="13">
        <v>2024</v>
      </c>
      <c r="E1729" s="13" t="s">
        <v>3347</v>
      </c>
      <c r="F1729" s="13" t="s">
        <v>34</v>
      </c>
      <c r="G1729" s="15">
        <v>350.85</v>
      </c>
      <c r="H1729" s="15">
        <v>350.85</v>
      </c>
      <c r="I1729" s="13">
        <v>2</v>
      </c>
      <c r="J1729" s="13">
        <v>2</v>
      </c>
      <c r="K1729" s="13" t="s">
        <v>15</v>
      </c>
      <c r="L1729" s="15">
        <v>175.42500000000001</v>
      </c>
      <c r="M1729" s="16">
        <v>210.79387037037037</v>
      </c>
    </row>
    <row r="1730" spans="1:13" s="5" customFormat="1" x14ac:dyDescent="0.25">
      <c r="A1730" s="12" t="s">
        <v>3321</v>
      </c>
      <c r="B1730" s="13" t="s">
        <v>512</v>
      </c>
      <c r="C1730" s="14">
        <v>45187</v>
      </c>
      <c r="D1730" s="13">
        <v>2023</v>
      </c>
      <c r="E1730" s="13" t="s">
        <v>10</v>
      </c>
      <c r="F1730" s="13" t="s">
        <v>34</v>
      </c>
      <c r="G1730" s="15">
        <v>1931.84</v>
      </c>
      <c r="H1730" s="15">
        <v>1931.84</v>
      </c>
      <c r="I1730" s="13">
        <v>3</v>
      </c>
      <c r="J1730" s="13">
        <v>3</v>
      </c>
      <c r="K1730" s="13" t="s">
        <v>3348</v>
      </c>
      <c r="L1730" s="15">
        <v>643.9466666666666</v>
      </c>
      <c r="M1730" s="16">
        <v>643.9466666666666</v>
      </c>
    </row>
    <row r="1731" spans="1:13" s="5" customFormat="1" x14ac:dyDescent="0.25">
      <c r="A1731" s="12" t="s">
        <v>3322</v>
      </c>
      <c r="B1731" s="13" t="s">
        <v>1935</v>
      </c>
      <c r="C1731" s="14">
        <v>45717</v>
      </c>
      <c r="D1731" s="13">
        <v>2025</v>
      </c>
      <c r="E1731" s="13" t="s">
        <v>3347</v>
      </c>
      <c r="F1731" s="13" t="s">
        <v>11</v>
      </c>
      <c r="G1731" s="15">
        <v>1401.08</v>
      </c>
      <c r="H1731" s="15">
        <v>1401.08</v>
      </c>
      <c r="I1731" s="13">
        <v>2</v>
      </c>
      <c r="J1731" s="13">
        <v>2</v>
      </c>
      <c r="K1731" s="13" t="s">
        <v>15</v>
      </c>
      <c r="L1731" s="15">
        <v>700.54</v>
      </c>
      <c r="M1731" s="16">
        <v>642.44020833333332</v>
      </c>
    </row>
    <row r="1732" spans="1:13" s="5" customFormat="1" x14ac:dyDescent="0.25">
      <c r="A1732" s="12" t="s">
        <v>3323</v>
      </c>
      <c r="B1732" s="13" t="s">
        <v>3324</v>
      </c>
      <c r="C1732" s="14">
        <v>45866</v>
      </c>
      <c r="D1732" s="13">
        <v>2025</v>
      </c>
      <c r="E1732" s="13" t="s">
        <v>21</v>
      </c>
      <c r="F1732" s="13" t="s">
        <v>34</v>
      </c>
      <c r="G1732" s="15">
        <v>1677.38</v>
      </c>
      <c r="H1732" s="15">
        <v>1677.38</v>
      </c>
      <c r="I1732" s="13">
        <v>10</v>
      </c>
      <c r="J1732" s="13">
        <v>10</v>
      </c>
      <c r="K1732" s="13" t="s">
        <v>3348</v>
      </c>
      <c r="L1732" s="15">
        <v>167.738</v>
      </c>
      <c r="M1732" s="16">
        <v>167.738</v>
      </c>
    </row>
    <row r="1733" spans="1:13" s="5" customFormat="1" x14ac:dyDescent="0.25">
      <c r="A1733" s="12" t="s">
        <v>3325</v>
      </c>
      <c r="B1733" s="13" t="s">
        <v>3326</v>
      </c>
      <c r="C1733" s="14">
        <v>45279</v>
      </c>
      <c r="D1733" s="13">
        <v>2023</v>
      </c>
      <c r="E1733" s="13" t="s">
        <v>10</v>
      </c>
      <c r="F1733" s="13" t="s">
        <v>22</v>
      </c>
      <c r="G1733" s="15">
        <v>1825.5</v>
      </c>
      <c r="H1733" s="15">
        <v>1825.5</v>
      </c>
      <c r="I1733" s="13">
        <v>3</v>
      </c>
      <c r="J1733" s="13">
        <v>3</v>
      </c>
      <c r="K1733" s="13" t="s">
        <v>3346</v>
      </c>
      <c r="L1733" s="15">
        <v>608.5</v>
      </c>
      <c r="M1733" s="16">
        <v>608.5</v>
      </c>
    </row>
    <row r="1734" spans="1:13" s="5" customFormat="1" x14ac:dyDescent="0.25">
      <c r="A1734" s="12" t="s">
        <v>3327</v>
      </c>
      <c r="B1734" s="13" t="s">
        <v>3328</v>
      </c>
      <c r="C1734" s="14">
        <v>44918</v>
      </c>
      <c r="D1734" s="13">
        <v>2022</v>
      </c>
      <c r="E1734" s="13" t="s">
        <v>21</v>
      </c>
      <c r="F1734" s="13" t="s">
        <v>22</v>
      </c>
      <c r="G1734" s="15">
        <v>1556.13</v>
      </c>
      <c r="H1734" s="15">
        <v>1556.13</v>
      </c>
      <c r="I1734" s="13">
        <v>12</v>
      </c>
      <c r="J1734" s="13">
        <v>10</v>
      </c>
      <c r="K1734" s="13" t="s">
        <v>35</v>
      </c>
      <c r="L1734" s="15">
        <v>129.67750000000001</v>
      </c>
      <c r="M1734" s="16">
        <v>127.53194444444445</v>
      </c>
    </row>
    <row r="1735" spans="1:13" s="5" customFormat="1" x14ac:dyDescent="0.25">
      <c r="A1735" s="12" t="s">
        <v>3329</v>
      </c>
      <c r="B1735" s="13" t="s">
        <v>3330</v>
      </c>
      <c r="C1735" s="14">
        <v>45401</v>
      </c>
      <c r="D1735" s="13">
        <v>2024</v>
      </c>
      <c r="E1735" s="13" t="s">
        <v>21</v>
      </c>
      <c r="F1735" s="13" t="s">
        <v>22</v>
      </c>
      <c r="G1735" s="15">
        <v>433.25</v>
      </c>
      <c r="H1735" s="15">
        <v>433.25</v>
      </c>
      <c r="I1735" s="13">
        <v>7</v>
      </c>
      <c r="J1735" s="13">
        <v>7</v>
      </c>
      <c r="K1735" s="13" t="s">
        <v>3348</v>
      </c>
      <c r="L1735" s="15">
        <v>61.892857142857146</v>
      </c>
      <c r="M1735" s="16">
        <v>61.892857142857146</v>
      </c>
    </row>
    <row r="1736" spans="1:13" s="5" customFormat="1" x14ac:dyDescent="0.25">
      <c r="A1736" s="12" t="s">
        <v>3331</v>
      </c>
      <c r="B1736" s="13" t="s">
        <v>3332</v>
      </c>
      <c r="C1736" s="14">
        <v>45409</v>
      </c>
      <c r="D1736" s="13">
        <v>2024</v>
      </c>
      <c r="E1736" s="13" t="s">
        <v>3347</v>
      </c>
      <c r="F1736" s="13" t="s">
        <v>34</v>
      </c>
      <c r="G1736" s="15">
        <v>1101.55</v>
      </c>
      <c r="H1736" s="15">
        <v>1101.55</v>
      </c>
      <c r="I1736" s="13">
        <v>2</v>
      </c>
      <c r="J1736" s="13">
        <v>2</v>
      </c>
      <c r="K1736" s="13" t="s">
        <v>15</v>
      </c>
      <c r="L1736" s="15">
        <v>550.77499999999998</v>
      </c>
      <c r="M1736" s="16">
        <v>550.77499999999998</v>
      </c>
    </row>
    <row r="1737" spans="1:13" s="5" customFormat="1" x14ac:dyDescent="0.25">
      <c r="A1737" s="12" t="s">
        <v>3333</v>
      </c>
      <c r="B1737" s="13" t="s">
        <v>3334</v>
      </c>
      <c r="C1737" s="14">
        <v>45414</v>
      </c>
      <c r="D1737" s="13">
        <v>2024</v>
      </c>
      <c r="E1737" s="13" t="s">
        <v>3347</v>
      </c>
      <c r="F1737" s="13" t="s">
        <v>22</v>
      </c>
      <c r="G1737" s="15">
        <v>1989.2</v>
      </c>
      <c r="H1737" s="15">
        <v>1989.2</v>
      </c>
      <c r="I1737" s="13">
        <v>5</v>
      </c>
      <c r="J1737" s="13">
        <v>5</v>
      </c>
      <c r="K1737" s="13" t="s">
        <v>3348</v>
      </c>
      <c r="L1737" s="15">
        <v>397.84000000000003</v>
      </c>
      <c r="M1737" s="16">
        <v>397.84000000000003</v>
      </c>
    </row>
    <row r="1738" spans="1:13" s="5" customFormat="1" x14ac:dyDescent="0.25">
      <c r="A1738" s="12" t="s">
        <v>3335</v>
      </c>
      <c r="B1738" s="13" t="s">
        <v>3336</v>
      </c>
      <c r="C1738" s="14">
        <v>45244</v>
      </c>
      <c r="D1738" s="13">
        <v>2023</v>
      </c>
      <c r="E1738" s="13" t="s">
        <v>14</v>
      </c>
      <c r="F1738" s="13" t="s">
        <v>22</v>
      </c>
      <c r="G1738" s="15">
        <v>1217.6300000000001</v>
      </c>
      <c r="H1738" s="15">
        <v>1217.6300000000001</v>
      </c>
      <c r="I1738" s="13">
        <v>5</v>
      </c>
      <c r="J1738" s="13">
        <v>5</v>
      </c>
      <c r="K1738" s="13" t="s">
        <v>35</v>
      </c>
      <c r="L1738" s="15">
        <v>243.52600000000001</v>
      </c>
      <c r="M1738" s="16">
        <v>221.71176530612249</v>
      </c>
    </row>
    <row r="1739" spans="1:13" s="5" customFormat="1" x14ac:dyDescent="0.25">
      <c r="A1739" s="12" t="s">
        <v>3337</v>
      </c>
      <c r="B1739" s="13" t="s">
        <v>3338</v>
      </c>
      <c r="C1739" s="14">
        <v>45513</v>
      </c>
      <c r="D1739" s="13">
        <v>2024</v>
      </c>
      <c r="E1739" s="13" t="s">
        <v>21</v>
      </c>
      <c r="F1739" s="13" t="s">
        <v>34</v>
      </c>
      <c r="G1739" s="15">
        <v>1719.45</v>
      </c>
      <c r="H1739" s="15">
        <v>1719.45</v>
      </c>
      <c r="I1739" s="13">
        <v>2</v>
      </c>
      <c r="J1739" s="13">
        <v>2</v>
      </c>
      <c r="K1739" s="13" t="s">
        <v>18</v>
      </c>
      <c r="L1739" s="15">
        <v>859.72500000000002</v>
      </c>
      <c r="M1739" s="16">
        <v>859.72500000000002</v>
      </c>
    </row>
    <row r="1740" spans="1:13" s="5" customFormat="1" x14ac:dyDescent="0.25">
      <c r="A1740" s="12" t="s">
        <v>3339</v>
      </c>
      <c r="B1740" s="13" t="s">
        <v>3340</v>
      </c>
      <c r="C1740" s="14">
        <v>45103</v>
      </c>
      <c r="D1740" s="13">
        <v>2023</v>
      </c>
      <c r="E1740" s="13" t="s">
        <v>14</v>
      </c>
      <c r="F1740" s="13" t="s">
        <v>25</v>
      </c>
      <c r="G1740" s="15">
        <v>1418.9966666666667</v>
      </c>
      <c r="H1740" s="15">
        <v>1418.9966666666667</v>
      </c>
      <c r="I1740" s="13">
        <v>6</v>
      </c>
      <c r="J1740" s="13">
        <v>6</v>
      </c>
      <c r="K1740" s="13" t="s">
        <v>35</v>
      </c>
      <c r="L1740" s="15">
        <v>236.49944444444444</v>
      </c>
      <c r="M1740" s="16">
        <v>236.49944444444444</v>
      </c>
    </row>
    <row r="1741" spans="1:13" s="5" customFormat="1" x14ac:dyDescent="0.25">
      <c r="A1741" s="12" t="s">
        <v>3341</v>
      </c>
      <c r="B1741" s="13" t="s">
        <v>2824</v>
      </c>
      <c r="C1741" s="14">
        <v>45866</v>
      </c>
      <c r="D1741" s="13">
        <v>2025</v>
      </c>
      <c r="E1741" s="13" t="s">
        <v>3347</v>
      </c>
      <c r="F1741" s="13" t="s">
        <v>11</v>
      </c>
      <c r="G1741" s="15">
        <v>319.54537037037039</v>
      </c>
      <c r="H1741" s="15">
        <v>319.54537037037039</v>
      </c>
      <c r="I1741" s="13">
        <v>2</v>
      </c>
      <c r="J1741" s="13">
        <v>2</v>
      </c>
      <c r="K1741" s="13" t="s">
        <v>3346</v>
      </c>
      <c r="L1741" s="15">
        <v>159.7726851851852</v>
      </c>
      <c r="M1741" s="16">
        <v>159.7726851851852</v>
      </c>
    </row>
    <row r="1742" spans="1:13" s="5" customFormat="1" x14ac:dyDescent="0.25">
      <c r="A1742" s="12" t="s">
        <v>3342</v>
      </c>
      <c r="B1742" s="13" t="s">
        <v>899</v>
      </c>
      <c r="C1742" s="14">
        <v>45666</v>
      </c>
      <c r="D1742" s="13">
        <v>2025</v>
      </c>
      <c r="E1742" s="13" t="s">
        <v>3347</v>
      </c>
      <c r="F1742" s="13" t="s">
        <v>11</v>
      </c>
      <c r="G1742" s="15">
        <v>1048.73</v>
      </c>
      <c r="H1742" s="15">
        <v>1048.73</v>
      </c>
      <c r="I1742" s="13">
        <v>6</v>
      </c>
      <c r="J1742" s="13">
        <v>6</v>
      </c>
      <c r="K1742" s="13" t="s">
        <v>3348</v>
      </c>
      <c r="L1742" s="15">
        <v>174.78833333333333</v>
      </c>
      <c r="M1742" s="16">
        <v>174.78833333333333</v>
      </c>
    </row>
    <row r="1743" spans="1:13" s="5" customFormat="1" x14ac:dyDescent="0.25">
      <c r="A1743" s="12" t="s">
        <v>3343</v>
      </c>
      <c r="B1743" s="13" t="s">
        <v>3344</v>
      </c>
      <c r="C1743" s="14">
        <v>45408</v>
      </c>
      <c r="D1743" s="13">
        <v>2024</v>
      </c>
      <c r="E1743" s="13" t="s">
        <v>3347</v>
      </c>
      <c r="F1743" s="13" t="s">
        <v>34</v>
      </c>
      <c r="G1743" s="15">
        <v>1411.29</v>
      </c>
      <c r="H1743" s="15">
        <v>1411.29</v>
      </c>
      <c r="I1743" s="13">
        <v>1</v>
      </c>
      <c r="J1743" s="13">
        <v>1</v>
      </c>
      <c r="K1743" s="13" t="s">
        <v>18</v>
      </c>
      <c r="L1743" s="15">
        <v>1411.29</v>
      </c>
      <c r="M1743" s="16">
        <v>1411.29</v>
      </c>
    </row>
    <row r="1744" spans="1:13" s="5" customFormat="1" x14ac:dyDescent="0.25">
      <c r="A1744" s="17" t="s">
        <v>3345</v>
      </c>
      <c r="B1744" s="18" t="s">
        <v>516</v>
      </c>
      <c r="C1744" s="19">
        <v>45742</v>
      </c>
      <c r="D1744" s="18">
        <v>2025</v>
      </c>
      <c r="E1744" s="18" t="s">
        <v>10</v>
      </c>
      <c r="F1744" s="18" t="s">
        <v>34</v>
      </c>
      <c r="G1744" s="20">
        <v>1593.1622222222222</v>
      </c>
      <c r="H1744" s="20">
        <v>1593.1622222222222</v>
      </c>
      <c r="I1744" s="18">
        <v>7</v>
      </c>
      <c r="J1744" s="18">
        <v>7</v>
      </c>
      <c r="K1744" s="18" t="s">
        <v>18</v>
      </c>
      <c r="L1744" s="15">
        <v>227.59460317460318</v>
      </c>
      <c r="M1744" s="21">
        <v>227.59460317460318</v>
      </c>
    </row>
    <row r="1745" spans="7:18" s="5" customFormat="1" x14ac:dyDescent="0.25">
      <c r="G1745" s="11"/>
      <c r="H1745" s="11"/>
      <c r="I1745" s="11"/>
      <c r="J1745" s="11"/>
      <c r="K1745" s="11"/>
      <c r="L1745" s="11"/>
      <c r="M1745" s="11"/>
      <c r="O1745" s="11"/>
      <c r="P1745" s="11"/>
      <c r="R1745" s="11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78FA0-F882-45BA-983C-2EC5E24CA3B1}">
  <dimension ref="A1:F5"/>
  <sheetViews>
    <sheetView workbookViewId="0">
      <selection activeCell="D13" sqref="D13"/>
    </sheetView>
  </sheetViews>
  <sheetFormatPr defaultRowHeight="13.8" x14ac:dyDescent="0.25"/>
  <sheetData>
    <row r="1" spans="1:6" x14ac:dyDescent="0.25">
      <c r="A1" t="s">
        <v>3354</v>
      </c>
      <c r="B1" t="s">
        <v>3355</v>
      </c>
      <c r="C1" t="s">
        <v>3356</v>
      </c>
      <c r="D1" t="s">
        <v>3357</v>
      </c>
      <c r="E1" t="s">
        <v>3358</v>
      </c>
    </row>
    <row r="2" spans="1:6" x14ac:dyDescent="0.25">
      <c r="A2">
        <v>539.64944047619053</v>
      </c>
      <c r="B2">
        <v>1581.4678888888889</v>
      </c>
      <c r="C2">
        <v>1041.8184484126982</v>
      </c>
      <c r="D2">
        <v>-1023.0782321428568</v>
      </c>
      <c r="E2">
        <v>3144.1955615079401</v>
      </c>
    </row>
    <row r="4" spans="1:6" x14ac:dyDescent="0.25">
      <c r="A4" t="s">
        <v>3359</v>
      </c>
      <c r="B4" t="s">
        <v>3360</v>
      </c>
      <c r="C4" t="s">
        <v>3361</v>
      </c>
      <c r="D4" t="s">
        <v>3362</v>
      </c>
      <c r="E4" t="s">
        <v>3363</v>
      </c>
      <c r="F4" s="2" t="s">
        <v>3364</v>
      </c>
    </row>
    <row r="5" spans="1:6" x14ac:dyDescent="0.25">
      <c r="A5">
        <v>1</v>
      </c>
      <c r="B5">
        <v>48</v>
      </c>
      <c r="C5">
        <v>5.3729202524383251</v>
      </c>
      <c r="D5">
        <v>5</v>
      </c>
      <c r="E5">
        <v>10</v>
      </c>
      <c r="F5">
        <v>15.5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متوسط المنتج لكل سنة (Product &amp;</vt:lpstr>
      <vt:lpstr>المتوسط التفصيلي</vt:lpstr>
      <vt:lpstr>Dashboard</vt:lpstr>
      <vt:lpstr>Charts</vt:lpstr>
      <vt:lpstr>Summary</vt:lpstr>
      <vt:lpstr>Cleaned_Data</vt:lpstr>
      <vt:lpstr>Original_Data</vt:lpstr>
      <vt:lpstr>sales</vt:lpstr>
      <vt:lpstr>Outlier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heba elrais</dc:creator>
  <cp:lastModifiedBy>heba182110@beng.bu.edu.eg</cp:lastModifiedBy>
  <cp:lastPrinted>2026-05-08T18:48:41Z</cp:lastPrinted>
  <dcterms:created xsi:type="dcterms:W3CDTF">2026-05-08T01:37:25Z</dcterms:created>
  <dcterms:modified xsi:type="dcterms:W3CDTF">2026-05-08T18:49:25Z</dcterms:modified>
</cp:coreProperties>
</file>